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K_BMPL\Downloads\"/>
    </mc:Choice>
  </mc:AlternateContent>
  <bookViews>
    <workbookView xWindow="0" yWindow="0" windowWidth="16056" windowHeight="7836" firstSheet="11" activeTab="18"/>
  </bookViews>
  <sheets>
    <sheet name="Rules" sheetId="1" r:id="rId1"/>
    <sheet name="Vehicle Info" sheetId="2" r:id="rId2"/>
    <sheet name="PV Vehicle" sheetId="3" r:id="rId3"/>
    <sheet name="CV Vehicle" sheetId="4" r:id="rId4"/>
    <sheet name="Price List PV" sheetId="5" r:id="rId5"/>
    <sheet name="Price List CV" sheetId="6" r:id="rId6"/>
    <sheet name="Price List BEV" sheetId="7" r:id="rId7"/>
    <sheet name="Price List LMM" sheetId="8" r:id="rId8"/>
    <sheet name="Price List LMM TZU" sheetId="9" r:id="rId9"/>
    <sheet name="Price List CSD" sheetId="10" r:id="rId10"/>
    <sheet name="CSD Index Codes" sheetId="11" r:id="rId11"/>
    <sheet name="Corporate" sheetId="12" r:id="rId12"/>
    <sheet name="Exchange" sheetId="13" r:id="rId13"/>
    <sheet name="RSA" sheetId="14" r:id="rId14"/>
    <sheet name="Shield" sheetId="15" r:id="rId15"/>
    <sheet name="Insurance Co." sheetId="16" r:id="rId16"/>
    <sheet name="Insu Premium" sheetId="17" r:id="rId17"/>
    <sheet name="RTO" sheetId="18" r:id="rId18"/>
    <sheet name="Dealer Charges - Segment Wise" sheetId="19" r:id="rId19"/>
  </sheets>
  <definedNames>
    <definedName name="_xlnm._FilterDatabase" localSheetId="8" hidden="1">'Price List LMM TZU'!$A$1:$W$7</definedName>
    <definedName name="_xlnm._FilterDatabase" localSheetId="2" hidden="1">'PV Vehicle'!$A$1:$G$243</definedName>
  </definedNames>
  <calcPr calcId="152511"/>
</workbook>
</file>

<file path=xl/calcChain.xml><?xml version="1.0" encoding="utf-8"?>
<calcChain xmlns="http://schemas.openxmlformats.org/spreadsheetml/2006/main">
  <c r="AB26" i="17" l="1"/>
  <c r="AA26" i="17"/>
  <c r="B26" i="17"/>
  <c r="AJ26" i="17" s="1"/>
  <c r="AB25" i="17"/>
  <c r="B25" i="17"/>
  <c r="AJ25" i="17" s="1"/>
  <c r="AJ24" i="17"/>
  <c r="AB24" i="17"/>
  <c r="AA24" i="17"/>
  <c r="B24" i="17"/>
  <c r="AC24" i="17" s="1"/>
  <c r="B23" i="17"/>
  <c r="AA23" i="17" s="1"/>
  <c r="AJ22" i="17"/>
  <c r="AI22" i="17"/>
  <c r="AA22" i="17"/>
  <c r="B22" i="17"/>
  <c r="AB22" i="17" s="1"/>
  <c r="AI20" i="17"/>
  <c r="AB20" i="17"/>
  <c r="AA20" i="17"/>
  <c r="B20" i="17"/>
  <c r="AJ20" i="17" s="1"/>
  <c r="B19" i="17"/>
  <c r="AH19" i="17" s="1"/>
  <c r="B16" i="17"/>
  <c r="AJ16" i="17" s="1"/>
  <c r="B15" i="17"/>
  <c r="AA15" i="17" s="1"/>
  <c r="D12" i="17"/>
  <c r="C12" i="17"/>
  <c r="B12" i="17"/>
  <c r="AJ12" i="17" s="1"/>
  <c r="B6" i="17"/>
  <c r="AA6" i="17" s="1"/>
  <c r="D5" i="17"/>
  <c r="C5" i="17"/>
  <c r="B5" i="17"/>
  <c r="AJ4" i="17"/>
  <c r="AB4" i="17"/>
  <c r="B4" i="17"/>
  <c r="AI4" i="17" s="1"/>
  <c r="K51" i="13"/>
  <c r="H51" i="13"/>
  <c r="E51" i="13"/>
  <c r="K50" i="13"/>
  <c r="H50" i="13"/>
  <c r="E50" i="13"/>
  <c r="K49" i="13"/>
  <c r="H49" i="13"/>
  <c r="E49" i="13"/>
  <c r="K48" i="13"/>
  <c r="H48" i="13"/>
  <c r="E48" i="13"/>
  <c r="K47" i="13"/>
  <c r="H47" i="13"/>
  <c r="E47" i="13"/>
  <c r="K46" i="13"/>
  <c r="H46" i="13"/>
  <c r="E46" i="13"/>
  <c r="K45" i="13"/>
  <c r="H45" i="13"/>
  <c r="E45" i="13"/>
  <c r="K44" i="13"/>
  <c r="H44" i="13"/>
  <c r="E44" i="13"/>
  <c r="K43" i="13"/>
  <c r="H43" i="13"/>
  <c r="E43" i="13"/>
  <c r="K42" i="13"/>
  <c r="H42" i="13"/>
  <c r="E42" i="13"/>
  <c r="K41" i="13"/>
  <c r="H41" i="13"/>
  <c r="E41" i="13"/>
  <c r="K40" i="13"/>
  <c r="H40" i="13"/>
  <c r="E40" i="13"/>
  <c r="K39" i="13"/>
  <c r="H39" i="13"/>
  <c r="E39" i="13"/>
  <c r="K38" i="13"/>
  <c r="H38" i="13"/>
  <c r="E38" i="13"/>
  <c r="K37" i="13"/>
  <c r="H37" i="13"/>
  <c r="E37" i="13"/>
  <c r="K36" i="13"/>
  <c r="H36" i="13"/>
  <c r="E36" i="13"/>
  <c r="K35" i="13"/>
  <c r="H35" i="13"/>
  <c r="E35" i="13"/>
  <c r="K34" i="13"/>
  <c r="H34" i="13"/>
  <c r="E34" i="13"/>
  <c r="K33" i="13"/>
  <c r="H33" i="13"/>
  <c r="E33" i="13"/>
  <c r="K32" i="13"/>
  <c r="H32" i="13"/>
  <c r="E32" i="13"/>
  <c r="K31" i="13"/>
  <c r="H31" i="13"/>
  <c r="E31" i="13"/>
  <c r="K30" i="13"/>
  <c r="H30" i="13"/>
  <c r="E30" i="13"/>
  <c r="K29" i="13"/>
  <c r="H29" i="13"/>
  <c r="E29" i="13"/>
  <c r="K28" i="13"/>
  <c r="H28" i="13"/>
  <c r="E28" i="13"/>
  <c r="K27" i="13"/>
  <c r="H27" i="13"/>
  <c r="E27" i="13"/>
  <c r="K26" i="13"/>
  <c r="H26" i="13"/>
  <c r="E26" i="13"/>
  <c r="K25" i="13"/>
  <c r="H25" i="13"/>
  <c r="E25" i="13"/>
  <c r="K24" i="13"/>
  <c r="H24" i="13"/>
  <c r="E24" i="13"/>
  <c r="K23" i="13"/>
  <c r="H23" i="13"/>
  <c r="E23" i="13"/>
  <c r="K22" i="13"/>
  <c r="H22" i="13"/>
  <c r="E22" i="13"/>
  <c r="K21" i="13"/>
  <c r="H21" i="13"/>
  <c r="E21" i="13"/>
  <c r="K20" i="13"/>
  <c r="H20" i="13"/>
  <c r="E20" i="13"/>
  <c r="K19" i="13"/>
  <c r="H19" i="13"/>
  <c r="E19" i="13"/>
  <c r="K18" i="13"/>
  <c r="H18" i="13"/>
  <c r="E18" i="13"/>
  <c r="K17" i="13"/>
  <c r="H17" i="13"/>
  <c r="E17" i="13"/>
  <c r="K16" i="13"/>
  <c r="H16" i="13"/>
  <c r="E16" i="13"/>
  <c r="K15" i="13"/>
  <c r="H15" i="13"/>
  <c r="E15" i="13"/>
  <c r="K14" i="13"/>
  <c r="H14" i="13"/>
  <c r="E14" i="13"/>
  <c r="K13" i="13"/>
  <c r="H13" i="13"/>
  <c r="E13" i="13"/>
  <c r="K12" i="13"/>
  <c r="H12" i="13"/>
  <c r="E12" i="13"/>
  <c r="K11" i="13"/>
  <c r="H11" i="13"/>
  <c r="E11" i="13"/>
  <c r="K10" i="13"/>
  <c r="H10" i="13"/>
  <c r="E10" i="13"/>
  <c r="K9" i="13"/>
  <c r="H9" i="13"/>
  <c r="E9" i="13"/>
  <c r="K8" i="13"/>
  <c r="H8" i="13"/>
  <c r="E8" i="13"/>
  <c r="K7" i="13"/>
  <c r="H7" i="13"/>
  <c r="E7" i="13"/>
  <c r="K6" i="13"/>
  <c r="H6" i="13"/>
  <c r="E6" i="13"/>
  <c r="K5" i="13"/>
  <c r="H5" i="13"/>
  <c r="E5" i="13"/>
  <c r="K4" i="13"/>
  <c r="H4" i="13"/>
  <c r="E4" i="13"/>
  <c r="K3" i="13"/>
  <c r="H3" i="13"/>
  <c r="E3" i="13"/>
  <c r="K2" i="13"/>
  <c r="H2" i="13"/>
  <c r="E2" i="13"/>
  <c r="Z52" i="12"/>
  <c r="W52" i="12"/>
  <c r="T52" i="12"/>
  <c r="Q52" i="12"/>
  <c r="N52" i="12"/>
  <c r="K52" i="12"/>
  <c r="H52" i="12"/>
  <c r="E52" i="12"/>
  <c r="Z51" i="12"/>
  <c r="W51" i="12"/>
  <c r="T51" i="12"/>
  <c r="Q51" i="12"/>
  <c r="N51" i="12"/>
  <c r="K51" i="12"/>
  <c r="H51" i="12"/>
  <c r="E51" i="12"/>
  <c r="Z50" i="12"/>
  <c r="W50" i="12"/>
  <c r="T50" i="12"/>
  <c r="Q50" i="12"/>
  <c r="N50" i="12"/>
  <c r="K50" i="12"/>
  <c r="H50" i="12"/>
  <c r="E50" i="12"/>
  <c r="Z49" i="12"/>
  <c r="W49" i="12"/>
  <c r="T49" i="12"/>
  <c r="Q49" i="12"/>
  <c r="N49" i="12"/>
  <c r="K49" i="12"/>
  <c r="H49" i="12"/>
  <c r="E49" i="12"/>
  <c r="Z48" i="12"/>
  <c r="W48" i="12"/>
  <c r="T48" i="12"/>
  <c r="Q48" i="12"/>
  <c r="N48" i="12"/>
  <c r="K48" i="12"/>
  <c r="H48" i="12"/>
  <c r="E48" i="12"/>
  <c r="Z47" i="12"/>
  <c r="W47" i="12"/>
  <c r="T47" i="12"/>
  <c r="Q47" i="12"/>
  <c r="N47" i="12"/>
  <c r="K47" i="12"/>
  <c r="H47" i="12"/>
  <c r="E47" i="12"/>
  <c r="Z46" i="12"/>
  <c r="W46" i="12"/>
  <c r="T46" i="12"/>
  <c r="Q46" i="12"/>
  <c r="N46" i="12"/>
  <c r="K46" i="12"/>
  <c r="H46" i="12"/>
  <c r="E46" i="12"/>
  <c r="Z45" i="12"/>
  <c r="W45" i="12"/>
  <c r="T45" i="12"/>
  <c r="Q45" i="12"/>
  <c r="N45" i="12"/>
  <c r="K45" i="12"/>
  <c r="H45" i="12"/>
  <c r="E45" i="12"/>
  <c r="Z44" i="12"/>
  <c r="W44" i="12"/>
  <c r="T44" i="12"/>
  <c r="Q44" i="12"/>
  <c r="N44" i="12"/>
  <c r="K44" i="12"/>
  <c r="H44" i="12"/>
  <c r="E44" i="12"/>
  <c r="Z43" i="12"/>
  <c r="W43" i="12"/>
  <c r="T43" i="12"/>
  <c r="Q43" i="12"/>
  <c r="N43" i="12"/>
  <c r="K43" i="12"/>
  <c r="H43" i="12"/>
  <c r="E43" i="12"/>
  <c r="Z42" i="12"/>
  <c r="W42" i="12"/>
  <c r="T42" i="12"/>
  <c r="Q42" i="12"/>
  <c r="N42" i="12"/>
  <c r="K42" i="12"/>
  <c r="H42" i="12"/>
  <c r="E42" i="12"/>
  <c r="Z41" i="12"/>
  <c r="W41" i="12"/>
  <c r="T41" i="12"/>
  <c r="Q41" i="12"/>
  <c r="N41" i="12"/>
  <c r="K41" i="12"/>
  <c r="H41" i="12"/>
  <c r="E41" i="12"/>
  <c r="Z40" i="12"/>
  <c r="W40" i="12"/>
  <c r="T40" i="12"/>
  <c r="Q40" i="12"/>
  <c r="N40" i="12"/>
  <c r="K40" i="12"/>
  <c r="H40" i="12"/>
  <c r="E40" i="12"/>
  <c r="Z39" i="12"/>
  <c r="W39" i="12"/>
  <c r="T39" i="12"/>
  <c r="Q39" i="12"/>
  <c r="N39" i="12"/>
  <c r="K39" i="12"/>
  <c r="H39" i="12"/>
  <c r="E39" i="12"/>
  <c r="Z38" i="12"/>
  <c r="W38" i="12"/>
  <c r="T38" i="12"/>
  <c r="Q38" i="12"/>
  <c r="N38" i="12"/>
  <c r="K38" i="12"/>
  <c r="H38" i="12"/>
  <c r="E38" i="12"/>
  <c r="Z37" i="12"/>
  <c r="W37" i="12"/>
  <c r="T37" i="12"/>
  <c r="Q37" i="12"/>
  <c r="N37" i="12"/>
  <c r="K37" i="12"/>
  <c r="H37" i="12"/>
  <c r="E37" i="12"/>
  <c r="Z36" i="12"/>
  <c r="W36" i="12"/>
  <c r="T36" i="12"/>
  <c r="Q36" i="12"/>
  <c r="N36" i="12"/>
  <c r="K36" i="12"/>
  <c r="H36" i="12"/>
  <c r="E36" i="12"/>
  <c r="Z35" i="12"/>
  <c r="W35" i="12"/>
  <c r="T35" i="12"/>
  <c r="Q35" i="12"/>
  <c r="N35" i="12"/>
  <c r="K35" i="12"/>
  <c r="H35" i="12"/>
  <c r="E35" i="12"/>
  <c r="Z34" i="12"/>
  <c r="W34" i="12"/>
  <c r="T34" i="12"/>
  <c r="Q34" i="12"/>
  <c r="N34" i="12"/>
  <c r="K34" i="12"/>
  <c r="H34" i="12"/>
  <c r="E34" i="12"/>
  <c r="Z33" i="12"/>
  <c r="W33" i="12"/>
  <c r="T33" i="12"/>
  <c r="Q33" i="12"/>
  <c r="N33" i="12"/>
  <c r="K33" i="12"/>
  <c r="H33" i="12"/>
  <c r="E33" i="12"/>
  <c r="Z32" i="12"/>
  <c r="W32" i="12"/>
  <c r="T32" i="12"/>
  <c r="Q32" i="12"/>
  <c r="N32" i="12"/>
  <c r="K32" i="12"/>
  <c r="H32" i="12"/>
  <c r="E32" i="12"/>
  <c r="Z31" i="12"/>
  <c r="W31" i="12"/>
  <c r="T31" i="12"/>
  <c r="Q31" i="12"/>
  <c r="N31" i="12"/>
  <c r="K31" i="12"/>
  <c r="H31" i="12"/>
  <c r="E31" i="12"/>
  <c r="Z30" i="12"/>
  <c r="W30" i="12"/>
  <c r="T30" i="12"/>
  <c r="Q30" i="12"/>
  <c r="N30" i="12"/>
  <c r="K30" i="12"/>
  <c r="H30" i="12"/>
  <c r="E30" i="12"/>
  <c r="Z29" i="12"/>
  <c r="W29" i="12"/>
  <c r="T29" i="12"/>
  <c r="Q29" i="12"/>
  <c r="N29" i="12"/>
  <c r="K29" i="12"/>
  <c r="H29" i="12"/>
  <c r="E29" i="12"/>
  <c r="Z28" i="12"/>
  <c r="W28" i="12"/>
  <c r="T28" i="12"/>
  <c r="Q28" i="12"/>
  <c r="N28" i="12"/>
  <c r="K28" i="12"/>
  <c r="H28" i="12"/>
  <c r="E28" i="12"/>
  <c r="Z27" i="12"/>
  <c r="W27" i="12"/>
  <c r="T27" i="12"/>
  <c r="Q27" i="12"/>
  <c r="N27" i="12"/>
  <c r="K27" i="12"/>
  <c r="H27" i="12"/>
  <c r="E27" i="12"/>
  <c r="Z26" i="12"/>
  <c r="W26" i="12"/>
  <c r="T26" i="12"/>
  <c r="Q26" i="12"/>
  <c r="N26" i="12"/>
  <c r="K26" i="12"/>
  <c r="H26" i="12"/>
  <c r="E26" i="12"/>
  <c r="Z25" i="12"/>
  <c r="W25" i="12"/>
  <c r="T25" i="12"/>
  <c r="Q25" i="12"/>
  <c r="N25" i="12"/>
  <c r="K25" i="12"/>
  <c r="H25" i="12"/>
  <c r="E25" i="12"/>
  <c r="Z24" i="12"/>
  <c r="W24" i="12"/>
  <c r="T24" i="12"/>
  <c r="Q24" i="12"/>
  <c r="N24" i="12"/>
  <c r="K24" i="12"/>
  <c r="H24" i="12"/>
  <c r="E24" i="12"/>
  <c r="Z23" i="12"/>
  <c r="W23" i="12"/>
  <c r="T23" i="12"/>
  <c r="Q23" i="12"/>
  <c r="N23" i="12"/>
  <c r="K23" i="12"/>
  <c r="H23" i="12"/>
  <c r="E23" i="12"/>
  <c r="Z22" i="12"/>
  <c r="W22" i="12"/>
  <c r="T22" i="12"/>
  <c r="Q22" i="12"/>
  <c r="N22" i="12"/>
  <c r="K22" i="12"/>
  <c r="H22" i="12"/>
  <c r="E22" i="12"/>
  <c r="Z21" i="12"/>
  <c r="W21" i="12"/>
  <c r="T21" i="12"/>
  <c r="Q21" i="12"/>
  <c r="N21" i="12"/>
  <c r="K21" i="12"/>
  <c r="H21" i="12"/>
  <c r="E21" i="12"/>
  <c r="Z20" i="12"/>
  <c r="W20" i="12"/>
  <c r="T20" i="12"/>
  <c r="Q20" i="12"/>
  <c r="N20" i="12"/>
  <c r="K20" i="12"/>
  <c r="H20" i="12"/>
  <c r="E20" i="12"/>
  <c r="Z19" i="12"/>
  <c r="W19" i="12"/>
  <c r="T19" i="12"/>
  <c r="Q19" i="12"/>
  <c r="N19" i="12"/>
  <c r="K19" i="12"/>
  <c r="H19" i="12"/>
  <c r="E19" i="12"/>
  <c r="Z18" i="12"/>
  <c r="W18" i="12"/>
  <c r="T18" i="12"/>
  <c r="Q18" i="12"/>
  <c r="N18" i="12"/>
  <c r="K18" i="12"/>
  <c r="H18" i="12"/>
  <c r="E18" i="12"/>
  <c r="Z17" i="12"/>
  <c r="W17" i="12"/>
  <c r="T17" i="12"/>
  <c r="Q17" i="12"/>
  <c r="N17" i="12"/>
  <c r="K17" i="12"/>
  <c r="H17" i="12"/>
  <c r="E17" i="12"/>
  <c r="Z16" i="12"/>
  <c r="W16" i="12"/>
  <c r="T16" i="12"/>
  <c r="Q16" i="12"/>
  <c r="N16" i="12"/>
  <c r="K16" i="12"/>
  <c r="H16" i="12"/>
  <c r="E16" i="12"/>
  <c r="Z15" i="12"/>
  <c r="W15" i="12"/>
  <c r="T15" i="12"/>
  <c r="Q15" i="12"/>
  <c r="N15" i="12"/>
  <c r="K15" i="12"/>
  <c r="H15" i="12"/>
  <c r="E15" i="12"/>
  <c r="Z14" i="12"/>
  <c r="W14" i="12"/>
  <c r="T14" i="12"/>
  <c r="Q14" i="12"/>
  <c r="N14" i="12"/>
  <c r="K14" i="12"/>
  <c r="H14" i="12"/>
  <c r="E14" i="12"/>
  <c r="Z13" i="12"/>
  <c r="W13" i="12"/>
  <c r="T13" i="12"/>
  <c r="Q13" i="12"/>
  <c r="N13" i="12"/>
  <c r="K13" i="12"/>
  <c r="H13" i="12"/>
  <c r="E13" i="12"/>
  <c r="Z12" i="12"/>
  <c r="W12" i="12"/>
  <c r="T12" i="12"/>
  <c r="Q12" i="12"/>
  <c r="N12" i="12"/>
  <c r="K12" i="12"/>
  <c r="H12" i="12"/>
  <c r="E12" i="12"/>
  <c r="Z11" i="12"/>
  <c r="W11" i="12"/>
  <c r="T11" i="12"/>
  <c r="Q11" i="12"/>
  <c r="N11" i="12"/>
  <c r="K11" i="12"/>
  <c r="H11" i="12"/>
  <c r="E11" i="12"/>
  <c r="Z10" i="12"/>
  <c r="W10" i="12"/>
  <c r="T10" i="12"/>
  <c r="Q10" i="12"/>
  <c r="N10" i="12"/>
  <c r="K10" i="12"/>
  <c r="H10" i="12"/>
  <c r="E10" i="12"/>
  <c r="Z9" i="12"/>
  <c r="W9" i="12"/>
  <c r="T9" i="12"/>
  <c r="Q9" i="12"/>
  <c r="N9" i="12"/>
  <c r="K9" i="12"/>
  <c r="H9" i="12"/>
  <c r="E9" i="12"/>
  <c r="Z8" i="12"/>
  <c r="W8" i="12"/>
  <c r="T8" i="12"/>
  <c r="Q8" i="12"/>
  <c r="N8" i="12"/>
  <c r="K8" i="12"/>
  <c r="H8" i="12"/>
  <c r="E8" i="12"/>
  <c r="Z7" i="12"/>
  <c r="W7" i="12"/>
  <c r="T7" i="12"/>
  <c r="Q7" i="12"/>
  <c r="N7" i="12"/>
  <c r="K7" i="12"/>
  <c r="H7" i="12"/>
  <c r="E7" i="12"/>
  <c r="Z6" i="12"/>
  <c r="W6" i="12"/>
  <c r="T6" i="12"/>
  <c r="Q6" i="12"/>
  <c r="N6" i="12"/>
  <c r="K6" i="12"/>
  <c r="H6" i="12"/>
  <c r="E6" i="12"/>
  <c r="Z5" i="12"/>
  <c r="W5" i="12"/>
  <c r="T5" i="12"/>
  <c r="Q5" i="12"/>
  <c r="N5" i="12"/>
  <c r="K5" i="12"/>
  <c r="H5" i="12"/>
  <c r="E5" i="12"/>
  <c r="Z4" i="12"/>
  <c r="W4" i="12"/>
  <c r="T4" i="12"/>
  <c r="Q4" i="12"/>
  <c r="N4" i="12"/>
  <c r="K4" i="12"/>
  <c r="H4" i="12"/>
  <c r="E4" i="12"/>
  <c r="Z3" i="12"/>
  <c r="W3" i="12"/>
  <c r="T3" i="12"/>
  <c r="Q3" i="12"/>
  <c r="N3" i="12"/>
  <c r="K3" i="12"/>
  <c r="H3" i="12"/>
  <c r="E3" i="12"/>
  <c r="Z2" i="12"/>
  <c r="W2" i="12"/>
  <c r="T2" i="12"/>
  <c r="Q2" i="12"/>
  <c r="N2" i="12"/>
  <c r="K2" i="12"/>
  <c r="H2" i="12"/>
  <c r="E2" i="12"/>
  <c r="F11" i="10"/>
  <c r="E11" i="10"/>
  <c r="D11" i="10"/>
  <c r="F10" i="10"/>
  <c r="E10" i="10"/>
  <c r="D10" i="10"/>
  <c r="F9" i="10"/>
  <c r="E9" i="10"/>
  <c r="D9" i="10"/>
  <c r="F8" i="10"/>
  <c r="E8" i="10"/>
  <c r="D8" i="10"/>
  <c r="F7" i="10"/>
  <c r="E7" i="10"/>
  <c r="D7" i="10"/>
  <c r="F6" i="10"/>
  <c r="E6" i="10"/>
  <c r="D6" i="10"/>
  <c r="F5" i="10"/>
  <c r="E5" i="10"/>
  <c r="D5" i="10"/>
  <c r="F4" i="10"/>
  <c r="E4" i="10"/>
  <c r="D4" i="10"/>
  <c r="F3" i="10"/>
  <c r="E3" i="10"/>
  <c r="D3" i="10"/>
  <c r="AB7" i="9"/>
  <c r="Z7" i="9"/>
  <c r="Y7" i="9"/>
  <c r="AB6" i="9"/>
  <c r="Z6" i="9"/>
  <c r="Y6" i="9"/>
  <c r="AB5" i="9"/>
  <c r="Z5" i="9"/>
  <c r="Y5" i="9"/>
  <c r="AB4" i="9"/>
  <c r="Z4" i="9"/>
  <c r="Y4" i="9"/>
  <c r="AB3" i="9"/>
  <c r="Z3" i="9"/>
  <c r="Y3" i="9"/>
  <c r="AB2" i="9"/>
  <c r="Z2" i="9"/>
  <c r="Y2" i="9"/>
  <c r="U8" i="8"/>
  <c r="S8" i="8"/>
  <c r="R8" i="8"/>
  <c r="U7" i="8"/>
  <c r="S7" i="8"/>
  <c r="R7" i="8"/>
  <c r="U6" i="8"/>
  <c r="S6" i="8"/>
  <c r="R6" i="8"/>
  <c r="U5" i="8"/>
  <c r="S5" i="8"/>
  <c r="R5" i="8"/>
  <c r="U4" i="8"/>
  <c r="S4" i="8"/>
  <c r="R4" i="8"/>
  <c r="U3" i="8"/>
  <c r="S3" i="8"/>
  <c r="R3" i="8"/>
  <c r="U2" i="8"/>
  <c r="S2" i="8"/>
  <c r="R2" i="8"/>
  <c r="AE11" i="7"/>
  <c r="T11" i="7"/>
  <c r="AE10" i="7"/>
  <c r="T10" i="7"/>
  <c r="AE9" i="7"/>
  <c r="T9" i="7"/>
  <c r="AE8" i="7"/>
  <c r="T8" i="7"/>
  <c r="AE7" i="7"/>
  <c r="T7" i="7"/>
  <c r="AE6" i="7"/>
  <c r="T6" i="7"/>
  <c r="AE5" i="7"/>
  <c r="T5" i="7"/>
  <c r="AE4" i="7"/>
  <c r="T4" i="7"/>
  <c r="AE3" i="7"/>
  <c r="R3" i="7"/>
  <c r="AA10" i="6"/>
  <c r="AE10" i="6" s="1"/>
  <c r="P10" i="6"/>
  <c r="T10" i="6" s="1"/>
  <c r="AA9" i="6"/>
  <c r="AE9" i="6" s="1"/>
  <c r="T9" i="6"/>
  <c r="P9" i="6"/>
  <c r="AA8" i="6"/>
  <c r="AE8" i="6" s="1"/>
  <c r="P8" i="6"/>
  <c r="T8" i="6" s="1"/>
  <c r="AA7" i="6"/>
  <c r="AE7" i="6" s="1"/>
  <c r="P7" i="6"/>
  <c r="T7" i="6" s="1"/>
  <c r="AE6" i="6"/>
  <c r="AA6" i="6"/>
  <c r="P6" i="6"/>
  <c r="T6" i="6" s="1"/>
  <c r="AA5" i="6"/>
  <c r="AE5" i="6" s="1"/>
  <c r="P5" i="6"/>
  <c r="T5" i="6" s="1"/>
  <c r="AA4" i="6"/>
  <c r="AE4" i="6" s="1"/>
  <c r="T4" i="6"/>
  <c r="P4" i="6"/>
  <c r="AE3" i="6"/>
  <c r="AA3" i="6"/>
  <c r="P3" i="6"/>
  <c r="T3" i="6" s="1"/>
  <c r="AE18" i="5"/>
  <c r="T18" i="5"/>
  <c r="AE17" i="5"/>
  <c r="T17" i="5"/>
  <c r="AE16" i="5"/>
  <c r="T16" i="5"/>
  <c r="AE15" i="5"/>
  <c r="T15" i="5"/>
  <c r="AE14" i="5"/>
  <c r="T14" i="5"/>
  <c r="AE13" i="5"/>
  <c r="T13" i="5"/>
  <c r="AE12" i="5"/>
  <c r="T12" i="5"/>
  <c r="AE11" i="5"/>
  <c r="T11" i="5"/>
  <c r="AE10" i="5"/>
  <c r="T10" i="5"/>
  <c r="AE9" i="5"/>
  <c r="T9" i="5"/>
  <c r="AE8" i="5"/>
  <c r="T8" i="5"/>
  <c r="AE7" i="5"/>
  <c r="T7" i="5"/>
  <c r="AE6" i="5"/>
  <c r="T6" i="5"/>
  <c r="AE5" i="5"/>
  <c r="T5" i="5"/>
  <c r="AE4" i="5"/>
  <c r="T4" i="5"/>
  <c r="AE3" i="5"/>
  <c r="T3" i="5"/>
  <c r="AB6" i="17" l="1"/>
  <c r="AB15" i="17"/>
  <c r="AI19" i="17"/>
  <c r="AB23" i="17"/>
  <c r="AC6" i="17"/>
  <c r="AC15" i="17"/>
  <c r="AJ19" i="17"/>
  <c r="AC23" i="17"/>
  <c r="AI6" i="17"/>
  <c r="AI15" i="17"/>
  <c r="AK19" i="17"/>
  <c r="AJ23" i="17"/>
  <c r="AJ6" i="17"/>
  <c r="AJ15" i="17"/>
  <c r="AA16" i="17"/>
  <c r="AA4" i="17"/>
  <c r="AB16" i="17"/>
  <c r="AC20" i="17"/>
  <c r="S3" i="7"/>
  <c r="T3" i="7" s="1"/>
  <c r="AA12" i="17"/>
  <c r="AC16" i="17"/>
  <c r="AC4" i="17"/>
  <c r="AB12" i="17"/>
  <c r="AI16" i="17"/>
  <c r="AF12" i="17"/>
  <c r="AA25" i="17"/>
  <c r="AG12" i="17"/>
  <c r="AH12" i="17"/>
  <c r="AA19" i="17"/>
  <c r="AI12" i="17"/>
  <c r="AB19" i="17"/>
  <c r="AF19" i="17"/>
  <c r="AG19" i="17"/>
</calcChain>
</file>

<file path=xl/sharedStrings.xml><?xml version="1.0" encoding="utf-8"?>
<sst xmlns="http://schemas.openxmlformats.org/spreadsheetml/2006/main" count="6262" uniqueCount="1634">
  <si>
    <t>Model Code</t>
  </si>
  <si>
    <t>RTO Permit</t>
  </si>
  <si>
    <t>OEM Model</t>
  </si>
  <si>
    <t>OEM Variant</t>
  </si>
  <si>
    <t>Insu Permit</t>
  </si>
  <si>
    <t>Segment</t>
  </si>
  <si>
    <t>Private - U/C (4 Wheeler)</t>
  </si>
  <si>
    <t>Sub Segment</t>
  </si>
  <si>
    <t>Fuel</t>
  </si>
  <si>
    <t>Seating</t>
  </si>
  <si>
    <t>Wheels</t>
  </si>
  <si>
    <t>Transmission</t>
  </si>
  <si>
    <t>Drivetrain</t>
  </si>
  <si>
    <t>Private</t>
  </si>
  <si>
    <t>Body Make</t>
  </si>
  <si>
    <t>Body Type</t>
  </si>
  <si>
    <t>CC</t>
  </si>
  <si>
    <t>Motor</t>
  </si>
  <si>
    <t>Private - U/C EV (4 Wheeler)</t>
  </si>
  <si>
    <t>Colour Name</t>
  </si>
  <si>
    <t>Private - BH (4 Wheeler)</t>
  </si>
  <si>
    <t>GVW</t>
  </si>
  <si>
    <t>GST%</t>
  </si>
  <si>
    <t>Private - BH EV (4 Wheeler)</t>
  </si>
  <si>
    <t>Permit</t>
  </si>
  <si>
    <t>Taxi Price</t>
  </si>
  <si>
    <t>Custom Model</t>
  </si>
  <si>
    <t>Status</t>
  </si>
  <si>
    <t>Goods - G (4 Wheeler)</t>
  </si>
  <si>
    <t>Custom Variant</t>
  </si>
  <si>
    <t>Goods</t>
  </si>
  <si>
    <t>Display Name</t>
  </si>
  <si>
    <t>Goods - G EV (4 Wheeler)</t>
  </si>
  <si>
    <t>Shield Pack</t>
  </si>
  <si>
    <t>Goods - G 3 Ton+ (4 Wheeler)</t>
  </si>
  <si>
    <t>Goods - G 3 Ton+ EV (4 Wheeler)</t>
  </si>
  <si>
    <t>Goods - G (3 Wheeler)</t>
  </si>
  <si>
    <t>1AM2NW1T9MBB1BL</t>
  </si>
  <si>
    <t>ALFA LOAD DUO</t>
  </si>
  <si>
    <t>ALFA LC PLUS CNG DUO BSVI BLK</t>
  </si>
  <si>
    <t>Goods - G EV (3 Wheeler)</t>
  </si>
  <si>
    <t>LMM</t>
  </si>
  <si>
    <t>Taxi - T (4 Wheeler)</t>
  </si>
  <si>
    <t>CNG</t>
  </si>
  <si>
    <t>Passenger</t>
  </si>
  <si>
    <t>Taxi - T EV (4 Wheeler)</t>
  </si>
  <si>
    <t>Passenger - P (3 Wheeler)</t>
  </si>
  <si>
    <t>SSS24MJA7R8E7XJ</t>
  </si>
  <si>
    <t>MANUAL</t>
  </si>
  <si>
    <t>Passenger - P EV (3 Wheeler)</t>
  </si>
  <si>
    <t>RWD</t>
  </si>
  <si>
    <t>Scorpio</t>
  </si>
  <si>
    <t>PKN2ADCVBS6PSND5BP</t>
  </si>
  <si>
    <t>Ambulance (Misc.)</t>
  </si>
  <si>
    <t>CARGO</t>
  </si>
  <si>
    <t>Classic S11 BS6.2 - E</t>
  </si>
  <si>
    <t>Misc</t>
  </si>
  <si>
    <t>COMPLETE</t>
  </si>
  <si>
    <t>PICKUP</t>
  </si>
  <si>
    <t>STEALTH BLACK</t>
  </si>
  <si>
    <t>BOL CAMPER 2WD POWER STEERING BS6.2 - CV</t>
  </si>
  <si>
    <t>MT</t>
  </si>
  <si>
    <t>WHITE</t>
  </si>
  <si>
    <t>Live</t>
  </si>
  <si>
    <t>GOODS</t>
  </si>
  <si>
    <t>NO</t>
  </si>
  <si>
    <t>CNG DUO BSVI</t>
  </si>
  <si>
    <t>ALFA LOAD DUO CNG BS6</t>
  </si>
  <si>
    <t>SSS24MJA7R8E6XJ</t>
  </si>
  <si>
    <t>BLACK</t>
  </si>
  <si>
    <t>ACTIVE</t>
  </si>
  <si>
    <t>1AM2NW1T9MBB1GY</t>
  </si>
  <si>
    <t>ALFA LC PLUS CNG DUO BSVI GOLD YW</t>
  </si>
  <si>
    <t>G2C4AACVXB3F1A01QT</t>
  </si>
  <si>
    <t>VEERO</t>
  </si>
  <si>
    <t>AW5026JWT7D4KF01AL</t>
  </si>
  <si>
    <t>1.5XXL SD V2</t>
  </si>
  <si>
    <t>Thar Roxx</t>
  </si>
  <si>
    <t>CONCRETE GREY</t>
  </si>
  <si>
    <t>AX7 PAT 2WD - Star Edition</t>
  </si>
  <si>
    <t>TANGO RED</t>
  </si>
  <si>
    <t>AT</t>
  </si>
  <si>
    <t>GOLDEN YELLOW</t>
  </si>
  <si>
    <t>1AM2NW1T9MBB1NB</t>
  </si>
  <si>
    <t>ALFA LC PLUS CNG DUO BSVI NISS BLU</t>
  </si>
  <si>
    <t>AW5026JWT7D4KF01AM</t>
  </si>
  <si>
    <t>G2C4AACVXB3F1A01WT</t>
  </si>
  <si>
    <t>POLAR WHITE</t>
  </si>
  <si>
    <t>NISSAN BLUE</t>
  </si>
  <si>
    <t>AW5026JWT7D4KF01AV</t>
  </si>
  <si>
    <t>CITRINE YELLOW</t>
  </si>
  <si>
    <t>PKN2ADC2BS6PSNC5WD</t>
  </si>
  <si>
    <t>AW5026JWT7D4KF01ZP</t>
  </si>
  <si>
    <t>BOL CAMPER GOLD RXD BS6.2 CV - Refresh</t>
  </si>
  <si>
    <t>EVEREST WHITE</t>
  </si>
  <si>
    <t>AW5026KYT7D4KF01AL</t>
  </si>
  <si>
    <t>AX7 DAT 2WD - Star Edition</t>
  </si>
  <si>
    <t>PKN2ADCVBS6PSNC5WD</t>
  </si>
  <si>
    <t>BOL CAMPER 2WD BS6.2 - CV - Refresh</t>
  </si>
  <si>
    <t>AW5026KYT7D4KF01AM</t>
  </si>
  <si>
    <t>AAR2KSPX2TW0GWD</t>
  </si>
  <si>
    <t>SUPRO</t>
  </si>
  <si>
    <t>Supro Minitruck Excel CNG DUO BS6.2 - Tipper / Hopper</t>
  </si>
  <si>
    <t>DIAMOND WHITE</t>
  </si>
  <si>
    <t>ALFA Load Plus</t>
  </si>
  <si>
    <t>DIESEL</t>
  </si>
  <si>
    <t>PKN2ADCWBS6PSND5RX</t>
  </si>
  <si>
    <t>BOL CAMPER GOLD ZX 2WD BS6.2 - NEW</t>
  </si>
  <si>
    <t>HIGHWAY RED</t>
  </si>
  <si>
    <t>ALFA LOAD PLUS</t>
  </si>
  <si>
    <t>GREEN YELLOW</t>
  </si>
  <si>
    <t>PJN2CSCJBS6MSCC2WD</t>
  </si>
  <si>
    <t>BOL PIK UP CBC 1.3T - BS6.2 - MS - Refresh</t>
  </si>
  <si>
    <t>PJN2CSCJBS6MSFC2WD</t>
  </si>
  <si>
    <t>BOL PIK UP FB 1.3T - BS6.2 - MS -Refresh</t>
  </si>
  <si>
    <t>XUV400</t>
  </si>
  <si>
    <t>PJN2CSCJBS6PSFC2WD</t>
  </si>
  <si>
    <t>BOL PIK UP FB 1.3T - BS6.2 - PS - Refresh</t>
  </si>
  <si>
    <t>PJN2CSCMBS6PSFC2WD</t>
  </si>
  <si>
    <t>BOL PIK UP FB 1.3T - BS6.2 - PS AC - Refresh</t>
  </si>
  <si>
    <t>EL PRO - Battery 39.4 Kwh-E-NCH</t>
  </si>
  <si>
    <t>PJN4ASCMBS6PSNC2WD</t>
  </si>
  <si>
    <t>BOL PIK UP 4WD BS6.2 - PS AC - Refresh</t>
  </si>
  <si>
    <t>EL PRO FC - Battery 39.4 Kwh - Charger 7.2 Kw - E</t>
  </si>
  <si>
    <t>NAPOLI BLACK</t>
  </si>
  <si>
    <t>PJN4ASCNBS6PSNC2WD</t>
  </si>
  <si>
    <t>BOL PIK UP 4WD BS6.2 - PS - Refresh</t>
  </si>
  <si>
    <t>AS22AA215MA08A00WQ</t>
  </si>
  <si>
    <t>EC PRO - Battery 34.5 Kwh - Charger 3.2 Kw - E</t>
  </si>
  <si>
    <t>PJN4ASCNBS6PSCC2WD</t>
  </si>
  <si>
    <t>AS22AA215MA08A00QK</t>
  </si>
  <si>
    <t>BOL PIK UP CBC 4WD BS6.2 - PS - Refresh</t>
  </si>
  <si>
    <t>GALAXY GREY</t>
  </si>
  <si>
    <t>ALFA Load Plus CNG</t>
  </si>
  <si>
    <t>ALFA LOAD PLUS CNG</t>
  </si>
  <si>
    <t>ARCTIC BLUE</t>
  </si>
  <si>
    <t>PKN2ADCMBS6PSNC5CB</t>
  </si>
  <si>
    <t>NEBULA BLUE</t>
  </si>
  <si>
    <t>BOL CAMPER GOLD RXD BS6.2 - Refresh</t>
  </si>
  <si>
    <t>JAVA BROWN</t>
  </si>
  <si>
    <t>PKN2ADCMBS6PSNC5WD</t>
  </si>
  <si>
    <t>ALFA PASS DUO</t>
  </si>
  <si>
    <t>PKN2ADCVBS6PSNC5BP</t>
  </si>
  <si>
    <t>PASSENGER</t>
  </si>
  <si>
    <t>KINGBLUE</t>
  </si>
  <si>
    <t>BLACK YELLOW</t>
  </si>
  <si>
    <t>PKN2ADCWBS6PSNC5WD</t>
  </si>
  <si>
    <t>BOL CAMPER GOLD ZXD BS6.2- Refresh</t>
  </si>
  <si>
    <t>PKN2ADCNBS6PSNC5WD</t>
  </si>
  <si>
    <t>BOL CAMPER 2WD BS6.2 - Refresh</t>
  </si>
  <si>
    <t>EL PRO FC DT - Battery 39.4 Kwh - Charger 7.2 Kw - E</t>
  </si>
  <si>
    <t>PKN4ADCMBS6PSNC5WD</t>
  </si>
  <si>
    <t>BOL CAMPER GOLD RXD 4WD BS6.2 - Refresh</t>
  </si>
  <si>
    <t>PKN4ADCMBS6PSNC5CB</t>
  </si>
  <si>
    <t>ALFA Passenger CNG</t>
  </si>
  <si>
    <t>PKN4ADCNBS6PSNC5WD</t>
  </si>
  <si>
    <t>ALFA PASSENGER CNG</t>
  </si>
  <si>
    <t>BOL CAMPER 4WD BS6.2 - Refresh</t>
  </si>
  <si>
    <t>PKN2ADCWBS6PSNC5CB</t>
  </si>
  <si>
    <t>ALFA Passenger Comfy</t>
  </si>
  <si>
    <t>ALFA PASSENGER COMFY</t>
  </si>
  <si>
    <t>PJN2EAHMBS6PSFD3WD</t>
  </si>
  <si>
    <t>MAXX HD</t>
  </si>
  <si>
    <t>MAXX HD 2.0L SXi AC - BS6.2</t>
  </si>
  <si>
    <t>ALFA Passenger Delux</t>
  </si>
  <si>
    <t>Discontinued</t>
  </si>
  <si>
    <t>PJN2EAHMBS6PSCD3WD</t>
  </si>
  <si>
    <t>MAXX HD 2.0L SXi CBC AC - BS6.2</t>
  </si>
  <si>
    <t>ALFA PASSENGER DELUX</t>
  </si>
  <si>
    <t>PHN2EAKMBS6PPFD3WD</t>
  </si>
  <si>
    <t>MAXX HD 1.9 Vxi CNG BS6.2</t>
  </si>
  <si>
    <t>PKN2ADCWBS6PSDD5WD</t>
  </si>
  <si>
    <t>BOL CAMPER GOLD ZX 2WD BS6.2 - NEW - CBC</t>
  </si>
  <si>
    <t>PHN2BAADBS6PSCD3WD</t>
  </si>
  <si>
    <t>MAXX CITY</t>
  </si>
  <si>
    <t>MAXX CITY LX CBC CNG BS6.2</t>
  </si>
  <si>
    <t>G2C3AACVXB3C2A01WT</t>
  </si>
  <si>
    <t>BE6</t>
  </si>
  <si>
    <t>1.5XL CBC V2 - Tipper / Hopper</t>
  </si>
  <si>
    <t>BEV</t>
  </si>
  <si>
    <t>ELECTRIC</t>
  </si>
  <si>
    <t>AUTOMATIC</t>
  </si>
  <si>
    <t>SUV</t>
  </si>
  <si>
    <t>&gt;65KW</t>
  </si>
  <si>
    <t>PRIVATE</t>
  </si>
  <si>
    <t>G2G4AACUXB3F1A01QT</t>
  </si>
  <si>
    <t>1.5XXL SD V4</t>
  </si>
  <si>
    <t>G2G4AACUXB3F1A01WT</t>
  </si>
  <si>
    <t>G2F4AACUXB3F1A01QT</t>
  </si>
  <si>
    <t>1.5XXL SD V6</t>
  </si>
  <si>
    <t>G2F4AACUXB3F1A01WT</t>
  </si>
  <si>
    <t>AS22SB215MB08A00CE</t>
  </si>
  <si>
    <t>Pack 1</t>
  </si>
  <si>
    <t>G2C3AACVXB3F1A01WT</t>
  </si>
  <si>
    <t>AS22SB215MB08A00QK</t>
  </si>
  <si>
    <t>1.5XL SD V2</t>
  </si>
  <si>
    <t>AS22SB215MB08A00RP</t>
  </si>
  <si>
    <t>G2C4AACVXB3H1A01WT</t>
  </si>
  <si>
    <t>DESERT MYST</t>
  </si>
  <si>
    <t>1.5XXL HD V2</t>
  </si>
  <si>
    <t>AS22SB215MB08A00WQ</t>
  </si>
  <si>
    <t>G2C3AACVXB3F1B01WT</t>
  </si>
  <si>
    <t>1.6XL SD V2</t>
  </si>
  <si>
    <t>AS22SB215MB08A00XJ</t>
  </si>
  <si>
    <t>AS22SC215MB08A00WQ</t>
  </si>
  <si>
    <t>G2C4AACVXB3H1C01WT</t>
  </si>
  <si>
    <t>1.6XXL HD V2</t>
  </si>
  <si>
    <t>AW62AYZF7TF11D00QJ</t>
  </si>
  <si>
    <t>XUV7XO</t>
  </si>
  <si>
    <t>AX7 PET AT 7 STR</t>
  </si>
  <si>
    <t>G2C4AACVXB3F1B01WT</t>
  </si>
  <si>
    <t>1.6XXL SD V2</t>
  </si>
  <si>
    <t>AW62AYZF7TF11D00QR</t>
  </si>
  <si>
    <t>AX7 PET AT 7 STR DT</t>
  </si>
  <si>
    <t>GALAXY GREY STHBLK</t>
  </si>
  <si>
    <t>G2G4AACUXB3F1B01WT</t>
  </si>
  <si>
    <t>1.6XXL SD V4</t>
  </si>
  <si>
    <t>AW62AYZF7TF11D00QW</t>
  </si>
  <si>
    <t>AW62AYZF7TF11D00RV</t>
  </si>
  <si>
    <t>G2F4AACUXB3F1B01QT</t>
  </si>
  <si>
    <t>RUBY VELVET</t>
  </si>
  <si>
    <t>1.6XXL SD V6</t>
  </si>
  <si>
    <t>AW62AYZF7TF11D00WQ</t>
  </si>
  <si>
    <t>AW62AYZF7TF11D00WX</t>
  </si>
  <si>
    <t>PKN2ADCWBS6PSND5CB</t>
  </si>
  <si>
    <t>EVEREST WHITE DT</t>
  </si>
  <si>
    <t>AW62AYZF7TF11D00XJ</t>
  </si>
  <si>
    <t>AX7 DSL MT 7 STR DT</t>
  </si>
  <si>
    <t>PKN2ADCVBS6PSCD5WD</t>
  </si>
  <si>
    <t>BOL CAMPER CBC 2WD POWER STEERING BS6.2 - CV</t>
  </si>
  <si>
    <t>AX7 DSL MT 7 STR</t>
  </si>
  <si>
    <t>MIDNIGHT BLACK</t>
  </si>
  <si>
    <t>G2F4AACUXB3F1B01WT</t>
  </si>
  <si>
    <t>G2C4EBCSXB3F1A01WT</t>
  </si>
  <si>
    <t>1.4XXL SD V2 CNG</t>
  </si>
  <si>
    <t>G2E4EBCTXB3F1A01WT</t>
  </si>
  <si>
    <t>1.4XXL SD V4 CNG - Airbag</t>
  </si>
  <si>
    <t>G2C4EBCSXB3C1A01WT</t>
  </si>
  <si>
    <t>1.4XXL CBC V2 CNG</t>
  </si>
  <si>
    <t>DEEP FOREST</t>
  </si>
  <si>
    <t>G2G4AACUXB3C1A01WT</t>
  </si>
  <si>
    <t>AX7 DSL AT 7 STR DT</t>
  </si>
  <si>
    <t>1.5XXL CBC V4</t>
  </si>
  <si>
    <t>AX7 DSL AT 7 STR</t>
  </si>
  <si>
    <t>PKN2ADCNBS6PSND5WD</t>
  </si>
  <si>
    <t>BOL CAMPER 2WD POWER STEERING BS6.2 - NEW</t>
  </si>
  <si>
    <t>PKN2ADCVBS6PSND5WD</t>
  </si>
  <si>
    <t>PKN2ADCWBS6PSND5WD</t>
  </si>
  <si>
    <t>PKN4ADCNBS6PSND5WD</t>
  </si>
  <si>
    <t>BOL CAMPER 4WD POWER STEERING BS6.2 - NEW</t>
  </si>
  <si>
    <t>PFN2EABKBS6PSBD3WD</t>
  </si>
  <si>
    <t>MAXX HD 1.7 LX BS6.2</t>
  </si>
  <si>
    <t>AAR2RPPX2TR01WD</t>
  </si>
  <si>
    <t>Supro Minitruck BS6.2 CNG DUO</t>
  </si>
  <si>
    <t>SSS24MJA7R8E6WQ</t>
  </si>
  <si>
    <t>BE 6 One above B59 R19 NCH</t>
  </si>
  <si>
    <t>PKN2ADCVBS6PSNG5WD</t>
  </si>
  <si>
    <t>BOL CAMPER GOLD VX 2WD POWER STEERING BS6.2 - CV</t>
  </si>
  <si>
    <t>G2C3AACVXB3C1A01WT</t>
  </si>
  <si>
    <t>1.5XL CBC V2</t>
  </si>
  <si>
    <t>AX7T DSL MT 6 STR DT</t>
  </si>
  <si>
    <t>AX7T DSL MT 6 STR</t>
  </si>
  <si>
    <t>G2C3AACVXB3C1A01QT</t>
  </si>
  <si>
    <t>G2C4AACVXB3C1A01WT</t>
  </si>
  <si>
    <t>1.5XXL CBC V2</t>
  </si>
  <si>
    <t>G2C4AACVXB3C1A01QT</t>
  </si>
  <si>
    <t>G2C4AACVXB3C1C01WT</t>
  </si>
  <si>
    <t>1.6XXL CBC V2</t>
  </si>
  <si>
    <t>G2C4AACVXB3C1C01QT</t>
  </si>
  <si>
    <t>G2D4AACVXB3F1A01WT</t>
  </si>
  <si>
    <t>AX7T DSL MT 7 STR DT</t>
  </si>
  <si>
    <t>1.5XXL SD V2 - Airbag</t>
  </si>
  <si>
    <t>AX7T DSL MT 7 STR</t>
  </si>
  <si>
    <t>G2D4AACVXB3F1A01QT</t>
  </si>
  <si>
    <t>BM12AH515MB02D02OG</t>
  </si>
  <si>
    <t>PKN2BAADBS6PSFA3WD</t>
  </si>
  <si>
    <t>MAXX CITY 1.3 LX BS6.2 - Special Edition</t>
  </si>
  <si>
    <t>G2E4AACUXB3F1A01WT</t>
  </si>
  <si>
    <t>1.5XXL SD V4 - Airbag</t>
  </si>
  <si>
    <t>G2E4AACUXB3F1A01QT</t>
  </si>
  <si>
    <t>G2D4AACVXB3F1B01WT</t>
  </si>
  <si>
    <t>1.6XXL SD V2 - Airbag</t>
  </si>
  <si>
    <t>PHN2BAADBS6PSTD3WD</t>
  </si>
  <si>
    <t>MAXX CITY LX CNG BS6.2 - Tipper / Hopper</t>
  </si>
  <si>
    <t>PKN2BAADBS6PSAD3WD</t>
  </si>
  <si>
    <t>MAXX CITY 1.3 LX CBC BS6.2 - Reefer VAN Negative Temp</t>
  </si>
  <si>
    <t>PJN2EXCUBS6PSAD3WD</t>
  </si>
  <si>
    <t>AX7T DSL AT 6 STR DT</t>
  </si>
  <si>
    <t>MAXX HD 2.0L LX CBC BS6.2 - Reefer VAN Negative Temp</t>
  </si>
  <si>
    <t>AAR2NPXU2TR0GWD</t>
  </si>
  <si>
    <t>AX7T DSL AT 6 STR</t>
  </si>
  <si>
    <t>Supro Mini Profit Truck LX BS6.2 - Tipper</t>
  </si>
  <si>
    <t>PKN2ADCWBS6PSDD5CB</t>
  </si>
  <si>
    <t>AAR23PXB2TW01WD</t>
  </si>
  <si>
    <t>Supro</t>
  </si>
  <si>
    <t>Supro Maxi Profit Truck LX CBC BS6.2</t>
  </si>
  <si>
    <t>AAR23QXB2TW01WD</t>
  </si>
  <si>
    <t>Supro Maxi Profit Truck VX CBC BS6.2</t>
  </si>
  <si>
    <t>AAR25PXU2TR01WD</t>
  </si>
  <si>
    <t>Supro Mini Profit Truck LX CBC BS6.2</t>
  </si>
  <si>
    <t>Current VIN</t>
  </si>
  <si>
    <t>Old VIN</t>
  </si>
  <si>
    <t>AAR2KPXU2TR01WD</t>
  </si>
  <si>
    <t>Asse Value with Freight</t>
  </si>
  <si>
    <t>GST</t>
  </si>
  <si>
    <t>GST Amount</t>
  </si>
  <si>
    <t>MM Inv Amt</t>
  </si>
  <si>
    <t>Supro Mini Profit Truck VX CBC BS6.2</t>
  </si>
  <si>
    <t>Dealer Margin</t>
  </si>
  <si>
    <t>Dealer Handling</t>
  </si>
  <si>
    <t>GST Amount 1</t>
  </si>
  <si>
    <t>Ex-Showroom Price ORG</t>
  </si>
  <si>
    <t>OEM Scheme @ BNDP</t>
  </si>
  <si>
    <t>OEM Scheme with GST</t>
  </si>
  <si>
    <t>Dealer Cont @ BNDP</t>
  </si>
  <si>
    <t>Dealer Contribution with GST</t>
  </si>
  <si>
    <t>Total Consumer Scheme with GST (OEM + Dealer)</t>
  </si>
  <si>
    <t>Cash Discount</t>
  </si>
  <si>
    <t>Accessories Discount</t>
  </si>
  <si>
    <t>Shield Discount</t>
  </si>
  <si>
    <t>PFN2EABKBS6PSTG3WD</t>
  </si>
  <si>
    <t>MAXX HD 1.7 LX CBC BS6.2 - Tipper / Hopper</t>
  </si>
  <si>
    <t>Check</t>
  </si>
  <si>
    <t>Acc Dsc Elg</t>
  </si>
  <si>
    <t>Sheld Disc Elg</t>
  </si>
  <si>
    <t>PHN2EXCEBS6PSFD3WD</t>
  </si>
  <si>
    <t>MAXX HD LX CNG BS6.2</t>
  </si>
  <si>
    <t>AZ1116YGTTA4EA01BZ</t>
  </si>
  <si>
    <t>Scorpio-N</t>
  </si>
  <si>
    <t>AX7T DSL AT 7 STR DT</t>
  </si>
  <si>
    <t>Z8 L D AT 2WD 7 STR BS6.2 - N - ADAS</t>
  </si>
  <si>
    <t>AAR2WPXB2TW01WD</t>
  </si>
  <si>
    <t>Supro Maxi Profit Truck LX BS6.2</t>
  </si>
  <si>
    <t>AX7T DSL AT 7 STR</t>
  </si>
  <si>
    <t>AAR2WQXB2TW01CC</t>
  </si>
  <si>
    <t>Supro Maxi Profit Truck VX BS6.2</t>
  </si>
  <si>
    <t>LAKESIDE BROWN</t>
  </si>
  <si>
    <t>AAR2WQXB2TW01RY</t>
  </si>
  <si>
    <t>CRIMSON RED</t>
  </si>
  <si>
    <t>AZ1116YGTTA4EA01WQ</t>
  </si>
  <si>
    <t>AAR2WQXB2TW01WD</t>
  </si>
  <si>
    <t>AZ1116YGTTA4EA01SG</t>
  </si>
  <si>
    <t>AAR2NPXU2TR01BU</t>
  </si>
  <si>
    <t>Supro Mini Profit Truck LX BS6.2</t>
  </si>
  <si>
    <t>DEEP WARM BLUE</t>
  </si>
  <si>
    <t>AAR2NPXU2TR01RY</t>
  </si>
  <si>
    <t>AZ1116YGTTA4EA01JD</t>
  </si>
  <si>
    <t>AAR2NPXU2TR01WD</t>
  </si>
  <si>
    <t>AZ1116YGTTA4EA01XJ</t>
  </si>
  <si>
    <t>PJN4ASCNBS6PSND2WD</t>
  </si>
  <si>
    <t>BOL PIK UP 4WD BS6.2 - PS</t>
  </si>
  <si>
    <t>AZ1116YGTTA2EA01BZ</t>
  </si>
  <si>
    <t>Z8 L D AT 2WD 6 STR BS6.2 - N - ADAS</t>
  </si>
  <si>
    <t>AX7L PET AT 6 STR DT</t>
  </si>
  <si>
    <t>PJN2ADCNBS6PSND5WD</t>
  </si>
  <si>
    <t>AX7L PET AT 6 STR</t>
  </si>
  <si>
    <t>AZ1116YGTTA2EA01WQ</t>
  </si>
  <si>
    <t>PJN4ADCNBS6PSND5WD</t>
  </si>
  <si>
    <t>AZ1116YGTTA2EA01SG</t>
  </si>
  <si>
    <t>PJN2CSCMBS6PSFD2WD</t>
  </si>
  <si>
    <t>BOL PIK UP FB 1.3T - BS6.2 - PS AC</t>
  </si>
  <si>
    <t>PJN2ADCWBS6PSND5WD</t>
  </si>
  <si>
    <t>AZ1116YGTTA2EA01JD</t>
  </si>
  <si>
    <t>Pack 3</t>
  </si>
  <si>
    <t>PJN2CSCJBS6PSFD2WD</t>
  </si>
  <si>
    <t>BOL PIK UP FB 1.3T - BS6.2 - PS</t>
  </si>
  <si>
    <t>AZ1116YGTTA2EA01XJ</t>
  </si>
  <si>
    <t>AZ1118YGTTA4EA01BZ</t>
  </si>
  <si>
    <t>Z8 L D AT 4WD 7 STR BS6.2 - N - ADAS</t>
  </si>
  <si>
    <t>PJN2CSCJBS6MSFD2WD</t>
  </si>
  <si>
    <t>BOL PIK UP FB 1.3T - BS6.2 - MS</t>
  </si>
  <si>
    <t>AZ1118YGTTA4EA01WQ</t>
  </si>
  <si>
    <t>AX7L PET AT 7 STR DT</t>
  </si>
  <si>
    <t>PJN2CSCJBS6MSCD2WD</t>
  </si>
  <si>
    <t>BOL PIK UP CBC 1.3T - BS6.2 - MS</t>
  </si>
  <si>
    <t>AX7L PET AT 7 STR</t>
  </si>
  <si>
    <t>PJN2ADCWBS6PSND5CB</t>
  </si>
  <si>
    <t>PKN2BAADBS6PSCD3WD</t>
  </si>
  <si>
    <t>MAXX CITY 1.3 LX CBC BS6.2</t>
  </si>
  <si>
    <t>PKN2BAADBS6PSFD3WD</t>
  </si>
  <si>
    <t>MAXX CITY 1.3 LX BS6.2</t>
  </si>
  <si>
    <t>PFN2FACEBS6PSFD3WD</t>
  </si>
  <si>
    <t>MAXX CITY 1.5 LX BS6.2</t>
  </si>
  <si>
    <t>PFN2FACNBS6PSFD3WD</t>
  </si>
  <si>
    <t>Z8 L G MT 2WD 7 STR BS6.2 - N - ADAS</t>
  </si>
  <si>
    <t>MAXX CITY 1.4 LX BS6.2</t>
  </si>
  <si>
    <t>PFN2FACNBS6PPFD3WD</t>
  </si>
  <si>
    <t>MAXX CITY 1.4 VXi BS6.2</t>
  </si>
  <si>
    <t>PFN2EABKBS6PSAD3WD</t>
  </si>
  <si>
    <t>MAXX HD 1.7 LX CBC BS6.2 - Reefer VAN Negative Temp</t>
  </si>
  <si>
    <t>Z6 D MT 2WD 7 STR BS6.2 - New</t>
  </si>
  <si>
    <t>AAR25PXU2TR0GWD</t>
  </si>
  <si>
    <t>Supro Mini Profit Truck LX CBC BS6.2 - Tipper / Hopper</t>
  </si>
  <si>
    <t>AAR2KPXU2TR0GWD</t>
  </si>
  <si>
    <t>Supro Mini Profit Truck VX CBC BS6.2 - Tipper / Hopper</t>
  </si>
  <si>
    <t>AX7L DSL MT 7 STR DT</t>
  </si>
  <si>
    <t>AAR23QXB2TW0GWD</t>
  </si>
  <si>
    <t>Supro Maxi Profit Truck VX CBC BS6.2 - Tipper / Hopper</t>
  </si>
  <si>
    <t>Z6 D AT 2WD 7 STR BS6.2 - New</t>
  </si>
  <si>
    <t>AX7L DSL MT 7 STR</t>
  </si>
  <si>
    <t>PKN2BAADBS6PSFD3RX</t>
  </si>
  <si>
    <t>PJN4ASCNBS6PSCD2WD</t>
  </si>
  <si>
    <t>BOL PIK UP CBC 4WD BS6.2 - PS</t>
  </si>
  <si>
    <t>PJN2ADCVBS6PSND5WD</t>
  </si>
  <si>
    <t>PJN2ADCVBS6PSNG5WD</t>
  </si>
  <si>
    <t>AX7 PET MT 7 STR DT</t>
  </si>
  <si>
    <t>AX7 PET MT 7 STR</t>
  </si>
  <si>
    <t>PFN2FACEBS6PSCD3WD</t>
  </si>
  <si>
    <t>MAXX CITY 1.5 LX CBC BS6.2</t>
  </si>
  <si>
    <t>AAR2RPXU2TR01BU</t>
  </si>
  <si>
    <t>Supro Mini Profit Truck VX BS6.2</t>
  </si>
  <si>
    <t>AAR2RPXU2TR01RY</t>
  </si>
  <si>
    <t>BE 6 Three Select B59 R19 C11</t>
  </si>
  <si>
    <t>AAR2RPXU2TR01WD</t>
  </si>
  <si>
    <t>BM12AJ515MB01B00XJ</t>
  </si>
  <si>
    <t>AAR2WPXB2TW01CC</t>
  </si>
  <si>
    <t>BM12AJ515MB01B00RQ</t>
  </si>
  <si>
    <t>AAR2WPXB2TW01RY</t>
  </si>
  <si>
    <t>PFN2FACNBS6PSCD3WD</t>
  </si>
  <si>
    <t>MAXX CITY 1.4 LX CBC BS6.2</t>
  </si>
  <si>
    <t>BM12AJ515MB01B00QK</t>
  </si>
  <si>
    <t>PJN2EXCKBS6PPFD3WD</t>
  </si>
  <si>
    <t>MAXX HD 1.7L VXi BS6.2</t>
  </si>
  <si>
    <t>PJN2EXCKBS6PSFD3WD</t>
  </si>
  <si>
    <t>MAXX HD 1.7L LX BS6.2</t>
  </si>
  <si>
    <t>PJN2EXCUBS6PSFD3WD</t>
  </si>
  <si>
    <t>MAXX HD 2.0L LX BS6.2</t>
  </si>
  <si>
    <t>BM12AJ515MB01B00OG</t>
  </si>
  <si>
    <t>PJN2EXCUBS6PSCD3WD</t>
  </si>
  <si>
    <t>MAXX HD 2.0L LX CBC BS6.2</t>
  </si>
  <si>
    <t>PFN2EABDBS6PSFD3WD</t>
  </si>
  <si>
    <t>MAXX HD 1.3 LX BS6.2</t>
  </si>
  <si>
    <t>PFN2EABKBS6PPFD3WD</t>
  </si>
  <si>
    <t>MAXX HD 1.7 VXi BS6.2</t>
  </si>
  <si>
    <t>G2C3AACVXB3C1C01WT</t>
  </si>
  <si>
    <t>1.6XL CBC V2</t>
  </si>
  <si>
    <t>PFN2EABKBS6PSCD3WD</t>
  </si>
  <si>
    <t>MAXX HD 1.7 LX CBC BS6.2</t>
  </si>
  <si>
    <t>PFN2EABKBS6PSFD3WD</t>
  </si>
  <si>
    <t>PHN2BAADBS6PSFD3WD</t>
  </si>
  <si>
    <t>MAXX CITY LX CNG BS6.2</t>
  </si>
  <si>
    <t>PJN2ADCVBS6PSND5BP</t>
  </si>
  <si>
    <t>AAR23RXB2TW01WD</t>
  </si>
  <si>
    <t>AX7L DSL AT 6 STR DT</t>
  </si>
  <si>
    <t>Supro Maxi Profit Truck ZX CBC BS6.2</t>
  </si>
  <si>
    <t>AAR2WRXB2TW01CC</t>
  </si>
  <si>
    <t>Supro Maxi Profit Truck ZX BS6.2</t>
  </si>
  <si>
    <t>AX7L DSL AT 6 STR</t>
  </si>
  <si>
    <t>AAR2WRXB2TW01RY</t>
  </si>
  <si>
    <t>AAR2WRXB2TW01WD</t>
  </si>
  <si>
    <t>AAR2SPXU2TW01BZ</t>
  </si>
  <si>
    <t>Supro Minitruck Excel BS6.2</t>
  </si>
  <si>
    <t>REGAL BLUE</t>
  </si>
  <si>
    <t>AAR2SPXU2TW01WD</t>
  </si>
  <si>
    <t>AAR27PPX2TW01WD</t>
  </si>
  <si>
    <t>Supro Minitruck Excel CNG DUO BS6.2</t>
  </si>
  <si>
    <t>AAR27PPX2TW01BZ</t>
  </si>
  <si>
    <t>PKN2BAFMBS6PSFD3WD</t>
  </si>
  <si>
    <t>MAXX CITY 1.3 SXi AC - BS6.2</t>
  </si>
  <si>
    <t>PKN2BAFMBS6PPFD3WD</t>
  </si>
  <si>
    <t>MAXX CITY 1.3 VXi AC - BS6.2</t>
  </si>
  <si>
    <t>PFN2FAMMBS6PPFD3WD</t>
  </si>
  <si>
    <t>Z8 L D MT 2WD 7 STR BS6.2 - N - ADAS</t>
  </si>
  <si>
    <t>MAXX CITY 1.4 VXi AC - BS6.2</t>
  </si>
  <si>
    <t>PFN2FAEMBS6PPFD3WD</t>
  </si>
  <si>
    <t>MAXX CITY 1.5 VXi AC - BS6.2</t>
  </si>
  <si>
    <t>PFN2EALMBS6PPFD3WD</t>
  </si>
  <si>
    <t>MAXX HD 1.3 VXi AC - BS6.2</t>
  </si>
  <si>
    <t>AX7L DSL AT 7 STR DT</t>
  </si>
  <si>
    <t>PFN2EADMBS6PPFD3WD</t>
  </si>
  <si>
    <t>MAXX HD 1.7 VXi AC - BS6.2</t>
  </si>
  <si>
    <t>AX7L DSL AT 7 STR</t>
  </si>
  <si>
    <t>PJN2EAGMBS6PSFD3WD</t>
  </si>
  <si>
    <t>MAXX HD 1.7L SXi AC - BS6.2</t>
  </si>
  <si>
    <t>Pack 2</t>
  </si>
  <si>
    <t>PJN2EAHMBS6PPFD3WD</t>
  </si>
  <si>
    <t>MAXX HD 2.0L VXi AC - BS6.2</t>
  </si>
  <si>
    <t>PKN2BDANBS6PPFD3WD</t>
  </si>
  <si>
    <t>MAXX CITY 1.3 MXi BS6.2</t>
  </si>
  <si>
    <t>PFN2FDBNBS6PPFD3WD</t>
  </si>
  <si>
    <t>MAXX CITY 1.4 MXi BS6.2</t>
  </si>
  <si>
    <t>PFN2FDCNBS6PPFD3WD</t>
  </si>
  <si>
    <t>MAXX CITY 1.5 MXi BS6.2</t>
  </si>
  <si>
    <t>PJN2EDENBS6PPFD3WD</t>
  </si>
  <si>
    <t>MAXX HD 1.7L MXi BS6.2</t>
  </si>
  <si>
    <t>Z8 L G MT 2WD 6 STR BS6.2 - N - ADAS</t>
  </si>
  <si>
    <t>PJN2EDFNBS6PPFD3WD</t>
  </si>
  <si>
    <t>MAXX HD 2.0L MXi BS6.2</t>
  </si>
  <si>
    <t>PFN2EDDNBS6PPFD3WD</t>
  </si>
  <si>
    <t>MAXX HD 1.7 MXi BS6.2</t>
  </si>
  <si>
    <t>G2C3AACVXB3C1C01QT</t>
  </si>
  <si>
    <t>PKN2CSCJBS6MSCC2WD</t>
  </si>
  <si>
    <t>PKN2CSCJBS6MSFC2WD</t>
  </si>
  <si>
    <t>AX7T DSL AT AWD 7 STR DT</t>
  </si>
  <si>
    <t>PKN2CSCJBS6PSFC2WD</t>
  </si>
  <si>
    <t>AX7T DSL AT AWD 7 STR</t>
  </si>
  <si>
    <t>PKN2CSCMBS6PSFC2WD</t>
  </si>
  <si>
    <t>Z8 L G AT 2WD 7 STR BS6.2 - N - ADAS</t>
  </si>
  <si>
    <t>PKN4ASCMBS6PSNC2WD</t>
  </si>
  <si>
    <t>PKN4ASCNBS6PSCC2WD</t>
  </si>
  <si>
    <t>PKN4ASCNBS6PSNC2WD</t>
  </si>
  <si>
    <t>Z8 L G AT 2WD 6 STR BS6.2 - N - ADAS</t>
  </si>
  <si>
    <t>AX7L DSL AT AWD 7 STR DT</t>
  </si>
  <si>
    <t>AX7L DSL AT AWD 7 STR</t>
  </si>
  <si>
    <t>Z8 L G MT 2WD 7 STR BS6.2 - N - Black Edition - ADAS</t>
  </si>
  <si>
    <t>Z8T D MT 2WD 7 STR BS6.2 - N</t>
  </si>
  <si>
    <t>Z8T D AT 2WD 7 STR BS6.2 - N</t>
  </si>
  <si>
    <t>Z8T D MT 4WD 7 STR BS6.2 - N</t>
  </si>
  <si>
    <t>AX7T PET AT 6 STR DT</t>
  </si>
  <si>
    <t>Z8T D AT 4WD 7 STR BS6.2 - N</t>
  </si>
  <si>
    <t>AX7T PET AT 6 STR</t>
  </si>
  <si>
    <t>Z8T G MT 2WD 7 STR BS6.2 - N</t>
  </si>
  <si>
    <t>BE 6 Two B59 R19 NCH</t>
  </si>
  <si>
    <t>Z8T G AT 2WD 7 STR BS6.2 - N</t>
  </si>
  <si>
    <t>BM12AB515MB02D02XJ</t>
  </si>
  <si>
    <t>AX7T PET AT 7 STR DT</t>
  </si>
  <si>
    <t>AX7T PET AT 7 STR</t>
  </si>
  <si>
    <t>AX3 PET MT 7 STR</t>
  </si>
  <si>
    <t>AX3 PET AT 7 STR</t>
  </si>
  <si>
    <t>AX3 DSL MT 7 STR</t>
  </si>
  <si>
    <t>Z8T D AT 4WD 7 STR BS6.2 - N - Black Edition</t>
  </si>
  <si>
    <t>Z8 D MT 2WD 7 STR BS6.2 - N</t>
  </si>
  <si>
    <t>Z8 D AT 2WD 7 STR BS6.2 - N</t>
  </si>
  <si>
    <t>AX3 DSL AT 7 STR</t>
  </si>
  <si>
    <t>BE6 FE</t>
  </si>
  <si>
    <t>AX5 PET MT 7 STR</t>
  </si>
  <si>
    <t>BE 6 FE3 B79 R20 NCH</t>
  </si>
  <si>
    <t>BM12AQ715MB01B02OG</t>
  </si>
  <si>
    <t>XUV700</t>
  </si>
  <si>
    <t>Bolero</t>
  </si>
  <si>
    <t>B4 BS6.2 - Refresh</t>
  </si>
  <si>
    <t>PV</t>
  </si>
  <si>
    <t>NON XUV</t>
  </si>
  <si>
    <t>YES</t>
  </si>
  <si>
    <t>BOLERO</t>
  </si>
  <si>
    <t>OXFORD BLUE</t>
  </si>
  <si>
    <t>ROCKEY BEIGE</t>
  </si>
  <si>
    <t>DSAT SILVER</t>
  </si>
  <si>
    <t>BH826H1S7U6XJ</t>
  </si>
  <si>
    <t>BH826H1ZH7U6BP</t>
  </si>
  <si>
    <t>AX5 PET AT 7 STR</t>
  </si>
  <si>
    <t>B6 BS6.2 - Refresh</t>
  </si>
  <si>
    <t>B6 BS6.2 - REFRESH</t>
  </si>
  <si>
    <t>BOLERO B6 BS6.2 - REFRESH</t>
  </si>
  <si>
    <t>BH826H1ZH7U6RX</t>
  </si>
  <si>
    <t>BH826H1ZH7U6SK</t>
  </si>
  <si>
    <t>BH826H1ZH7U6WD</t>
  </si>
  <si>
    <t>B6 OPT BS6.2 - Refresh</t>
  </si>
  <si>
    <t>AX5 PET MT 7 STR BS6.2 - New</t>
  </si>
  <si>
    <t>AX5 DSL MT 7 STR</t>
  </si>
  <si>
    <t>B8 BS6.2 - Refresh</t>
  </si>
  <si>
    <t>BH826H1ZSJ7U6RX</t>
  </si>
  <si>
    <t>BH826H1ZSJ7U6SK</t>
  </si>
  <si>
    <t>BH826H1ZSJ7U6WD</t>
  </si>
  <si>
    <t>BH826H1ZSJ7U6XJ</t>
  </si>
  <si>
    <t>AX5 DSL AT 7 STR</t>
  </si>
  <si>
    <t>Bolero Neo</t>
  </si>
  <si>
    <t>N10 BS6.2 - R - Refresh</t>
  </si>
  <si>
    <t>BOLERO NEO</t>
  </si>
  <si>
    <t>PEARL WHITE</t>
  </si>
  <si>
    <t>N10 OPT BS6.2 - Refresh</t>
  </si>
  <si>
    <t>AX PET MT 7 STR</t>
  </si>
  <si>
    <t>BATTLESHIP GREY</t>
  </si>
  <si>
    <t>BURNT SIENNA</t>
  </si>
  <si>
    <t>AU36JPXZ7TX33C00WD</t>
  </si>
  <si>
    <t>N4 BS6.2 - Refresh</t>
  </si>
  <si>
    <t>AU36JPXZ7TX33C00QT</t>
  </si>
  <si>
    <t>AU36JPXZ7TX33C00JC</t>
  </si>
  <si>
    <t>N8 BS6.2 - Refresh</t>
  </si>
  <si>
    <t>AX7L DMT 2WD - Mocha Interiors</t>
  </si>
  <si>
    <t>AW5076YYT2D4PE01AJ</t>
  </si>
  <si>
    <t>AW5076YYT2D4PE01AK</t>
  </si>
  <si>
    <t>AW5076YYT2D4PE01AL</t>
  </si>
  <si>
    <t>Bolero Neo +</t>
  </si>
  <si>
    <t>P10 BS6.2</t>
  </si>
  <si>
    <t>BOLERO NEO +</t>
  </si>
  <si>
    <t>AW5076YYT2D4PE01AM</t>
  </si>
  <si>
    <t>AU36DPYX9T229A00SE</t>
  </si>
  <si>
    <t>AW5076KYT7D4PE01ZP</t>
  </si>
  <si>
    <t>AU36DPYX9T229A00XH</t>
  </si>
  <si>
    <t>AX7L DAT 2WD - Mocha Interiors</t>
  </si>
  <si>
    <t>AW5076KYT7D4PE01AN</t>
  </si>
  <si>
    <t>AU36DPYX9T227A00SE</t>
  </si>
  <si>
    <t>AW5076KYT7D4PE01AH</t>
  </si>
  <si>
    <t>AU36DPYX9T227A00XH</t>
  </si>
  <si>
    <t>AW5076KYT7D4PE01AJ</t>
  </si>
  <si>
    <t>AU36WPYX5T227A00WD</t>
  </si>
  <si>
    <t>P4 AMBULANCE BS6.2</t>
  </si>
  <si>
    <t>AW5076KYT7D4PE01AK</t>
  </si>
  <si>
    <t>AX5 S PET AT 7 STR BS6.2 - New</t>
  </si>
  <si>
    <t>AW5076KYT7D4PE01AL</t>
  </si>
  <si>
    <t>AW5076KYT7D4PE01AM</t>
  </si>
  <si>
    <t>AW5068ZAT2B1KC01WQ</t>
  </si>
  <si>
    <t>Thar</t>
  </si>
  <si>
    <t>LX P MT 4WD 4S HT BS6.2 - NT</t>
  </si>
  <si>
    <t>AW5068ZAT2B1KC01XJ</t>
  </si>
  <si>
    <t>AW5068ZBTTB1KC01JD</t>
  </si>
  <si>
    <t>LX P AT 4WD 4S HT BS6.2 - NT</t>
  </si>
  <si>
    <t>E ALFA CARGO</t>
  </si>
  <si>
    <t>AS22APNP5T115C00AD</t>
  </si>
  <si>
    <t>XUV 3XO</t>
  </si>
  <si>
    <t>REVX M PM MT</t>
  </si>
  <si>
    <t>STEALTH BLACK GREY</t>
  </si>
  <si>
    <t>AS22APNP5T115C00AE</t>
  </si>
  <si>
    <t>TANGO RED BLACK</t>
  </si>
  <si>
    <t>AW62BMZR7TF10A00XJ</t>
  </si>
  <si>
    <t>AS22APNP5T115C00ZW</t>
  </si>
  <si>
    <t>NEBULA BLUE GREY</t>
  </si>
  <si>
    <t>AS22APNP5T115C00ZX</t>
  </si>
  <si>
    <t>EVEREST WHITE BLACK</t>
  </si>
  <si>
    <t>AW62BMZS7TA10A00BA</t>
  </si>
  <si>
    <t>AX5 S DSL MT 7 STR BS6.2 - New</t>
  </si>
  <si>
    <t>REVX M(O) PM MT</t>
  </si>
  <si>
    <t>E ALFA PLUS</t>
  </si>
  <si>
    <t>AW62BMZS7TA10A00BZ</t>
  </si>
  <si>
    <t>1EV2DH5T3FZG1NB</t>
  </si>
  <si>
    <t>E-ALFA+ NISS BLU</t>
  </si>
  <si>
    <t>OCEANIC BLUE</t>
  </si>
  <si>
    <t>1EV2DH5T3FZG1WS</t>
  </si>
  <si>
    <t>E-ALFA+ SOLT WT</t>
  </si>
  <si>
    <t>REVX A PG MT</t>
  </si>
  <si>
    <t>1EV2DH5T3FZG1WR</t>
  </si>
  <si>
    <t>E-ALFA+ WARM RED</t>
  </si>
  <si>
    <t>E ALFA PLUS HT</t>
  </si>
  <si>
    <t>REVX A PG AT</t>
  </si>
  <si>
    <t>E ALFA SUPER</t>
  </si>
  <si>
    <t>AZ1116YJT2A4FA01WQ</t>
  </si>
  <si>
    <t>Z2 D MT 2WD 7 STR - E BS6.2 - New</t>
  </si>
  <si>
    <t>AZ1116YJT2A4FA01XJ</t>
  </si>
  <si>
    <t>AZ1116YJT2A4FA01SG</t>
  </si>
  <si>
    <t>VALARIAN SILVER</t>
  </si>
  <si>
    <t>JEETO CNG</t>
  </si>
  <si>
    <t>JEETO DIESEL</t>
  </si>
  <si>
    <t>Z4 D MT 2WD 7 STR - E BS6.2 - New</t>
  </si>
  <si>
    <t>Z4 G MT 2WD 7 STR - E BS6.2 - New</t>
  </si>
  <si>
    <t>Z4 G AT 2WD 7 STR BS6.2 - New</t>
  </si>
  <si>
    <t>AZ1116ZDTTA4GA01JD</t>
  </si>
  <si>
    <t>AZ1116YDT6A4CA01WQ</t>
  </si>
  <si>
    <t>AW62BMZS7TA10A00CM</t>
  </si>
  <si>
    <t>AZ1116YDT6A4CA01XJ</t>
  </si>
  <si>
    <t>AW62BMZS7TA10A00JD</t>
  </si>
  <si>
    <t>AW62BXZE7TA11D00BZ</t>
  </si>
  <si>
    <t>AW62BMZS7TA10A00RA</t>
  </si>
  <si>
    <t>JEETO PETROL</t>
  </si>
  <si>
    <t>PETROL</t>
  </si>
  <si>
    <t>AW62BXZE7TA11D00QW</t>
  </si>
  <si>
    <t>JEETO STRONG CNG</t>
  </si>
  <si>
    <t>INACTIVE</t>
  </si>
  <si>
    <t>AW62BXZS7TA11D00BN</t>
  </si>
  <si>
    <t>AX DSL MT 7 STR</t>
  </si>
  <si>
    <t>JEETO STRONG DIESEL</t>
  </si>
  <si>
    <t>AW62BXZS7TA11D00BZ</t>
  </si>
  <si>
    <t>AW62BXZS7TA11D00QW</t>
  </si>
  <si>
    <t>AW62BXZS7TA11D00WQ</t>
  </si>
  <si>
    <t>AW62BXZS7TA11D00XJ</t>
  </si>
  <si>
    <t>AU32BPTX7T161A00WP</t>
  </si>
  <si>
    <t>Marazzo</t>
  </si>
  <si>
    <t>M2 7 Str BS6.2</t>
  </si>
  <si>
    <t>FWD</t>
  </si>
  <si>
    <t>MARAZZO</t>
  </si>
  <si>
    <t>ICEBERG WHITE</t>
  </si>
  <si>
    <t>AU32BPTX8T161A00SK</t>
  </si>
  <si>
    <t>M2 8 Str BS6.2</t>
  </si>
  <si>
    <t>SSS24MJA7R8E7QK</t>
  </si>
  <si>
    <t>SSS24MJA7R8E6QK</t>
  </si>
  <si>
    <t>M4+ 7 Str BS6.2</t>
  </si>
  <si>
    <t>SSS24MJA7R8E7WQ</t>
  </si>
  <si>
    <t>AU32DPTX8T161A00WQ</t>
  </si>
  <si>
    <t>M4+ 8 Str BS6.2</t>
  </si>
  <si>
    <t>AU32GPTX7T161A00WP</t>
  </si>
  <si>
    <t>M6+ 7 Str BS6.2</t>
  </si>
  <si>
    <t>AZ1116YDT6A4EA01XJ</t>
  </si>
  <si>
    <t>AU32GPTX7T161A00WQ</t>
  </si>
  <si>
    <t>AZ1116YDT6A2EA01BZ</t>
  </si>
  <si>
    <t>Z8 L D MT 2WD 6 STR BS6.2 - N - ADAS</t>
  </si>
  <si>
    <t>AU32GPTX8T161A00WP</t>
  </si>
  <si>
    <t>M6+ 8 Str BS6.2</t>
  </si>
  <si>
    <t>AU32GPTX8T161A00WQ</t>
  </si>
  <si>
    <t>CV</t>
  </si>
  <si>
    <t>CBC</t>
  </si>
  <si>
    <t>Z8 L D MT 4WD 7 STR BS6.2 - N - ADAS</t>
  </si>
  <si>
    <t>1.4 VXI AC - BS6.2</t>
  </si>
  <si>
    <t>MAXX CITY 1.4 VXI AC - BS6.2</t>
  </si>
  <si>
    <t>1.5 LX BS6.2</t>
  </si>
  <si>
    <t>1.7 LX CBC BS6.2 - TIPPER / HOPPER</t>
  </si>
  <si>
    <t>MAXX HD 1.7 LX CBC BS6.2 - TIPPER / HOPPER</t>
  </si>
  <si>
    <t>1.7 MXI BS6.2</t>
  </si>
  <si>
    <t>MAXX HD 1.7 MXI BS6.2</t>
  </si>
  <si>
    <t>1.7 VXI AC - BS6.2</t>
  </si>
  <si>
    <t>MAXX HD 1.7 VXI AC - BS6.2</t>
  </si>
  <si>
    <t>AX7 PET MT 7 STR BS6.2 - EBONY</t>
  </si>
  <si>
    <t>1.7L LX BS6.2</t>
  </si>
  <si>
    <t>AX7 PET AT 7 STR BS6.2 - EBONY</t>
  </si>
  <si>
    <t>AX7 DSL MT 7 STR BS6.2 - EBONY</t>
  </si>
  <si>
    <t>CAMPER</t>
  </si>
  <si>
    <t>AX7 DSL AT 7 STR BS6.2 - EBONY</t>
  </si>
  <si>
    <t>AX7 L PET AT 7 STR BS6.2 - EBONY</t>
  </si>
  <si>
    <t>4WD</t>
  </si>
  <si>
    <t>AX7 L DSL MT 7 STR BS6.2 - EBONY</t>
  </si>
  <si>
    <t>GOLD RXD BS6.2 - REFRESH</t>
  </si>
  <si>
    <t>CAMPER GOLD RXD BS6.2 - REFRESH</t>
  </si>
  <si>
    <t>GOLD RXD BS6.2 CV - REFRESH</t>
  </si>
  <si>
    <t>CAMPER GOLD RXD BS6.2 CV - REFRESH</t>
  </si>
  <si>
    <t>AX7 L DSL AT 7 STR BS6.2 - EBONY</t>
  </si>
  <si>
    <t>SCORPIO</t>
  </si>
  <si>
    <t>CLASSIC S11 BS6.2 - E</t>
  </si>
  <si>
    <t>SCORPIO CLASSIC S11 BS6.2 - E</t>
  </si>
  <si>
    <t>AX5 DSL MT 7 STR BS6.2 - New</t>
  </si>
  <si>
    <t>SCORPIO-N</t>
  </si>
  <si>
    <t>Z2 D MT 2WD 7 STR - E BS6.2 - NEW</t>
  </si>
  <si>
    <t>SCORPIO-N Z2 D MT 2WD 7 STR - E BS6.2 - NEW</t>
  </si>
  <si>
    <t>AZ1096YJT2A4FA01SF</t>
  </si>
  <si>
    <t>DAZZLING SILVER</t>
  </si>
  <si>
    <t>AZ1096YJT2A4FA01WQ</t>
  </si>
  <si>
    <t>AZ1096YJT2A4FA01XJ</t>
  </si>
  <si>
    <t>AZ1036YJT2A4FA01XH</t>
  </si>
  <si>
    <t>AZ1036YJT2A4FA01SF</t>
  </si>
  <si>
    <t>RED RAGE</t>
  </si>
  <si>
    <t>AX5 DSL AT 7 STR BS6.2 - New</t>
  </si>
  <si>
    <t>LXT D AT 4WD 4S HT BS6.2</t>
  </si>
  <si>
    <t>LXT P MT 4WD 4S HT BS6.2</t>
  </si>
  <si>
    <t>AW5068ZAT2B1UC01QL</t>
  </si>
  <si>
    <t>AW5068ZAT2B1UC01RQ</t>
  </si>
  <si>
    <t>AW5068ZAT2B1UC01WQ</t>
  </si>
  <si>
    <t>AW5068ZAT2B1UC01XJ</t>
  </si>
  <si>
    <t>AW5066TZT2B1VC01JD</t>
  </si>
  <si>
    <t>AXT D MT 2WD 4S HT BS6.2</t>
  </si>
  <si>
    <t>AW5066TZT2B1VC01RQ</t>
  </si>
  <si>
    <t>AW5066TZT2B1VC01XJ</t>
  </si>
  <si>
    <t>B4 BS6.2</t>
  </si>
  <si>
    <t>B6 BS6.2</t>
  </si>
  <si>
    <t>B6 OPT BS6.2</t>
  </si>
  <si>
    <t>AZ1036ZCT6A4GA01XH</t>
  </si>
  <si>
    <t>AZ1036ZCT6A4GA01SF</t>
  </si>
  <si>
    <t>AZ1036ZCT6A4GA01JD</t>
  </si>
  <si>
    <t>AZ1036ZCT6A4GA01XJ</t>
  </si>
  <si>
    <t>ELECTRIC BLUE</t>
  </si>
  <si>
    <t>N4 BS6.2</t>
  </si>
  <si>
    <t>N8 BS6.2</t>
  </si>
  <si>
    <t>N10 BS6.2 - R</t>
  </si>
  <si>
    <t>AU36KPXZ7TX30B00SE</t>
  </si>
  <si>
    <t>AU36KPXZ7TX30B00JC</t>
  </si>
  <si>
    <t>AU36JPXZ7TX30B00XH</t>
  </si>
  <si>
    <t>AU36JPXZ7TX30B00JC</t>
  </si>
  <si>
    <t>BH826F9S7U6BP</t>
  </si>
  <si>
    <t>BH826F9S7U6GQ</t>
  </si>
  <si>
    <t>BH826F9S7U6RX</t>
  </si>
  <si>
    <t>AZ1096YDT6A4DA01WQ</t>
  </si>
  <si>
    <t>AZ1096YDT6A4DA01XJ</t>
  </si>
  <si>
    <t>AU36NPXZ7TX26B00RX</t>
  </si>
  <si>
    <t>AU36NPXZ7TX26B00SE</t>
  </si>
  <si>
    <t>AU36NPXZ7TX26B00XH</t>
  </si>
  <si>
    <t>BH826G1ZSH7U6SK</t>
  </si>
  <si>
    <t>BH826G1ZSH7U6WD</t>
  </si>
  <si>
    <t>BH826G1ZH7U6WD</t>
  </si>
  <si>
    <t>BH826G1S7U6WD</t>
  </si>
  <si>
    <t>AU36NPXZ7TX30B00XH</t>
  </si>
  <si>
    <t>AU36NPXZ7TX30B00NP</t>
  </si>
  <si>
    <t>AZ1096YDT6A4EA01BZ</t>
  </si>
  <si>
    <t>Z8 L D MT 2WD 7 STR BS6.2 - N</t>
  </si>
  <si>
    <t>AZ1116YDT6A4EA01JD</t>
  </si>
  <si>
    <t>AX5 PET MT 5 STR - E BS6.2 - New</t>
  </si>
  <si>
    <t>AX5 PET MT 7 STR - E BS6.2 - New</t>
  </si>
  <si>
    <t>Z8 L D MT 2WD 6 STR BS6.2 - N</t>
  </si>
  <si>
    <t>THAR</t>
  </si>
  <si>
    <t>LX D MT 4WD 4S CT BS6.2</t>
  </si>
  <si>
    <t>AQUAMARINE</t>
  </si>
  <si>
    <t>LX D AT 4WD 4S HT BS6.2</t>
  </si>
  <si>
    <t>LX P MT 4WD 4S HT BS6.2</t>
  </si>
  <si>
    <t>LX P AT 4WD 4S HT BS6.2</t>
  </si>
  <si>
    <t>AW5068ZBTTB1HC01WQ</t>
  </si>
  <si>
    <t>AW5068ZBTTB1HC01XH</t>
  </si>
  <si>
    <t>LX D MT 2WD 4S HT BS6.2</t>
  </si>
  <si>
    <t>LX P AT 2WD 4S HT BS6.2</t>
  </si>
  <si>
    <t>LX D MT 4WD 4S HT BS6.2</t>
  </si>
  <si>
    <t>LX D AT 4WD 4S CT BS6.2</t>
  </si>
  <si>
    <t>AX7 L DSL AT AWD 7 STR BS6.2 Dual Tone - New</t>
  </si>
  <si>
    <t>AW5068ZBTTB1KC01QK</t>
  </si>
  <si>
    <t>AW5068ZBTTB1KC01QL</t>
  </si>
  <si>
    <t>AW5068ZBTTB1KC01WQ</t>
  </si>
  <si>
    <t>MX PET MT 5 STR BS6.2 - New</t>
  </si>
  <si>
    <t>MX PET MT 7 STR - E BS6.2 - New</t>
  </si>
  <si>
    <t>LXT D MT 2WD 4S HT BS6.2</t>
  </si>
  <si>
    <t>AX7 PET MT 7 STR BS6.2 - New</t>
  </si>
  <si>
    <t>AX7 PET AT 7 STR BS6.2 - New</t>
  </si>
  <si>
    <t>LXT P AT 2WD 4S HT BS6.2</t>
  </si>
  <si>
    <t>AX7 DSL MT 7 STR BS6.2 - New</t>
  </si>
  <si>
    <t>AX7 DSL AT 7 STR BS6.2 - New</t>
  </si>
  <si>
    <t>LXT D MT 4WD 4S HT BS6.2</t>
  </si>
  <si>
    <t>AX7 L PET AT 7 STR BS6.2 - New</t>
  </si>
  <si>
    <t>AX7 L DSL MT 7 STR BS6.2 - New</t>
  </si>
  <si>
    <t>AW5068YKT2B1UC01XJ</t>
  </si>
  <si>
    <t>AW5068YLTTB1UC01JD</t>
  </si>
  <si>
    <t>AW5068YLTTB1UC01QK</t>
  </si>
  <si>
    <t>AX7 L DSL AT 7 STR BS6.2 - New</t>
  </si>
  <si>
    <t>AW5068YLTTB1UC01QL</t>
  </si>
  <si>
    <t>AX7 L DSL AT AWD 7 STR BS6.2 - New</t>
  </si>
  <si>
    <t>AW62AYZS7TA10A00WQ</t>
  </si>
  <si>
    <t>AW62AYZS7TA10A00BZ</t>
  </si>
  <si>
    <t>AZ1096YDT6A2EA01BZ</t>
  </si>
  <si>
    <t>AZ1096YDT6A2EA01JD</t>
  </si>
  <si>
    <t>AW5066TZT2B1VC01WQ</t>
  </si>
  <si>
    <t>THAR LXT P MT 4WD 4S HT BS6.2</t>
  </si>
  <si>
    <t>HARVEST GREEN</t>
  </si>
  <si>
    <t>AW5076YYT2D4MF01AH</t>
  </si>
  <si>
    <t>AX3L DMT 2WD</t>
  </si>
  <si>
    <t>THAR ROXX</t>
  </si>
  <si>
    <t>THAR ROXX AX3L DMT 2WD</t>
  </si>
  <si>
    <t>AW5076YYT2D4MF01AJ</t>
  </si>
  <si>
    <t>AX5L DAT 4WD</t>
  </si>
  <si>
    <t>AX5L DAT 4WD - Mocha Interiors</t>
  </si>
  <si>
    <t>Z2 G MT 2WD 7 STR BS6.2 - New</t>
  </si>
  <si>
    <t>AX7L DAT 2WD</t>
  </si>
  <si>
    <t>AW5076KYT7D4PF01AK</t>
  </si>
  <si>
    <t>AW5076KYT7D4PF01AL</t>
  </si>
  <si>
    <t>AW5076KYT7D4PF01AM</t>
  </si>
  <si>
    <t>AW5076KYT7D4PF01AN</t>
  </si>
  <si>
    <t>AW5076KYT7D4PF01ZP</t>
  </si>
  <si>
    <t>AW5076KYT7D4PE01XJ</t>
  </si>
  <si>
    <t>AX7L DAT 4WD</t>
  </si>
  <si>
    <t>DAZZLING SILVER DT</t>
  </si>
  <si>
    <t>AX7L DAT 4WD - Mocha Interiors</t>
  </si>
  <si>
    <t>AX7L DMT 2WD</t>
  </si>
  <si>
    <t>AX7L DMT 4WD</t>
  </si>
  <si>
    <t>AX7L DMT 4WD - Mocha Interiors</t>
  </si>
  <si>
    <t>AX7L PAT 2WD</t>
  </si>
  <si>
    <t>AW5026JVT2D4GF01AL</t>
  </si>
  <si>
    <t>MX1 PMT 2WD</t>
  </si>
  <si>
    <t>AW5026JVT2D4GF01XJ</t>
  </si>
  <si>
    <t>MX3 DAT 2WD</t>
  </si>
  <si>
    <t>AW5026YZT7D4HC01AL</t>
  </si>
  <si>
    <t>AW5026YZT7D4HC01AM</t>
  </si>
  <si>
    <t>MX3 DMT 2WD</t>
  </si>
  <si>
    <t>MX3 PAT 2WD</t>
  </si>
  <si>
    <t>MX5 PAT 2WD</t>
  </si>
  <si>
    <t>MX5 DAT 2WD</t>
  </si>
  <si>
    <t>MX5 DMT 2WD</t>
  </si>
  <si>
    <t>AW5026YYT2D4JC01ZP</t>
  </si>
  <si>
    <t>MX5 DMT 4WD</t>
  </si>
  <si>
    <t>MX5 DMT 4WD - Mocha Interiors</t>
  </si>
  <si>
    <t>MX5 PMT 2WD</t>
  </si>
  <si>
    <t>TREO AUTO</t>
  </si>
  <si>
    <t>2.0 SOFT TOP</t>
  </si>
  <si>
    <t>TREO AUTO 2.0 SOFT TOP</t>
  </si>
  <si>
    <t>0000AMJ00390N</t>
  </si>
  <si>
    <t>TREO 2.0 SFT OCEANIC BLUE</t>
  </si>
  <si>
    <t>0000AMJ00650N</t>
  </si>
  <si>
    <t>TREO 2.0 SFT ROSE PINK</t>
  </si>
  <si>
    <t>ROSE PINK</t>
  </si>
  <si>
    <t>0000AMJ00030N</t>
  </si>
  <si>
    <t>TREO HRT</t>
  </si>
  <si>
    <t>HARD TOP</t>
  </si>
  <si>
    <t>BLUE WHITE</t>
  </si>
  <si>
    <t>0000AMJ00010N</t>
  </si>
  <si>
    <t>TREO SFT</t>
  </si>
  <si>
    <t>SOFT TOP</t>
  </si>
  <si>
    <t>TREO PLUS</t>
  </si>
  <si>
    <t>TREO PLUS SM</t>
  </si>
  <si>
    <t>TREO PLUS METAL</t>
  </si>
  <si>
    <t>TREO PLUS METAL SOFT TOP</t>
  </si>
  <si>
    <t>0000ATA00030N</t>
  </si>
  <si>
    <t>TREO PLUS SFT SM BLK YEL</t>
  </si>
  <si>
    <t>AW5088YKT2B1HC01QK</t>
  </si>
  <si>
    <t>0000ATA00250N</t>
  </si>
  <si>
    <t>TREO PLUS SFT SM BLK-OCEANIC BLUE</t>
  </si>
  <si>
    <t>SSS24MCA7R7E7XJ</t>
  </si>
  <si>
    <t>Classic S BS6.2 - New</t>
  </si>
  <si>
    <t>Classic S - 9 STR BS6.2 - New</t>
  </si>
  <si>
    <t>0000ATA00220N</t>
  </si>
  <si>
    <t>TREO PLUS SFT SM GREEN -YEL</t>
  </si>
  <si>
    <t>Classic S11 BS6.2 - New</t>
  </si>
  <si>
    <t>0000ATA00210N</t>
  </si>
  <si>
    <t>TREO PLUS SFT SM-DEMO</t>
  </si>
  <si>
    <t>SOFT TOP-DEMO</t>
  </si>
  <si>
    <t>TREO PLUS METAL SOFT TOP-DEMO</t>
  </si>
  <si>
    <t>0000ATA00180N</t>
  </si>
  <si>
    <t>TREO SM</t>
  </si>
  <si>
    <t>TREO HRT SM</t>
  </si>
  <si>
    <t>TREO METAL</t>
  </si>
  <si>
    <t>TREO METAL HARD TOP</t>
  </si>
  <si>
    <t>0000ATA00170N</t>
  </si>
  <si>
    <t>TREO SFT SM</t>
  </si>
  <si>
    <t>TREO METAL SOFT TOP</t>
  </si>
  <si>
    <t>0000AT300030N</t>
  </si>
  <si>
    <t>0000AT300010N</t>
  </si>
  <si>
    <t>TREO SFT SM BLK-YEL</t>
  </si>
  <si>
    <t>SOFT TOP-YEL</t>
  </si>
  <si>
    <t>TREO METAL SOFT TOP-YEL</t>
  </si>
  <si>
    <t>0000AMJ00960N</t>
  </si>
  <si>
    <t>TREO YAARI</t>
  </si>
  <si>
    <t>TREO YAARI 72AH - SFT GREEN-YELLO</t>
  </si>
  <si>
    <t>72AH - SOFT TOP</t>
  </si>
  <si>
    <t>TREO YAARI 72AH - SOFT TOP</t>
  </si>
  <si>
    <t>0000AMJ00040N</t>
  </si>
  <si>
    <t>TREO YAARI HRT</t>
  </si>
  <si>
    <t>TREO YAARI HARD TOP</t>
  </si>
  <si>
    <t>0000AMJ00020N</t>
  </si>
  <si>
    <t>TREO YAARI SFT</t>
  </si>
  <si>
    <t>TREO YAARI SOFT TOP</t>
  </si>
  <si>
    <t>0000AMN00120N</t>
  </si>
  <si>
    <t>TREO YAARI CARGO</t>
  </si>
  <si>
    <t>TREO YAARI CARGO HRT FB</t>
  </si>
  <si>
    <t>HARD TOP FLAT BED</t>
  </si>
  <si>
    <t>TREO YAARI CARGO HARD TOP FLAT BED</t>
  </si>
  <si>
    <t>0000AMN00100N</t>
  </si>
  <si>
    <t>TREO YAARI CARGO HRT PU</t>
  </si>
  <si>
    <t>HARD TOP PICK UP</t>
  </si>
  <si>
    <t>TREO YAARI CARGO HARD TOP PICK UP</t>
  </si>
  <si>
    <t>0000AMH00040N</t>
  </si>
  <si>
    <t>TREO ZOR</t>
  </si>
  <si>
    <t>Treo Zor</t>
  </si>
  <si>
    <t>PICK UP</t>
  </si>
  <si>
    <t>TREO ZOR PICK UP</t>
  </si>
  <si>
    <t>0000AMH00090N</t>
  </si>
  <si>
    <t>TREO ZOR DV</t>
  </si>
  <si>
    <t>DELIVERY VAN</t>
  </si>
  <si>
    <t>TREO ZOR DELIVERY VAN</t>
  </si>
  <si>
    <t>0000AMH00080N</t>
  </si>
  <si>
    <t>Treo Zor FB</t>
  </si>
  <si>
    <t>FLAT BED</t>
  </si>
  <si>
    <t>TREO ZOR FLAT BED</t>
  </si>
  <si>
    <t>1EP2GN4TVNUG1BG</t>
  </si>
  <si>
    <t>UDO</t>
  </si>
  <si>
    <t>UDO ST</t>
  </si>
  <si>
    <t>UDO SOFT TOP</t>
  </si>
  <si>
    <t>1EP2GN4TVNUG1OB</t>
  </si>
  <si>
    <t>1EP2GN4TVNUG1TW</t>
  </si>
  <si>
    <t>1EP2GN4TVNUG1WS</t>
  </si>
  <si>
    <t>1EP2GN4TVNUG1YB</t>
  </si>
  <si>
    <t>POLAR WHITE</t>
  </si>
  <si>
    <t>BW62AB717MC01D02BN</t>
  </si>
  <si>
    <t>XEV9S</t>
  </si>
  <si>
    <t>XEV 9S TWO ABOVE B79 R18 7STR NCH</t>
  </si>
  <si>
    <t>BM32AB715MB01D00WQ</t>
  </si>
  <si>
    <t>XEV9E</t>
  </si>
  <si>
    <t>XEV 9E TWO B79 R19 C11</t>
  </si>
  <si>
    <t>BM32AB715MB01D02RV</t>
  </si>
  <si>
    <t>XEV 9E TWO B79 R19 NCH</t>
  </si>
  <si>
    <t>BM32AF715MB01F02XM</t>
  </si>
  <si>
    <t>XEV 9e THREE CL B79 R19 NCH</t>
  </si>
  <si>
    <t>1.6XXL SD V2 - AIRBAG</t>
  </si>
  <si>
    <t>VEERO 1.6XXL SD V2 - AIRBAG</t>
  </si>
  <si>
    <t>VEERO 1.6XXL SD V4</t>
  </si>
  <si>
    <t>XEV 9S THREE B79 R18 7STR C11</t>
  </si>
  <si>
    <t>VEERO 1.6XXL SD V6</t>
  </si>
  <si>
    <t>BM32AA515MB01D00RQ</t>
  </si>
  <si>
    <t>XEV 9e One B59 R19 C11</t>
  </si>
  <si>
    <t>ONE B59 R19 C11</t>
  </si>
  <si>
    <t>XEV9E ONE B59 R19 C11</t>
  </si>
  <si>
    <t>BM32AA515MB01D00XJ</t>
  </si>
  <si>
    <t>BW62AB717MC01D02XJ</t>
  </si>
  <si>
    <t>VALERIAN SILVER DT</t>
  </si>
  <si>
    <t>BW62AB717MC01D02WQ</t>
  </si>
  <si>
    <t>Pack 1 59Kw</t>
  </si>
  <si>
    <t>Pack 1 79Kw</t>
  </si>
  <si>
    <t>Pack 3 Above</t>
  </si>
  <si>
    <t>XEV 9S THREE ABOVE B79 R18 7STR NCH</t>
  </si>
  <si>
    <t>BW62AD717MB01D02WQ</t>
  </si>
  <si>
    <t>BW62AC717MB01D00WQ</t>
  </si>
  <si>
    <t>TWO ABOVE B79 R18 7STR NCH</t>
  </si>
  <si>
    <t>XEV9S TWO ABOVE B79 R18 7STR NCH</t>
  </si>
  <si>
    <t>AS22JPEW5T403C00QK</t>
  </si>
  <si>
    <t>AX5 DS AS</t>
  </si>
  <si>
    <t>XUV</t>
  </si>
  <si>
    <t>COMPACT SUV</t>
  </si>
  <si>
    <t>XUV 3XO AX5 DS AS</t>
  </si>
  <si>
    <t>AS22JPEW5T403C00WQ</t>
  </si>
  <si>
    <t>AS22JPEW5T403C00XJ</t>
  </si>
  <si>
    <t>DUNE BEIGE</t>
  </si>
  <si>
    <t>AS22JPEW5T103C00QK</t>
  </si>
  <si>
    <t>AX5 DS MT</t>
  </si>
  <si>
    <t>AX5 PM AT</t>
  </si>
  <si>
    <t>AW62BFZE7TA10A00WQ</t>
  </si>
  <si>
    <t>AW62BFZE7TA10A00XJ</t>
  </si>
  <si>
    <t>AX5 PM MT</t>
  </si>
  <si>
    <t>AX5L TGDI AT</t>
  </si>
  <si>
    <t>AX5L TGDI MT</t>
  </si>
  <si>
    <t>AX7 DS AS DT</t>
  </si>
  <si>
    <t>DUNE BEIGE BLACK</t>
  </si>
  <si>
    <t>AX7 DS MT DT</t>
  </si>
  <si>
    <t>AS22LPEW5T103C00ZV</t>
  </si>
  <si>
    <t>AW64BCZT7TF10A00SH</t>
  </si>
  <si>
    <t>AW64BCZT7TF10A00SX</t>
  </si>
  <si>
    <t>AW64BCZT7TF10A00WQ</t>
  </si>
  <si>
    <t>AW64BCZT7TF10A00WX</t>
  </si>
  <si>
    <t>AX7 TGDI MT DT</t>
  </si>
  <si>
    <t>AX7L DS MT DT</t>
  </si>
  <si>
    <t>AX7L TGDI AT DT</t>
  </si>
  <si>
    <t>AX7L TGDI MT DT</t>
  </si>
  <si>
    <t>MX2 PRO PM AT</t>
  </si>
  <si>
    <t>AS22YPNW5TP03C00RQ</t>
  </si>
  <si>
    <t>MX2 PRO PM MT</t>
  </si>
  <si>
    <t>AS22YPNP5T103C00RQ</t>
  </si>
  <si>
    <t>MX3 DS AS</t>
  </si>
  <si>
    <t>AS22HPEW5T403C00CN</t>
  </si>
  <si>
    <t>MX3 DS MT</t>
  </si>
  <si>
    <t>MX3 PM AT</t>
  </si>
  <si>
    <t>MX3 PM MT</t>
  </si>
  <si>
    <t>AX3 PET AT 5 STR BS6.2 - New</t>
  </si>
  <si>
    <t>MX3 PRO DS MT</t>
  </si>
  <si>
    <t>MX3 PRO PM AT</t>
  </si>
  <si>
    <t>MX3 PRO PM MT</t>
  </si>
  <si>
    <t>AS22JC215MB09E00JD</t>
  </si>
  <si>
    <t>XUV3XO EV</t>
  </si>
  <si>
    <t>AX5 FH</t>
  </si>
  <si>
    <t>AS22JC215MB09E00QK</t>
  </si>
  <si>
    <t>AS22JC215MB09E00RP</t>
  </si>
  <si>
    <t>AS22JC215MB09E00RQ</t>
  </si>
  <si>
    <t>AS22JC215MB09E00WQ</t>
  </si>
  <si>
    <t>AS22JC215MB09E00XJ</t>
  </si>
  <si>
    <t>AS22PC215MB09E00JD</t>
  </si>
  <si>
    <t>AX7L FH</t>
  </si>
  <si>
    <t>XUV3XO EV AX7L FH</t>
  </si>
  <si>
    <t>AS22PC215MB09E00QK</t>
  </si>
  <si>
    <t>AS22PC215MB09E00RP</t>
  </si>
  <si>
    <t>AS22PC215MB09E00RQ</t>
  </si>
  <si>
    <t>AS22PC215MB09E00WQ</t>
  </si>
  <si>
    <t>AS22PC215MB09E00XJ</t>
  </si>
  <si>
    <t>EC PRO - BATTERY 34.5 KWH - CHARGER 3.2 KW - E</t>
  </si>
  <si>
    <t>XUV400 EC PRO - BATTERY 34.5 KWH - CHARGER 3.2 KW - E</t>
  </si>
  <si>
    <t>MX PET MT 5 STR - E BS6.2 - New</t>
  </si>
  <si>
    <t>AW62BFZE5TA05A00BZ</t>
  </si>
  <si>
    <t>AW62BHZE7TA05A00RA</t>
  </si>
  <si>
    <t>AW62BHZE5TA05A00SF</t>
  </si>
  <si>
    <t>AW62BFZE5TA05A00XH</t>
  </si>
  <si>
    <t>SSS24MCA7R7F7XJ</t>
  </si>
  <si>
    <t>SSS24MCA9R7F7XJ</t>
  </si>
  <si>
    <t>SSS24MJA7R7F6XJ</t>
  </si>
  <si>
    <t>SSS24MJA7R7F7XJ</t>
  </si>
  <si>
    <t>SSS24MCA7R7D7XH</t>
  </si>
  <si>
    <t>Classic S BS6.2</t>
  </si>
  <si>
    <t>SSS24MCA7R7D7QK</t>
  </si>
  <si>
    <t>AW62BCZF7TF04A00BA</t>
  </si>
  <si>
    <t>AX7 L PET AT 7 STR BS6.2</t>
  </si>
  <si>
    <t>AW62BCZF7TF04A00BZ</t>
  </si>
  <si>
    <t>AW62BCZF7TF04A00SF</t>
  </si>
  <si>
    <t>AW62BCZF7TF04A00WQ</t>
  </si>
  <si>
    <t>SSS24MCA7R7F7WD</t>
  </si>
  <si>
    <t>SSS24MCA7R7F7XH</t>
  </si>
  <si>
    <t>SSS24MCA9R7F7QK</t>
  </si>
  <si>
    <t>SSS24MCA9R7F7WD</t>
  </si>
  <si>
    <t>Z8 L D AT 2WD 7 STR BS6.2 - New</t>
  </si>
  <si>
    <t>Z8 L D MT 4WD 7 STR BS6.2 - New</t>
  </si>
  <si>
    <t>Z8 L D AT 2WD 6 STR BS6.2 - New</t>
  </si>
  <si>
    <t>AW62AVZE5TA06A00RA</t>
  </si>
  <si>
    <t>AW62AVZE5TA06A00SF</t>
  </si>
  <si>
    <t>AW62AVZE5TA06A00WQ</t>
  </si>
  <si>
    <t>AW64BCZT7TF06A00BZ</t>
  </si>
  <si>
    <t>AW64BCZT7TF06A00RA</t>
  </si>
  <si>
    <t>AW64BCZT7TF06A00SF</t>
  </si>
  <si>
    <t>SSS24MCA9R7F7WQ</t>
  </si>
  <si>
    <t>SSS24MJA7R7F6WQ</t>
  </si>
  <si>
    <t>SSS24MJA7R7F7WQ</t>
  </si>
  <si>
    <t>AW62BCZS7TA04A00BA</t>
  </si>
  <si>
    <t>AX7 L DSL MT 7 STR BS6.2</t>
  </si>
  <si>
    <t>AW62BCZS7TA04A00BZ</t>
  </si>
  <si>
    <t>AW62BCZS7TA04A00SF</t>
  </si>
  <si>
    <t>AZ1086ZCT6A4EA01SF</t>
  </si>
  <si>
    <t>Z8 L G MT 2WD 7 STR BS6.2</t>
  </si>
  <si>
    <t>AZ1086ZCT6A4EA01WQ</t>
  </si>
  <si>
    <t>AZ1086ZDTTA2EA01DE</t>
  </si>
  <si>
    <t>Z8 L G AT 2WD 6 STR BS6.2</t>
  </si>
  <si>
    <t>ROYAL GOLD</t>
  </si>
  <si>
    <t>AZ1086ZDTTA2EA01RA</t>
  </si>
  <si>
    <t>AZ1086ZDTTA2EA01WQ</t>
  </si>
  <si>
    <t>AW62AWZF5TF04A00BA</t>
  </si>
  <si>
    <t>AX3 PET AT 5 STR BS6.2</t>
  </si>
  <si>
    <t>AW62AWZF5TF04A00SF</t>
  </si>
  <si>
    <t>AZ1036YGTTA4EA01WQ</t>
  </si>
  <si>
    <t>AZ1036YGTTA2EA01WQ</t>
  </si>
  <si>
    <t>AZ1038YDT6A4EA01WQ</t>
  </si>
  <si>
    <t>AZ1036ZCT6A4AA01WQ</t>
  </si>
  <si>
    <t>AW62AWZR5TF06A00BZ</t>
  </si>
  <si>
    <t>AW62AWZR5TF06A00WQ</t>
  </si>
  <si>
    <t>AMT</t>
  </si>
  <si>
    <t>AW64BCZT7TF05A00JD</t>
  </si>
  <si>
    <t>AW62BFZE7TA08A00SF</t>
  </si>
  <si>
    <t>AW62BFZE7TA08A00XH</t>
  </si>
  <si>
    <t>AW62AVZE5TA08A00BZ</t>
  </si>
  <si>
    <t>AW62AVZE5TA08A00RA</t>
  </si>
  <si>
    <t>AW62AVZE5TA08A00SF</t>
  </si>
  <si>
    <t>AW62AVZE5TA08A00WQ</t>
  </si>
  <si>
    <t>City</t>
  </si>
  <si>
    <t>Assesable Value</t>
  </si>
  <si>
    <t>Freight New</t>
  </si>
  <si>
    <t>Cess%</t>
  </si>
  <si>
    <t>LMM Inv Amt</t>
  </si>
  <si>
    <t>New Dealer Margin</t>
  </si>
  <si>
    <t>Extra Handling</t>
  </si>
  <si>
    <t>Ex Showroom Price</t>
  </si>
  <si>
    <t>Ex Showroom Price(Org)</t>
  </si>
  <si>
    <t>VIN Scheme</t>
  </si>
  <si>
    <t>BIKANER</t>
  </si>
  <si>
    <t>MX PET MT 7 STR - E BS6.2 - NEW</t>
  </si>
  <si>
    <t>XUV700 MX PET MT 7 STR - E BS6.2 - NEW</t>
  </si>
  <si>
    <t>AW62BFZE7TA08A00JD</t>
  </si>
  <si>
    <t>XUV7XO AX DSL MT 7 STR</t>
  </si>
  <si>
    <t>-</t>
  </si>
  <si>
    <t>AW5088YKT2B1HC01RX</t>
  </si>
  <si>
    <t>AW5088YKT2B1HC01WQ</t>
  </si>
  <si>
    <t>AW5088YKT2C1HB01QK</t>
  </si>
  <si>
    <t>AW5088YKT2C1HB01RX</t>
  </si>
  <si>
    <t>ZEO</t>
  </si>
  <si>
    <t>AW5088YKT2C1HB01WQ</t>
  </si>
  <si>
    <t>AW5088YLTTB1HC01QK</t>
  </si>
  <si>
    <t>AW5088YLTTB1HC01RX</t>
  </si>
  <si>
    <t>AW5088YLTTB1HC01WQ</t>
  </si>
  <si>
    <t>AW5088YLTTC1HB01QK</t>
  </si>
  <si>
    <t>MAHINDRA ZEO V2</t>
  </si>
  <si>
    <t>AP61WLED2BB18A00WD</t>
  </si>
  <si>
    <t>7,26,023</t>
  </si>
  <si>
    <t>AW5088YLTTC1HB01RX</t>
  </si>
  <si>
    <t>7,72,836</t>
  </si>
  <si>
    <t>8,06,081</t>
  </si>
  <si>
    <t>AW5088YLTTC1HB01WQ</t>
  </si>
  <si>
    <t>MAHINDRA ZEO V2-DEMO</t>
  </si>
  <si>
    <t>AP61WLED2BB18A99WD</t>
  </si>
  <si>
    <t>AW5088ZAT2B1HC01QK</t>
  </si>
  <si>
    <t>AW5088ZAT2B1HC01RX</t>
  </si>
  <si>
    <t>AX7L</t>
  </si>
  <si>
    <t>MAHINDRA ZEO V2 DV 200</t>
  </si>
  <si>
    <t>AP61WLED2BB18J00WD</t>
  </si>
  <si>
    <t>AW5088ZAT2B1HC01WQ</t>
  </si>
  <si>
    <t>7,36,319</t>
  </si>
  <si>
    <t>8,03,713</t>
  </si>
  <si>
    <t>AW5088ZBTTB1HC01QK</t>
  </si>
  <si>
    <t>8,36,935</t>
  </si>
  <si>
    <t>AW5088ZBTTB1HC01RX</t>
  </si>
  <si>
    <t>MAHINDRA ZEO V2 DV 200-DEMO</t>
  </si>
  <si>
    <t>AP61WLED2BB18J99WD</t>
  </si>
  <si>
    <t>AW5088ZBTTB1HC01WQ</t>
  </si>
  <si>
    <t>AW5086TZT2B1HC01QK</t>
  </si>
  <si>
    <t>AW5086TZT2B1HC01RX</t>
  </si>
  <si>
    <t>AW5086TZT2B1HC01WQ</t>
  </si>
  <si>
    <t>AW5086ZNTTB1HC01RX</t>
  </si>
  <si>
    <t>AW5086ZNTTB1HC01QK</t>
  </si>
  <si>
    <t>AW5086ZNTTB1HC01WQ</t>
  </si>
  <si>
    <t>AW5086TZT2B1HC01XJ</t>
  </si>
  <si>
    <t>AW5086ZNTTB1HC01XJ</t>
  </si>
  <si>
    <t>AW5088YKT2B1HC01XJ</t>
  </si>
  <si>
    <t>AW5088YKT2C1HB01XJ</t>
  </si>
  <si>
    <t>AW5088YLTTB1HC01XJ</t>
  </si>
  <si>
    <t>AW5088YLTTC1HB01XJ</t>
  </si>
  <si>
    <t>AW5088ZAT2B1HC01XJ</t>
  </si>
  <si>
    <t>AW5088ZBTTB1HC01XJ</t>
  </si>
  <si>
    <t>AW5086TZT2B1HC01JD</t>
  </si>
  <si>
    <t>AW5086ZNTTB1HC01JD</t>
  </si>
  <si>
    <t>AW5088YKT2B1HC01JD</t>
  </si>
  <si>
    <t>AW5088YKT2C1HB01JD</t>
  </si>
  <si>
    <t>AW5088YLTTB1HC01JD</t>
  </si>
  <si>
    <t>AW5088YLTTC1HB01JD</t>
  </si>
  <si>
    <t>AW5088ZAT2B1HC01JD</t>
  </si>
  <si>
    <t>AW5088ZBTTB1HC01JD</t>
  </si>
  <si>
    <t>AW5066TZT2B1NC01XJ</t>
  </si>
  <si>
    <t>AW5068YKT2B1HC01GR</t>
  </si>
  <si>
    <t>AW5068YKT2B1HC01QK</t>
  </si>
  <si>
    <t>AW5068YKT2B1HC01RX</t>
  </si>
  <si>
    <t>AW5068YKT2B1HC01WQ</t>
  </si>
  <si>
    <t>AW5068YKT2B1HC01XH</t>
  </si>
  <si>
    <t>AW5068YKT2B1HC01YJ</t>
  </si>
  <si>
    <t>BLAZING BRONZE</t>
  </si>
  <si>
    <t>BH826G2S7U6SK</t>
  </si>
  <si>
    <t>M.CODE</t>
  </si>
  <si>
    <t>Material Description</t>
  </si>
  <si>
    <t>Model Name</t>
  </si>
  <si>
    <t>Model Group</t>
  </si>
  <si>
    <t>Scheme</t>
  </si>
  <si>
    <t>Before GST</t>
  </si>
  <si>
    <t>New Base Price (Ex-Factory)</t>
  </si>
  <si>
    <t>Freight</t>
  </si>
  <si>
    <t>Diff/Adjustment</t>
  </si>
  <si>
    <t>Assessable Value</t>
  </si>
  <si>
    <t>GST on Assessable Value @ 5%</t>
  </si>
  <si>
    <t>LMM Billing Price before (PM E-DRIVE SUBSIDY)</t>
  </si>
  <si>
    <t>LMM Billing Price After (PM E-DRIVE SUBSIDY)</t>
  </si>
  <si>
    <t>New Dealer Marging</t>
  </si>
  <si>
    <t>Dealer GST @ 5%</t>
  </si>
  <si>
    <t>Ex-Showroom Pre Subsidy</t>
  </si>
  <si>
    <t>Battery Capacity</t>
  </si>
  <si>
    <t>PM E-DRIVE SUBSIDY Subsidy</t>
  </si>
  <si>
    <t>Maharashtra State Subsidy</t>
  </si>
  <si>
    <t>Exshowroom Post Subsidy (PM E-DRIVE SUBSIDY)</t>
  </si>
  <si>
    <t>Final Transaction Price</t>
  </si>
  <si>
    <t>3,00,752</t>
  </si>
  <si>
    <t>3,12,627</t>
  </si>
  <si>
    <t>3,28,258</t>
  </si>
  <si>
    <t>3,48,752</t>
  </si>
  <si>
    <t>3,28,752</t>
  </si>
  <si>
    <t>2,90,794</t>
  </si>
  <si>
    <t>3,02,669</t>
  </si>
  <si>
    <t>3,17,802</t>
  </si>
  <si>
    <t>3,38,408</t>
  </si>
  <si>
    <t>3,18,408</t>
  </si>
  <si>
    <t>1- Basic Price to CSD</t>
  </si>
  <si>
    <t>2 - Discount to CSD</t>
  </si>
  <si>
    <t>3 - Consumer  Scheme  Before GST</t>
  </si>
  <si>
    <t>4 - Net Price Before GST</t>
  </si>
  <si>
    <t>5 - GST Rate</t>
  </si>
  <si>
    <t>6 - GST Amount</t>
  </si>
  <si>
    <t>7 - Invoice Amt (Ex SR Price) (LS OrderAmt)</t>
  </si>
  <si>
    <t>9 - GST Discount @ 50%</t>
  </si>
  <si>
    <t>8 - CSD Charge @ 0.5%</t>
  </si>
  <si>
    <t>10 - DD Amount (Inclusive of CSD Charge)</t>
  </si>
  <si>
    <t>Retail Dealer Margin</t>
  </si>
  <si>
    <t>DEALER MARGIN DISCOUNT</t>
  </si>
  <si>
    <t>BASIC Price Including CSD Dealer Margin</t>
  </si>
  <si>
    <t>CSD% Discount</t>
  </si>
  <si>
    <t>CSD Discount</t>
  </si>
  <si>
    <t>Market Scheme at BNDP</t>
  </si>
  <si>
    <t>CSD Basic with Discount</t>
  </si>
  <si>
    <t>GST %</t>
  </si>
  <si>
    <t>CSD Final Price</t>
  </si>
  <si>
    <t>Amount to be claimed by Dealer</t>
  </si>
  <si>
    <t>GST @ 50% Discount</t>
  </si>
  <si>
    <t>GST Amount on CSD Basic with Discount</t>
  </si>
  <si>
    <t>CSD Profit @ 0.50%</t>
  </si>
  <si>
    <t>CSD Final Price with GST Concession</t>
  </si>
  <si>
    <t>23,29,012</t>
  </si>
  <si>
    <t>23,66,562</t>
  </si>
  <si>
    <t>22,93,607</t>
  </si>
  <si>
    <t>1,14,680</t>
  </si>
  <si>
    <t>24,08,288</t>
  </si>
  <si>
    <t>23,62,415</t>
  </si>
  <si>
    <t>V2 DELIVERY VAN 200</t>
  </si>
  <si>
    <t>ZEO V2 DELIVERY VAN 200</t>
  </si>
  <si>
    <t>V2 DELIVERY VAN 200-DEMO</t>
  </si>
  <si>
    <t>ZEO V2 DELIVERY VAN 200-DEMO</t>
  </si>
  <si>
    <t>V2-DEMO</t>
  </si>
  <si>
    <t>ZEO V2-DEMO</t>
  </si>
  <si>
    <t>1EV2DD1TUFVB1WD</t>
  </si>
  <si>
    <t>ZOR GRAND</t>
  </si>
  <si>
    <t>ZOR GRAND DV</t>
  </si>
  <si>
    <t>ZOR GRAND DELIVERY VAN</t>
  </si>
  <si>
    <t>1EV2DD1TUFWB1WD</t>
  </si>
  <si>
    <t>ZOR GRAND DV +</t>
  </si>
  <si>
    <t>DELIVERY VAN +</t>
  </si>
  <si>
    <t>ZOR GRAND DELIVERY VAN +</t>
  </si>
  <si>
    <t>ZOR GRAND R</t>
  </si>
  <si>
    <t>1EV2ZE1TUFYB1WD</t>
  </si>
  <si>
    <t>ZOR GRAND FB R</t>
  </si>
  <si>
    <t>ZOR GRAND R FLAT BED</t>
  </si>
  <si>
    <t>1EV2ZE1TUFLB1WD</t>
  </si>
  <si>
    <t>ZOR GRAND PU R</t>
  </si>
  <si>
    <t>ZOR GRAND R PICK UP</t>
  </si>
  <si>
    <t>1EV2DD1TUFWB1OB</t>
  </si>
  <si>
    <t>ZOR GRAND RE</t>
  </si>
  <si>
    <t>ZOR GRAND DV + RE</t>
  </si>
  <si>
    <t>ZOR GRAND RE DELIVERY VAN +</t>
  </si>
  <si>
    <t>1EV2DD1TUFVB1OB</t>
  </si>
  <si>
    <t>ZOR GRAND DV RE</t>
  </si>
  <si>
    <t>ZOR GRAND RE DELIVERY VAN</t>
  </si>
  <si>
    <t>CSD Index Code</t>
  </si>
  <si>
    <t>64365-L</t>
  </si>
  <si>
    <t>AX OPT D MT 4WD 4S HT BS6.2</t>
  </si>
  <si>
    <t>67352-K</t>
  </si>
  <si>
    <t>67353-X</t>
  </si>
  <si>
    <t>67684-A</t>
  </si>
  <si>
    <t>67685-D</t>
  </si>
  <si>
    <t>65292-I</t>
  </si>
  <si>
    <t>65293-S</t>
  </si>
  <si>
    <t>Z8 L D AT 2WD 7 STR BS6.2 - N - Black Edition - ADAS</t>
  </si>
  <si>
    <t>65294-T</t>
  </si>
  <si>
    <t>65295-K</t>
  </si>
  <si>
    <t>Z8 L D AT 4WD 7 STR BS6.2 - N - Black Edition - ADAS</t>
  </si>
  <si>
    <t>65296-X</t>
  </si>
  <si>
    <t>65297-A</t>
  </si>
  <si>
    <t>65298-D</t>
  </si>
  <si>
    <t>Z8 L D MT 2WD 7 STR BS6.2 - N - Black Edition - ADAS</t>
  </si>
  <si>
    <t>65299-E</t>
  </si>
  <si>
    <t>65300-L</t>
  </si>
  <si>
    <t>Z8 L D MT 4WD 7 STR BS6.2 - N - Black Edition - ADAS</t>
  </si>
  <si>
    <t>65301-P</t>
  </si>
  <si>
    <t>65302-H</t>
  </si>
  <si>
    <t>65303-I</t>
  </si>
  <si>
    <t>Z8 L G AT 2WD 7 STR BS6.2 - N - Black Edition - ADAS</t>
  </si>
  <si>
    <t>65304-S</t>
  </si>
  <si>
    <t>65305-T</t>
  </si>
  <si>
    <t>65306-K</t>
  </si>
  <si>
    <t>65307-X</t>
  </si>
  <si>
    <t>65308-A</t>
  </si>
  <si>
    <t>Z8T D AT 2WD 7 STR BS6.2 - N - Black Edition</t>
  </si>
  <si>
    <t>65309-D</t>
  </si>
  <si>
    <t>65310-E</t>
  </si>
  <si>
    <t>65311-L</t>
  </si>
  <si>
    <t>65312-P</t>
  </si>
  <si>
    <t>Z8T D MT 2WD 7 STR BS6.2 - N - Black Edition</t>
  </si>
  <si>
    <t>65313-H</t>
  </si>
  <si>
    <t>65314-I</t>
  </si>
  <si>
    <t>Z8T D MT 4WD 7 STR BS6.2 - N - Black Edition</t>
  </si>
  <si>
    <t>65315-S</t>
  </si>
  <si>
    <t>65316-T</t>
  </si>
  <si>
    <t>Z8T G AT 2WD 7 STR BS6.2 - N - Black Edition</t>
  </si>
  <si>
    <t>65317-K</t>
  </si>
  <si>
    <t>65318-X</t>
  </si>
  <si>
    <t>Z8T G MT 2WD 7 STR BS6.2 - N - Black Edition</t>
  </si>
  <si>
    <t>65319-A</t>
  </si>
  <si>
    <t>67348-H</t>
  </si>
  <si>
    <t>67351-T</t>
  </si>
  <si>
    <t>67349-I</t>
  </si>
  <si>
    <t>67350-S</t>
  </si>
  <si>
    <t>67689-H</t>
  </si>
  <si>
    <t>67699 - P</t>
  </si>
  <si>
    <t>67695-A</t>
  </si>
  <si>
    <t>67690-I</t>
  </si>
  <si>
    <t>67694-X</t>
  </si>
  <si>
    <t>67691-S</t>
  </si>
  <si>
    <t>65320-D</t>
  </si>
  <si>
    <t>65324-H</t>
  </si>
  <si>
    <t>65326-S</t>
  </si>
  <si>
    <t>65325-I</t>
  </si>
  <si>
    <t>65321-E</t>
  </si>
  <si>
    <t>65323-P</t>
  </si>
  <si>
    <t>65322-L</t>
  </si>
  <si>
    <t>67696-D</t>
  </si>
  <si>
    <t>67697-E</t>
  </si>
  <si>
    <t>67698-L</t>
  </si>
  <si>
    <t>67717-A</t>
  </si>
  <si>
    <t>67718-D</t>
  </si>
  <si>
    <t>67719-E</t>
  </si>
  <si>
    <t>67720-L</t>
  </si>
  <si>
    <t>67721-P</t>
  </si>
  <si>
    <t>67722-H</t>
  </si>
  <si>
    <t>65346-H</t>
  </si>
  <si>
    <t>65347-I</t>
  </si>
  <si>
    <t>65348-S</t>
  </si>
  <si>
    <t>65349-T</t>
  </si>
  <si>
    <t>65350-K</t>
  </si>
  <si>
    <t>65351-X</t>
  </si>
  <si>
    <t>65352-A</t>
  </si>
  <si>
    <t>65353-D</t>
  </si>
  <si>
    <t>65354-E</t>
  </si>
  <si>
    <t>65355-L</t>
  </si>
  <si>
    <t>65356-P</t>
  </si>
  <si>
    <t>65357-H</t>
  </si>
  <si>
    <t>65358-I</t>
  </si>
  <si>
    <t>65359-S</t>
  </si>
  <si>
    <t>65360-T</t>
  </si>
  <si>
    <t>65361-K</t>
  </si>
  <si>
    <t>65362-S</t>
  </si>
  <si>
    <t>65332-E</t>
  </si>
  <si>
    <t>65372-T</t>
  </si>
  <si>
    <t>65333-L</t>
  </si>
  <si>
    <t>65334-P</t>
  </si>
  <si>
    <t>65328-K</t>
  </si>
  <si>
    <t>65335-H</t>
  </si>
  <si>
    <t>65336-I</t>
  </si>
  <si>
    <t>65329-X</t>
  </si>
  <si>
    <t>65337-S</t>
  </si>
  <si>
    <t>65338-T</t>
  </si>
  <si>
    <t>65339-K</t>
  </si>
  <si>
    <t>65340-X</t>
  </si>
  <si>
    <t>65341-A</t>
  </si>
  <si>
    <t>65330-A</t>
  </si>
  <si>
    <t>65342-D</t>
  </si>
  <si>
    <t>65331-D</t>
  </si>
  <si>
    <t>65343-E</t>
  </si>
  <si>
    <t>65344-L</t>
  </si>
  <si>
    <t>65345-P</t>
  </si>
  <si>
    <t>67915-A</t>
  </si>
  <si>
    <t>67914-X</t>
  </si>
  <si>
    <t>67912-T</t>
  </si>
  <si>
    <t>67916-D</t>
  </si>
  <si>
    <t>67913-K</t>
  </si>
  <si>
    <t>67919-P</t>
  </si>
  <si>
    <t>67937-A</t>
  </si>
  <si>
    <t>67930-P</t>
  </si>
  <si>
    <t>67940-L</t>
  </si>
  <si>
    <t>67934-T</t>
  </si>
  <si>
    <t>67932-I</t>
  </si>
  <si>
    <t>67938-D</t>
  </si>
  <si>
    <t>67943-I</t>
  </si>
  <si>
    <t>67931-H</t>
  </si>
  <si>
    <t>67942-H</t>
  </si>
  <si>
    <t>67941-P</t>
  </si>
  <si>
    <t>67920-H</t>
  </si>
  <si>
    <t>67927-D</t>
  </si>
  <si>
    <t>67928-E</t>
  </si>
  <si>
    <t>67929-L</t>
  </si>
  <si>
    <t>67924-K</t>
  </si>
  <si>
    <t>67921-I</t>
  </si>
  <si>
    <t>67923-T</t>
  </si>
  <si>
    <t>67926-A</t>
  </si>
  <si>
    <t>67933-S</t>
  </si>
  <si>
    <t>67939-E</t>
  </si>
  <si>
    <t>67917-E</t>
  </si>
  <si>
    <t>67918-L</t>
  </si>
  <si>
    <t>67922-S</t>
  </si>
  <si>
    <t>67925-X</t>
  </si>
  <si>
    <t>67936-X</t>
  </si>
  <si>
    <t>67935-K</t>
  </si>
  <si>
    <t>67905-D</t>
  </si>
  <si>
    <t>67902-K</t>
  </si>
  <si>
    <t>67900-S</t>
  </si>
  <si>
    <t>67901-T</t>
  </si>
  <si>
    <t>67903-X</t>
  </si>
  <si>
    <t>67904-A</t>
  </si>
  <si>
    <t>67906-E</t>
  </si>
  <si>
    <t>67907-L</t>
  </si>
  <si>
    <t>67908-P</t>
  </si>
  <si>
    <t>67909-H</t>
  </si>
  <si>
    <t>67910-I</t>
  </si>
  <si>
    <t>67911-S</t>
  </si>
  <si>
    <t>3,45,095</t>
  </si>
  <si>
    <t>3,59,095</t>
  </si>
  <si>
    <t>3,77,050</t>
  </si>
  <si>
    <t>3,94,900</t>
  </si>
  <si>
    <t>3,69,600</t>
  </si>
  <si>
    <t>CAT B OEM</t>
  </si>
  <si>
    <t>CAT B DLR</t>
  </si>
  <si>
    <t>CAT B TOTAL</t>
  </si>
  <si>
    <t>BULK 1 (2-5) OEM</t>
  </si>
  <si>
    <t>BULK 1 (2-5) DLR</t>
  </si>
  <si>
    <t>BULK 1 (2-5) TOTAL</t>
  </si>
  <si>
    <t>CAT A OEM</t>
  </si>
  <si>
    <t>CAT A DLR</t>
  </si>
  <si>
    <t>CAT A TOTAL</t>
  </si>
  <si>
    <t>BULK 2 (6-10) OEM</t>
  </si>
  <si>
    <t>BULK 2 (6-10) DLR</t>
  </si>
  <si>
    <t>BULK 2 (6-10) TOTAL</t>
  </si>
  <si>
    <t>CAT F OEM</t>
  </si>
  <si>
    <t>CAT F DLR</t>
  </si>
  <si>
    <t>CAT F TOTAL</t>
  </si>
  <si>
    <t>BULK 3 (11 &amp; Above) OEM</t>
  </si>
  <si>
    <t>BULK 3 (11 &amp; Above) DLR</t>
  </si>
  <si>
    <t>BULK 3 (11 &amp; Above) TOTAL</t>
  </si>
  <si>
    <t>CAT Y (Premium) OEM</t>
  </si>
  <si>
    <t>CAT Y (Premium) DLR</t>
  </si>
  <si>
    <t>CAT Y (Premium) TOTAL</t>
  </si>
  <si>
    <t>CAT Z (Signature) OEM</t>
  </si>
  <si>
    <t>CAT Z (Signature) DLR</t>
  </si>
  <si>
    <t>CAT Z (Signature) TOTAL</t>
  </si>
  <si>
    <t>3XO REVX</t>
  </si>
  <si>
    <t>Exchange Bonus OEM</t>
  </si>
  <si>
    <t>Exchange Bonus DLR</t>
  </si>
  <si>
    <t>Exchange Bonus TOTAL</t>
  </si>
  <si>
    <t>Welcome Bonus OEM</t>
  </si>
  <si>
    <t>Welcome Bonus DLR</t>
  </si>
  <si>
    <t>Welcome Bonus TOTAL</t>
  </si>
  <si>
    <t>Scrap Scheme OEM</t>
  </si>
  <si>
    <t>Scrap Scheme DLR</t>
  </si>
  <si>
    <t>Scrap Scheme TOTAL</t>
  </si>
  <si>
    <t>Model</t>
  </si>
  <si>
    <t>Standard Coverage</t>
  </si>
  <si>
    <t>Std + 1 Year</t>
  </si>
  <si>
    <t>Std + 2 Years</t>
  </si>
  <si>
    <t>Std + 3 Years</t>
  </si>
  <si>
    <t>Std + 4 Years</t>
  </si>
  <si>
    <t>Std + 5 Years</t>
  </si>
  <si>
    <t>3 Years</t>
  </si>
  <si>
    <t>PEROSNAL</t>
  </si>
  <si>
    <t>PERSONAL</t>
  </si>
  <si>
    <t>4 Years</t>
  </si>
  <si>
    <t>NA</t>
  </si>
  <si>
    <t>NIL</t>
  </si>
  <si>
    <t>2 Years</t>
  </si>
  <si>
    <t>COMMERCIAL</t>
  </si>
  <si>
    <t>Standard Warranty</t>
  </si>
  <si>
    <t>Shield Scheme 1 Name</t>
  </si>
  <si>
    <t>Shield Scheme 1 Amt</t>
  </si>
  <si>
    <t>Shield Scheme 2 Name</t>
  </si>
  <si>
    <t>Shield Scheme 2 Amt</t>
  </si>
  <si>
    <t>3 Years OR 1 Lakh Kms, Whichever is Earlier</t>
  </si>
  <si>
    <t>4th Year OR Up to 1 Lakh kms, Whichever is Earlier</t>
  </si>
  <si>
    <t>4th &amp; 5th Year OR Up to 1.2 Lakh Kms, Whichever is Earlier</t>
  </si>
  <si>
    <t>4th Year OR 1.2 Lakh Kms, Whichever is Earlier</t>
  </si>
  <si>
    <t>4th &amp; 5th Year OR 1.5 Lakh Kms, Whichever is Earlier</t>
  </si>
  <si>
    <t>Manual</t>
  </si>
  <si>
    <t>Petrol</t>
  </si>
  <si>
    <t>Automatic</t>
  </si>
  <si>
    <t>Diesel</t>
  </si>
  <si>
    <t>3 Years &amp; Unlimited Kms</t>
  </si>
  <si>
    <t>4th Year &amp; Unlimited Kms</t>
  </si>
  <si>
    <t>4th &amp; 5th Year &amp; Unlimited Kms</t>
  </si>
  <si>
    <t>4th Year OR 1.0 Lakh Kms, Whichever is Earlier</t>
  </si>
  <si>
    <t>4th &amp; 5th Year OR 1.2 Lakh Kms, Whichever is Earlier</t>
  </si>
  <si>
    <t>8 Months &amp; Unlimited Kms</t>
  </si>
  <si>
    <t>1 Years &amp; Unlimited Kms</t>
  </si>
  <si>
    <t>1.5 Years &amp; Unlimited Kms</t>
  </si>
  <si>
    <t>3 Years OR 72000 kms, Whichever is Earlier</t>
  </si>
  <si>
    <t>3 Years OR 80,000 Kms, Whichever is Earlier</t>
  </si>
  <si>
    <t>5 Years OR 1.2 Lakh Kms, Whichever is Earlier</t>
  </si>
  <si>
    <t>TREO XTRA</t>
  </si>
  <si>
    <t>2 Years OR 50000 kms, Whichever is Earlier</t>
  </si>
  <si>
    <t>3 Years OR 40000 kms, Whichever is Earlier</t>
  </si>
  <si>
    <t>3 Years OR 80000 kms, Whichever is Earlier</t>
  </si>
  <si>
    <t>6 Years OR 1.5 Lakh Kms, Whichever is Earlier</t>
  </si>
  <si>
    <t>3 Years OR 1.25 Lakh Kms, Whichever is Earlier</t>
  </si>
  <si>
    <t>5 Years OR 1.25 Lakh Kms, Whichever is Earlier</t>
  </si>
  <si>
    <t>Insu Co. 1</t>
  </si>
  <si>
    <t>Insu Co. 2</t>
  </si>
  <si>
    <t>Insu Co. 3</t>
  </si>
  <si>
    <t>USGI</t>
  </si>
  <si>
    <t>Passanger</t>
  </si>
  <si>
    <t>Inv</t>
  </si>
  <si>
    <t>IDV 1</t>
  </si>
  <si>
    <t>IDV 2</t>
  </si>
  <si>
    <t>IDV 3</t>
  </si>
  <si>
    <t>Insu Co.</t>
  </si>
  <si>
    <t>Seatng</t>
  </si>
  <si>
    <t>Plan</t>
  </si>
  <si>
    <t>OD - OD Factor</t>
  </si>
  <si>
    <t>OD - CNG / LPG Kit</t>
  </si>
  <si>
    <t>OD - IMT 23</t>
  </si>
  <si>
    <t>TP Cover
Basic</t>
  </si>
  <si>
    <t>TP Cover
Per Pass</t>
  </si>
  <si>
    <t>TP Cover 
Bi Fuel Kit (CNG / LPG)</t>
  </si>
  <si>
    <t>TP - Compulsory PA COver Owner Driver</t>
  </si>
  <si>
    <t>TP - PA Cover for Passengers (1 Lakh Per Person)</t>
  </si>
  <si>
    <t>TP - Legal Liability to Driver</t>
  </si>
  <si>
    <t>TP - Legal Liability for Non Fare Paying Passengers</t>
  </si>
  <si>
    <t>Add On - Nil Depreciation</t>
  </si>
  <si>
    <t>Add On - Cosnumables</t>
  </si>
  <si>
    <t>Add On - Engine Protect</t>
  </si>
  <si>
    <t>Add On - Battery Protect (Including Motor, Charger &amp; Adapter)</t>
  </si>
  <si>
    <t>Add On - Battery Protect (Including Motor)</t>
  </si>
  <si>
    <t>Add On - Battery Protect</t>
  </si>
  <si>
    <t>Add On - Charger &amp; Adapter Cover</t>
  </si>
  <si>
    <t>Add On - Motor Protect</t>
  </si>
  <si>
    <t>Add On - Tyre Protection</t>
  </si>
  <si>
    <t>Add On - Return to Invoice</t>
  </si>
  <si>
    <t>Add On - Key Replacement</t>
  </si>
  <si>
    <t>Add On - RSA</t>
  </si>
  <si>
    <t>Add On - Personal Belongings</t>
  </si>
  <si>
    <t>Add On - Daily Cash</t>
  </si>
  <si>
    <t>Add On - Advance Assistance Cover</t>
  </si>
  <si>
    <t>Add On - Medical Expenses Cover</t>
  </si>
  <si>
    <t>Add On - Towing</t>
  </si>
  <si>
    <t>95% of Invoice</t>
  </si>
  <si>
    <t>ICE</t>
  </si>
  <si>
    <t>0-1000</t>
  </si>
  <si>
    <t>1+3</t>
  </si>
  <si>
    <t>Gioods</t>
  </si>
  <si>
    <t>Private / Passenger</t>
  </si>
  <si>
    <t>80% of Invoice</t>
  </si>
  <si>
    <t>70% of Invoice</t>
  </si>
  <si>
    <t>3+3</t>
  </si>
  <si>
    <t>IDV</t>
  </si>
  <si>
    <t>1001-1500</t>
  </si>
  <si>
    <t>150 Per Seat</t>
  </si>
  <si>
    <t>OD</t>
  </si>
  <si>
    <t>OD DIsc</t>
  </si>
  <si>
    <t>&gt;1500</t>
  </si>
  <si>
    <t xml:space="preserve">OD After Disc </t>
  </si>
  <si>
    <t>LPG CNG KiT</t>
  </si>
  <si>
    <t>EV</t>
  </si>
  <si>
    <t>&lt; 30KW</t>
  </si>
  <si>
    <t>IMT 23</t>
  </si>
  <si>
    <t>Total OD</t>
  </si>
  <si>
    <t>30 - 65 KW</t>
  </si>
  <si>
    <t>Add On Premium</t>
  </si>
  <si>
    <t>&gt;65 KW</t>
  </si>
  <si>
    <t>Net OD Premium (A)</t>
  </si>
  <si>
    <t>1 to 7</t>
  </si>
  <si>
    <t>1+1</t>
  </si>
  <si>
    <t>1162 x (Setat -1)</t>
  </si>
  <si>
    <t>TP Basic Cover</t>
  </si>
  <si>
    <t>978 x (Setat -1)</t>
  </si>
  <si>
    <t>TP Cover (Per Pass)</t>
  </si>
  <si>
    <t>1117 x (Setat -1)</t>
  </si>
  <si>
    <t>TP Cover - Bi Fuel Kit (CNG / LPG)</t>
  </si>
  <si>
    <t>988 x (Setat -1)</t>
  </si>
  <si>
    <t>TP - Compulsory PA Cover Owner Driver</t>
  </si>
  <si>
    <t>831 x (Setat -1)</t>
  </si>
  <si>
    <t>949 x (Setat -1)</t>
  </si>
  <si>
    <t>5% x OD</t>
  </si>
  <si>
    <t>15% x (OD + LPG)</t>
  </si>
  <si>
    <t>1214 x (Setat -1)</t>
  </si>
  <si>
    <t>8 to 18</t>
  </si>
  <si>
    <t>1349 x (Setat -1)</t>
  </si>
  <si>
    <t>Net TP Premium (B)</t>
  </si>
  <si>
    <t>15% x OD</t>
  </si>
  <si>
    <t>789 x (Setat -1)</t>
  </si>
  <si>
    <t>0-7500</t>
  </si>
  <si>
    <t>75 x (Seat -1)</t>
  </si>
  <si>
    <t>GST @ 18% on OD</t>
  </si>
  <si>
    <t>GST @ 18%</t>
  </si>
  <si>
    <t>GST @ 6% on TP in Goods</t>
  </si>
  <si>
    <t>Total Premium with GST</t>
  </si>
  <si>
    <t>Reg Type</t>
  </si>
  <si>
    <t>Seater</t>
  </si>
  <si>
    <t>Outside State - TRC Only</t>
  </si>
  <si>
    <t>Tax Factor</t>
  </si>
  <si>
    <t>Tax Slab</t>
  </si>
  <si>
    <t>Surcharge</t>
  </si>
  <si>
    <t>Hypothecation</t>
  </si>
  <si>
    <t>Green Tax</t>
  </si>
  <si>
    <t>Registration Fee</t>
  </si>
  <si>
    <t>Duplicate Tax Card</t>
  </si>
  <si>
    <t>Fitness</t>
  </si>
  <si>
    <t>Penalty</t>
  </si>
  <si>
    <t>Total Amount</t>
  </si>
  <si>
    <t>Regular</t>
  </si>
  <si>
    <t>Complete</t>
  </si>
  <si>
    <t>0-3000</t>
  </si>
  <si>
    <t>% of Rounded Up ESR</t>
  </si>
  <si>
    <t>12.5% of Tax</t>
  </si>
  <si>
    <t>Sum of All</t>
  </si>
  <si>
    <t>Electric</t>
  </si>
  <si>
    <t>0% of Tax</t>
  </si>
  <si>
    <t>3001 - 16500</t>
  </si>
  <si>
    <t>&lt;4</t>
  </si>
  <si>
    <t>Fixed</t>
  </si>
  <si>
    <t>&gt;4</t>
  </si>
  <si>
    <t>Taxi</t>
  </si>
  <si>
    <t>0-13</t>
  </si>
  <si>
    <t>Ambulance</t>
  </si>
  <si>
    <t>ANY</t>
  </si>
  <si>
    <t>0-800</t>
  </si>
  <si>
    <t>801-1200</t>
  </si>
  <si>
    <t>&gt;1200</t>
  </si>
  <si>
    <t>BH</t>
  </si>
  <si>
    <t>0-999999</t>
  </si>
  <si>
    <t>% of Rounded Up Ass Value + Dlr Mgn WO GST</t>
  </si>
  <si>
    <t>(10% * 1.25 * 2) / 15</t>
  </si>
  <si>
    <t>(8% * 1.25 * 2) / 15</t>
  </si>
  <si>
    <t>(6% * 1.25 * 2) / 15</t>
  </si>
  <si>
    <t>1000000 - 200000</t>
  </si>
  <si>
    <t>(12% * 1.25 * 2 ) /15</t>
  </si>
  <si>
    <t>Above 2000000</t>
  </si>
  <si>
    <t>(14% * 1.25 * 2 ) / 15</t>
  </si>
  <si>
    <t>(12% * 1.25 * 2) / 15</t>
  </si>
  <si>
    <t>Incidental Charges</t>
  </si>
  <si>
    <t>FastTag</t>
  </si>
  <si>
    <t>TRC</t>
  </si>
  <si>
    <t>RTO Tape</t>
  </si>
  <si>
    <t>COD Charges</t>
  </si>
  <si>
    <t>Any</t>
  </si>
  <si>
    <t>9,57,358</t>
  </si>
  <si>
    <t>9,94,869</t>
  </si>
  <si>
    <t>9,85,296</t>
  </si>
  <si>
    <t>3,94,118</t>
  </si>
  <si>
    <t>13,79,414</t>
  </si>
  <si>
    <t>1,97,059</t>
  </si>
  <si>
    <t>11,87,281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</si>
</sst>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m\-d"/>
  </numFmts>
  <fonts count="16">
    <font>
      <sz val="10"/>
      <color rgb="FF000000"/>
      <name val="Arial"/>
      <scheme val="minor"/>
    </font>
    <font>
      <b/>
      <sz val="10"/>
      <color theme="1"/>
      <name val="Calibri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1"/>
      <color rgb="FF000000"/>
      <name val="Calibri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6C9EC"/>
        <bgColor rgb="FFA6C9EC"/>
      </patternFill>
    </fill>
    <fill>
      <patternFill patternType="solid">
        <fgColor rgb="FFFFFF00"/>
        <bgColor rgb="FFFFFF00"/>
      </patternFill>
    </fill>
    <fill>
      <patternFill patternType="solid">
        <fgColor rgb="FF83CCEB"/>
        <bgColor rgb="FF83CCEB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4D93D9"/>
        <bgColor rgb="FF4D93D9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A31A"/>
        <bgColor rgb="FFFFA31A"/>
      </patternFill>
    </fill>
    <fill>
      <patternFill patternType="solid">
        <fgColor rgb="FFFFCCCC"/>
        <bgColor rgb="FFFF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FF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10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6" fillId="12" borderId="0" xfId="0" applyNumberFormat="1" applyFont="1" applyFill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10" fillId="12" borderId="0" xfId="0" applyFont="1" applyFill="1"/>
    <xf numFmtId="0" fontId="3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1" fontId="14" fillId="0" borderId="0" xfId="0" applyNumberFormat="1" applyFont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left" vertical="center"/>
    </xf>
    <xf numFmtId="0" fontId="4" fillId="0" borderId="0" xfId="0" applyFont="1"/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/>
    <xf numFmtId="0" fontId="4" fillId="18" borderId="1" xfId="0" applyFont="1" applyFill="1" applyBorder="1" applyAlignment="1">
      <alignment horizontal="center" vertical="center" wrapText="1"/>
    </xf>
    <xf numFmtId="1" fontId="4" fillId="18" borderId="1" xfId="0" applyNumberFormat="1" applyFont="1" applyFill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wrapText="1"/>
    </xf>
    <xf numFmtId="0" fontId="4" fillId="0" borderId="1" xfId="0" applyFont="1" applyBorder="1"/>
    <xf numFmtId="10" fontId="4" fillId="18" borderId="1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4" borderId="0" xfId="0" applyFont="1" applyFill="1"/>
    <xf numFmtId="0" fontId="2" fillId="19" borderId="1" xfId="0" applyFont="1" applyFill="1" applyBorder="1" applyAlignment="1">
      <alignment horizontal="center"/>
    </xf>
    <xf numFmtId="9" fontId="4" fillId="7" borderId="1" xfId="0" applyNumberFormat="1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9" fontId="4" fillId="18" borderId="1" xfId="0" applyNumberFormat="1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6" fillId="20" borderId="3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5" fillId="0" borderId="0" xfId="0" applyFont="1"/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4"/>
  <sheetViews>
    <sheetView workbookViewId="0"/>
  </sheetViews>
  <sheetFormatPr defaultColWidth="12.6640625" defaultRowHeight="15.75" customHeight="1"/>
  <cols>
    <col min="1" max="1" width="26" customWidth="1"/>
  </cols>
  <sheetData>
    <row r="1" spans="1:2">
      <c r="A1" s="2" t="s">
        <v>1</v>
      </c>
      <c r="B1" s="2" t="s">
        <v>4</v>
      </c>
    </row>
    <row r="2" spans="1:2">
      <c r="A2" s="6" t="s">
        <v>6</v>
      </c>
      <c r="B2" s="9" t="s">
        <v>13</v>
      </c>
    </row>
    <row r="3" spans="1:2">
      <c r="A3" s="6" t="s">
        <v>18</v>
      </c>
      <c r="B3" s="9" t="s">
        <v>13</v>
      </c>
    </row>
    <row r="4" spans="1:2">
      <c r="A4" s="6" t="s">
        <v>20</v>
      </c>
      <c r="B4" s="9" t="s">
        <v>13</v>
      </c>
    </row>
    <row r="5" spans="1:2">
      <c r="A5" s="6" t="s">
        <v>23</v>
      </c>
      <c r="B5" s="9" t="s">
        <v>13</v>
      </c>
    </row>
    <row r="6" spans="1:2">
      <c r="A6" s="6" t="s">
        <v>28</v>
      </c>
      <c r="B6" s="9" t="s">
        <v>30</v>
      </c>
    </row>
    <row r="7" spans="1:2">
      <c r="A7" s="6" t="s">
        <v>32</v>
      </c>
      <c r="B7" s="9" t="s">
        <v>30</v>
      </c>
    </row>
    <row r="8" spans="1:2">
      <c r="A8" s="6" t="s">
        <v>34</v>
      </c>
      <c r="B8" s="9" t="s">
        <v>30</v>
      </c>
    </row>
    <row r="9" spans="1:2">
      <c r="A9" s="6" t="s">
        <v>35</v>
      </c>
      <c r="B9" s="9" t="s">
        <v>30</v>
      </c>
    </row>
    <row r="10" spans="1:2">
      <c r="A10" s="6" t="s">
        <v>36</v>
      </c>
      <c r="B10" s="9" t="s">
        <v>30</v>
      </c>
    </row>
    <row r="11" spans="1:2">
      <c r="A11" s="6" t="s">
        <v>40</v>
      </c>
      <c r="B11" s="9" t="s">
        <v>30</v>
      </c>
    </row>
    <row r="12" spans="1:2">
      <c r="A12" s="6" t="s">
        <v>42</v>
      </c>
      <c r="B12" s="9" t="s">
        <v>44</v>
      </c>
    </row>
    <row r="13" spans="1:2">
      <c r="A13" s="6" t="s">
        <v>45</v>
      </c>
      <c r="B13" s="9" t="s">
        <v>44</v>
      </c>
    </row>
    <row r="14" spans="1:2">
      <c r="A14" s="6" t="s">
        <v>46</v>
      </c>
      <c r="B14" s="9" t="s">
        <v>44</v>
      </c>
    </row>
    <row r="15" spans="1:2">
      <c r="A15" s="6" t="s">
        <v>49</v>
      </c>
      <c r="B15" s="9" t="s">
        <v>44</v>
      </c>
    </row>
    <row r="16" spans="1:2">
      <c r="A16" s="6" t="s">
        <v>53</v>
      </c>
      <c r="B16" s="9" t="s">
        <v>56</v>
      </c>
    </row>
    <row r="17" spans="1:2">
      <c r="A17" s="13"/>
      <c r="B17" s="13"/>
    </row>
    <row r="18" spans="1:2">
      <c r="A18" s="13"/>
      <c r="B18" s="13"/>
    </row>
    <row r="19" spans="1:2">
      <c r="A19" s="13"/>
      <c r="B19" s="13"/>
    </row>
    <row r="20" spans="1:2">
      <c r="A20" s="13"/>
      <c r="B20" s="13"/>
    </row>
    <row r="21" spans="1:2">
      <c r="A21" s="13"/>
      <c r="B21" s="13"/>
    </row>
    <row r="22" spans="1:2">
      <c r="A22" s="13"/>
      <c r="B22" s="13"/>
    </row>
    <row r="23" spans="1:2">
      <c r="A23" s="13"/>
      <c r="B23" s="13"/>
    </row>
    <row r="24" spans="1:2">
      <c r="A24" s="13"/>
      <c r="B24" s="13"/>
    </row>
    <row r="25" spans="1:2">
      <c r="A25" s="13"/>
      <c r="B25" s="13"/>
    </row>
    <row r="26" spans="1:2">
      <c r="A26" s="13"/>
      <c r="B26" s="13"/>
    </row>
    <row r="27" spans="1:2">
      <c r="A27" s="13"/>
      <c r="B27" s="13"/>
    </row>
    <row r="28" spans="1:2">
      <c r="A28" s="13"/>
      <c r="B28" s="13"/>
    </row>
    <row r="29" spans="1:2">
      <c r="A29" s="13"/>
      <c r="B29" s="13"/>
    </row>
    <row r="30" spans="1:2">
      <c r="A30" s="13"/>
      <c r="B30" s="13"/>
    </row>
    <row r="31" spans="1:2">
      <c r="A31" s="13"/>
      <c r="B31" s="13"/>
    </row>
    <row r="32" spans="1:2">
      <c r="A32" s="13"/>
      <c r="B32" s="13"/>
    </row>
    <row r="33" spans="1:2">
      <c r="A33" s="13"/>
      <c r="B33" s="13"/>
    </row>
    <row r="34" spans="1:2">
      <c r="A34" s="13"/>
      <c r="B34" s="13"/>
    </row>
    <row r="35" spans="1:2">
      <c r="A35" s="13"/>
      <c r="B35" s="13"/>
    </row>
    <row r="36" spans="1:2">
      <c r="A36" s="13"/>
      <c r="B36" s="13"/>
    </row>
    <row r="37" spans="1:2">
      <c r="A37" s="13"/>
      <c r="B37" s="13"/>
    </row>
    <row r="38" spans="1:2">
      <c r="A38" s="13"/>
      <c r="B38" s="13"/>
    </row>
    <row r="39" spans="1:2">
      <c r="A39" s="13"/>
      <c r="B39" s="13"/>
    </row>
    <row r="40" spans="1:2">
      <c r="A40" s="13"/>
      <c r="B40" s="13"/>
    </row>
    <row r="41" spans="1:2">
      <c r="A41" s="13"/>
      <c r="B41" s="13"/>
    </row>
    <row r="42" spans="1:2">
      <c r="A42" s="13"/>
      <c r="B42" s="13"/>
    </row>
    <row r="43" spans="1:2">
      <c r="A43" s="13"/>
      <c r="B43" s="13"/>
    </row>
    <row r="44" spans="1:2">
      <c r="A44" s="13"/>
      <c r="B44" s="13"/>
    </row>
    <row r="45" spans="1:2">
      <c r="A45" s="13"/>
      <c r="B45" s="13"/>
    </row>
    <row r="46" spans="1:2">
      <c r="A46" s="13"/>
      <c r="B46" s="13"/>
    </row>
    <row r="47" spans="1:2">
      <c r="A47" s="13"/>
      <c r="B47" s="13"/>
    </row>
    <row r="48" spans="1:2">
      <c r="A48" s="13"/>
      <c r="B48" s="13"/>
    </row>
    <row r="49" spans="1:2">
      <c r="A49" s="13"/>
      <c r="B49" s="13"/>
    </row>
    <row r="50" spans="1:2">
      <c r="A50" s="13"/>
      <c r="B50" s="13"/>
    </row>
    <row r="51" spans="1:2">
      <c r="A51" s="13"/>
      <c r="B51" s="13"/>
    </row>
    <row r="52" spans="1:2">
      <c r="A52" s="13"/>
      <c r="B52" s="13"/>
    </row>
    <row r="53" spans="1:2">
      <c r="A53" s="13"/>
      <c r="B53" s="13"/>
    </row>
    <row r="54" spans="1:2">
      <c r="A54" s="13"/>
      <c r="B54" s="13"/>
    </row>
    <row r="55" spans="1:2">
      <c r="A55" s="13"/>
      <c r="B55" s="13"/>
    </row>
    <row r="56" spans="1:2">
      <c r="A56" s="13"/>
      <c r="B56" s="13"/>
    </row>
    <row r="57" spans="1:2">
      <c r="A57" s="13"/>
      <c r="B57" s="13"/>
    </row>
    <row r="58" spans="1:2">
      <c r="A58" s="13"/>
      <c r="B58" s="13"/>
    </row>
    <row r="59" spans="1:2">
      <c r="A59" s="13"/>
      <c r="B59" s="13"/>
    </row>
    <row r="60" spans="1:2">
      <c r="A60" s="13"/>
      <c r="B60" s="13"/>
    </row>
    <row r="61" spans="1:2">
      <c r="A61" s="13"/>
      <c r="B61" s="13"/>
    </row>
    <row r="62" spans="1:2">
      <c r="A62" s="13"/>
      <c r="B62" s="13"/>
    </row>
    <row r="63" spans="1:2">
      <c r="A63" s="13"/>
      <c r="B63" s="13"/>
    </row>
    <row r="64" spans="1:2">
      <c r="A64" s="13"/>
      <c r="B64" s="13"/>
    </row>
    <row r="65" spans="1:2">
      <c r="A65" s="13"/>
      <c r="B65" s="13"/>
    </row>
    <row r="66" spans="1:2">
      <c r="A66" s="13"/>
      <c r="B66" s="13"/>
    </row>
    <row r="67" spans="1:2">
      <c r="A67" s="13"/>
      <c r="B67" s="13"/>
    </row>
    <row r="68" spans="1:2">
      <c r="A68" s="13"/>
      <c r="B68" s="13"/>
    </row>
    <row r="69" spans="1:2">
      <c r="A69" s="13"/>
      <c r="B69" s="13"/>
    </row>
    <row r="70" spans="1:2">
      <c r="A70" s="13"/>
      <c r="B70" s="13"/>
    </row>
    <row r="71" spans="1:2">
      <c r="A71" s="13"/>
      <c r="B71" s="13"/>
    </row>
    <row r="72" spans="1:2">
      <c r="A72" s="13"/>
      <c r="B72" s="13"/>
    </row>
    <row r="73" spans="1:2">
      <c r="A73" s="13"/>
      <c r="B73" s="13"/>
    </row>
    <row r="74" spans="1:2">
      <c r="A74" s="13"/>
      <c r="B74" s="13"/>
    </row>
    <row r="75" spans="1:2">
      <c r="A75" s="13"/>
      <c r="B75" s="13"/>
    </row>
    <row r="76" spans="1:2">
      <c r="A76" s="13"/>
      <c r="B76" s="13"/>
    </row>
    <row r="77" spans="1:2">
      <c r="A77" s="13"/>
      <c r="B77" s="13"/>
    </row>
    <row r="78" spans="1:2">
      <c r="A78" s="13"/>
      <c r="B78" s="13"/>
    </row>
    <row r="79" spans="1:2">
      <c r="A79" s="13"/>
      <c r="B79" s="13"/>
    </row>
    <row r="80" spans="1:2">
      <c r="A80" s="13"/>
      <c r="B80" s="13"/>
    </row>
    <row r="81" spans="1:2">
      <c r="A81" s="13"/>
      <c r="B81" s="13"/>
    </row>
    <row r="82" spans="1:2">
      <c r="A82" s="13"/>
      <c r="B82" s="13"/>
    </row>
    <row r="83" spans="1:2">
      <c r="A83" s="13"/>
      <c r="B83" s="13"/>
    </row>
    <row r="84" spans="1:2">
      <c r="A84" s="13"/>
      <c r="B84" s="13"/>
    </row>
    <row r="85" spans="1:2">
      <c r="A85" s="13"/>
      <c r="B85" s="13"/>
    </row>
    <row r="86" spans="1:2">
      <c r="A86" s="13"/>
      <c r="B86" s="13"/>
    </row>
    <row r="87" spans="1:2">
      <c r="A87" s="13"/>
      <c r="B87" s="13"/>
    </row>
    <row r="88" spans="1:2">
      <c r="A88" s="13"/>
      <c r="B88" s="13"/>
    </row>
    <row r="89" spans="1:2">
      <c r="A89" s="13"/>
      <c r="B89" s="13"/>
    </row>
    <row r="90" spans="1:2">
      <c r="A90" s="13"/>
      <c r="B90" s="13"/>
    </row>
    <row r="91" spans="1:2">
      <c r="A91" s="13"/>
      <c r="B91" s="13"/>
    </row>
    <row r="92" spans="1:2">
      <c r="A92" s="13"/>
      <c r="B92" s="13"/>
    </row>
    <row r="93" spans="1:2">
      <c r="A93" s="13"/>
      <c r="B93" s="13"/>
    </row>
    <row r="94" spans="1:2">
      <c r="A94" s="13"/>
      <c r="B94" s="13"/>
    </row>
    <row r="95" spans="1:2">
      <c r="A95" s="13"/>
      <c r="B95" s="13"/>
    </row>
    <row r="96" spans="1:2">
      <c r="A96" s="13"/>
      <c r="B96" s="13"/>
    </row>
    <row r="97" spans="1:2">
      <c r="A97" s="13"/>
      <c r="B97" s="13"/>
    </row>
    <row r="98" spans="1:2">
      <c r="A98" s="13"/>
      <c r="B98" s="13"/>
    </row>
    <row r="99" spans="1:2">
      <c r="A99" s="13"/>
      <c r="B99" s="13"/>
    </row>
    <row r="100" spans="1:2">
      <c r="A100" s="13"/>
      <c r="B100" s="13"/>
    </row>
    <row r="101" spans="1:2">
      <c r="A101" s="13"/>
      <c r="B101" s="13"/>
    </row>
    <row r="102" spans="1:2">
      <c r="A102" s="13"/>
      <c r="B102" s="13"/>
    </row>
    <row r="103" spans="1:2">
      <c r="A103" s="13"/>
      <c r="B103" s="13"/>
    </row>
    <row r="104" spans="1:2">
      <c r="A104" s="13"/>
      <c r="B104" s="13"/>
    </row>
    <row r="105" spans="1:2">
      <c r="A105" s="13"/>
      <c r="B105" s="13"/>
    </row>
    <row r="106" spans="1:2">
      <c r="A106" s="13"/>
      <c r="B106" s="13"/>
    </row>
    <row r="107" spans="1:2">
      <c r="A107" s="13"/>
      <c r="B107" s="13"/>
    </row>
    <row r="108" spans="1:2">
      <c r="A108" s="13"/>
      <c r="B108" s="13"/>
    </row>
    <row r="109" spans="1:2">
      <c r="A109" s="13"/>
      <c r="B109" s="13"/>
    </row>
    <row r="110" spans="1:2">
      <c r="A110" s="13"/>
      <c r="B110" s="13"/>
    </row>
    <row r="111" spans="1:2">
      <c r="A111" s="13"/>
      <c r="B111" s="13"/>
    </row>
    <row r="112" spans="1:2">
      <c r="A112" s="13"/>
      <c r="B112" s="13"/>
    </row>
    <row r="113" spans="1:2">
      <c r="A113" s="13"/>
      <c r="B113" s="13"/>
    </row>
    <row r="114" spans="1:2">
      <c r="A114" s="13"/>
      <c r="B114" s="13"/>
    </row>
    <row r="115" spans="1:2">
      <c r="A115" s="13"/>
      <c r="B115" s="13"/>
    </row>
    <row r="116" spans="1:2">
      <c r="A116" s="13"/>
      <c r="B116" s="13"/>
    </row>
    <row r="117" spans="1:2">
      <c r="A117" s="13"/>
      <c r="B117" s="13"/>
    </row>
    <row r="118" spans="1:2">
      <c r="A118" s="13"/>
      <c r="B118" s="13"/>
    </row>
    <row r="119" spans="1:2">
      <c r="A119" s="13"/>
      <c r="B119" s="13"/>
    </row>
    <row r="120" spans="1:2">
      <c r="A120" s="13"/>
      <c r="B120" s="13"/>
    </row>
    <row r="121" spans="1:2">
      <c r="A121" s="13"/>
      <c r="B121" s="13"/>
    </row>
    <row r="122" spans="1:2">
      <c r="A122" s="13"/>
      <c r="B122" s="13"/>
    </row>
    <row r="123" spans="1:2">
      <c r="A123" s="13"/>
      <c r="B123" s="13"/>
    </row>
    <row r="124" spans="1:2">
      <c r="A124" s="13"/>
      <c r="B124" s="13"/>
    </row>
    <row r="125" spans="1:2">
      <c r="A125" s="13"/>
      <c r="B125" s="13"/>
    </row>
    <row r="126" spans="1:2">
      <c r="A126" s="13"/>
      <c r="B126" s="13"/>
    </row>
    <row r="127" spans="1:2">
      <c r="A127" s="13"/>
      <c r="B127" s="13"/>
    </row>
    <row r="128" spans="1:2">
      <c r="A128" s="13"/>
      <c r="B128" s="13"/>
    </row>
    <row r="129" spans="1:2">
      <c r="A129" s="13"/>
      <c r="B129" s="13"/>
    </row>
    <row r="130" spans="1:2">
      <c r="A130" s="13"/>
      <c r="B130" s="13"/>
    </row>
    <row r="131" spans="1:2">
      <c r="A131" s="13"/>
      <c r="B131" s="13"/>
    </row>
    <row r="132" spans="1:2">
      <c r="A132" s="13"/>
      <c r="B132" s="13"/>
    </row>
    <row r="133" spans="1:2">
      <c r="A133" s="13"/>
      <c r="B133" s="13"/>
    </row>
    <row r="134" spans="1:2">
      <c r="A134" s="13"/>
      <c r="B134" s="13"/>
    </row>
    <row r="135" spans="1:2">
      <c r="A135" s="13"/>
      <c r="B135" s="13"/>
    </row>
    <row r="136" spans="1:2">
      <c r="A136" s="13"/>
      <c r="B136" s="13"/>
    </row>
    <row r="137" spans="1:2">
      <c r="A137" s="13"/>
      <c r="B137" s="13"/>
    </row>
    <row r="138" spans="1:2">
      <c r="A138" s="13"/>
      <c r="B138" s="13"/>
    </row>
    <row r="139" spans="1:2">
      <c r="A139" s="13"/>
      <c r="B139" s="13"/>
    </row>
    <row r="140" spans="1:2">
      <c r="A140" s="13"/>
      <c r="B140" s="13"/>
    </row>
    <row r="141" spans="1:2">
      <c r="A141" s="13"/>
      <c r="B141" s="13"/>
    </row>
    <row r="142" spans="1:2">
      <c r="A142" s="13"/>
      <c r="B142" s="13"/>
    </row>
    <row r="143" spans="1:2">
      <c r="A143" s="13"/>
      <c r="B143" s="13"/>
    </row>
    <row r="144" spans="1:2">
      <c r="A144" s="13"/>
      <c r="B144" s="13"/>
    </row>
    <row r="145" spans="1:2">
      <c r="A145" s="13"/>
      <c r="B145" s="13"/>
    </row>
    <row r="146" spans="1:2">
      <c r="A146" s="13"/>
      <c r="B146" s="13"/>
    </row>
    <row r="147" spans="1:2">
      <c r="A147" s="13"/>
      <c r="B147" s="13"/>
    </row>
    <row r="148" spans="1:2">
      <c r="A148" s="13"/>
      <c r="B148" s="13"/>
    </row>
    <row r="149" spans="1:2">
      <c r="A149" s="13"/>
      <c r="B149" s="13"/>
    </row>
    <row r="150" spans="1:2">
      <c r="A150" s="13"/>
      <c r="B150" s="13"/>
    </row>
    <row r="151" spans="1:2">
      <c r="A151" s="13"/>
      <c r="B151" s="13"/>
    </row>
    <row r="152" spans="1:2">
      <c r="A152" s="13"/>
      <c r="B152" s="13"/>
    </row>
    <row r="153" spans="1:2">
      <c r="A153" s="13"/>
      <c r="B153" s="13"/>
    </row>
    <row r="154" spans="1:2">
      <c r="A154" s="13"/>
      <c r="B154" s="13"/>
    </row>
    <row r="155" spans="1:2">
      <c r="A155" s="13"/>
      <c r="B155" s="13"/>
    </row>
    <row r="156" spans="1:2">
      <c r="A156" s="13"/>
      <c r="B156" s="13"/>
    </row>
    <row r="157" spans="1:2">
      <c r="A157" s="13"/>
      <c r="B157" s="13"/>
    </row>
    <row r="158" spans="1:2">
      <c r="A158" s="13"/>
      <c r="B158" s="13"/>
    </row>
    <row r="159" spans="1:2">
      <c r="A159" s="13"/>
      <c r="B159" s="13"/>
    </row>
    <row r="160" spans="1:2">
      <c r="A160" s="13"/>
      <c r="B160" s="13"/>
    </row>
    <row r="161" spans="1:2">
      <c r="A161" s="13"/>
      <c r="B161" s="13"/>
    </row>
    <row r="162" spans="1:2">
      <c r="A162" s="13"/>
      <c r="B162" s="13"/>
    </row>
    <row r="163" spans="1:2">
      <c r="A163" s="13"/>
      <c r="B163" s="13"/>
    </row>
    <row r="164" spans="1:2">
      <c r="A164" s="13"/>
      <c r="B164" s="13"/>
    </row>
    <row r="165" spans="1:2">
      <c r="A165" s="13"/>
      <c r="B165" s="13"/>
    </row>
    <row r="166" spans="1:2">
      <c r="A166" s="13"/>
      <c r="B166" s="13"/>
    </row>
    <row r="167" spans="1:2">
      <c r="A167" s="13"/>
      <c r="B167" s="13"/>
    </row>
    <row r="168" spans="1:2">
      <c r="A168" s="13"/>
      <c r="B168" s="13"/>
    </row>
    <row r="169" spans="1:2">
      <c r="A169" s="13"/>
      <c r="B169" s="13"/>
    </row>
    <row r="170" spans="1:2">
      <c r="A170" s="13"/>
      <c r="B170" s="13"/>
    </row>
    <row r="171" spans="1:2">
      <c r="A171" s="13"/>
      <c r="B171" s="13"/>
    </row>
    <row r="172" spans="1:2">
      <c r="A172" s="13"/>
      <c r="B172" s="13"/>
    </row>
    <row r="173" spans="1:2">
      <c r="A173" s="13"/>
      <c r="B173" s="13"/>
    </row>
    <row r="174" spans="1:2">
      <c r="A174" s="13"/>
      <c r="B174" s="13"/>
    </row>
    <row r="175" spans="1:2">
      <c r="A175" s="13"/>
      <c r="B175" s="13"/>
    </row>
    <row r="176" spans="1:2">
      <c r="A176" s="13"/>
      <c r="B176" s="13"/>
    </row>
    <row r="177" spans="1:2">
      <c r="A177" s="13"/>
      <c r="B177" s="13"/>
    </row>
    <row r="178" spans="1:2">
      <c r="A178" s="13"/>
      <c r="B178" s="13"/>
    </row>
    <row r="179" spans="1:2">
      <c r="A179" s="13"/>
      <c r="B179" s="13"/>
    </row>
    <row r="180" spans="1:2">
      <c r="A180" s="13"/>
      <c r="B180" s="13"/>
    </row>
    <row r="181" spans="1:2">
      <c r="A181" s="13"/>
      <c r="B181" s="13"/>
    </row>
    <row r="182" spans="1:2">
      <c r="A182" s="13"/>
      <c r="B182" s="13"/>
    </row>
    <row r="183" spans="1:2">
      <c r="A183" s="13"/>
      <c r="B183" s="13"/>
    </row>
    <row r="184" spans="1:2">
      <c r="A184" s="13"/>
      <c r="B184" s="13"/>
    </row>
    <row r="185" spans="1:2">
      <c r="A185" s="13"/>
      <c r="B185" s="13"/>
    </row>
    <row r="186" spans="1:2">
      <c r="A186" s="13"/>
      <c r="B186" s="13"/>
    </row>
    <row r="187" spans="1:2">
      <c r="A187" s="13"/>
      <c r="B187" s="13"/>
    </row>
    <row r="188" spans="1:2">
      <c r="A188" s="13"/>
      <c r="B188" s="13"/>
    </row>
    <row r="189" spans="1:2">
      <c r="A189" s="13"/>
      <c r="B189" s="13"/>
    </row>
    <row r="190" spans="1:2">
      <c r="A190" s="13"/>
      <c r="B190" s="13"/>
    </row>
    <row r="191" spans="1:2">
      <c r="A191" s="13"/>
      <c r="B191" s="13"/>
    </row>
    <row r="192" spans="1:2">
      <c r="A192" s="13"/>
      <c r="B192" s="13"/>
    </row>
    <row r="193" spans="1:2">
      <c r="A193" s="13"/>
      <c r="B193" s="13"/>
    </row>
    <row r="194" spans="1:2">
      <c r="A194" s="13"/>
      <c r="B194" s="13"/>
    </row>
    <row r="195" spans="1:2">
      <c r="A195" s="13"/>
      <c r="B195" s="13"/>
    </row>
    <row r="196" spans="1:2">
      <c r="A196" s="13"/>
      <c r="B196" s="13"/>
    </row>
    <row r="197" spans="1:2">
      <c r="A197" s="13"/>
      <c r="B197" s="13"/>
    </row>
    <row r="198" spans="1:2">
      <c r="A198" s="13"/>
      <c r="B198" s="13"/>
    </row>
    <row r="199" spans="1:2">
      <c r="A199" s="13"/>
      <c r="B199" s="13"/>
    </row>
    <row r="200" spans="1:2">
      <c r="A200" s="13"/>
      <c r="B200" s="13"/>
    </row>
    <row r="201" spans="1:2">
      <c r="A201" s="13"/>
      <c r="B201" s="13"/>
    </row>
    <row r="202" spans="1:2">
      <c r="A202" s="13"/>
      <c r="B202" s="13"/>
    </row>
    <row r="203" spans="1:2">
      <c r="A203" s="13"/>
      <c r="B203" s="13"/>
    </row>
    <row r="204" spans="1:2">
      <c r="A204" s="13"/>
      <c r="B204" s="13"/>
    </row>
    <row r="205" spans="1:2">
      <c r="A205" s="13"/>
      <c r="B205" s="13"/>
    </row>
    <row r="206" spans="1:2">
      <c r="A206" s="13"/>
      <c r="B206" s="13"/>
    </row>
    <row r="207" spans="1:2">
      <c r="A207" s="13"/>
      <c r="B207" s="13"/>
    </row>
    <row r="208" spans="1:2">
      <c r="A208" s="13"/>
      <c r="B208" s="13"/>
    </row>
    <row r="209" spans="1:2">
      <c r="A209" s="13"/>
      <c r="B209" s="13"/>
    </row>
    <row r="210" spans="1:2">
      <c r="A210" s="13"/>
      <c r="B210" s="13"/>
    </row>
    <row r="211" spans="1:2">
      <c r="A211" s="13"/>
      <c r="B211" s="13"/>
    </row>
    <row r="212" spans="1:2">
      <c r="A212" s="13"/>
      <c r="B212" s="13"/>
    </row>
    <row r="213" spans="1:2">
      <c r="A213" s="13"/>
      <c r="B213" s="13"/>
    </row>
    <row r="214" spans="1:2">
      <c r="A214" s="13"/>
      <c r="B214" s="13"/>
    </row>
    <row r="215" spans="1:2">
      <c r="A215" s="13"/>
      <c r="B215" s="13"/>
    </row>
    <row r="216" spans="1:2">
      <c r="A216" s="13"/>
      <c r="B216" s="13"/>
    </row>
    <row r="217" spans="1:2">
      <c r="A217" s="13"/>
      <c r="B217" s="13"/>
    </row>
    <row r="218" spans="1:2">
      <c r="A218" s="13"/>
      <c r="B218" s="13"/>
    </row>
    <row r="219" spans="1:2">
      <c r="A219" s="13"/>
      <c r="B219" s="13"/>
    </row>
    <row r="220" spans="1:2">
      <c r="A220" s="13"/>
      <c r="B220" s="13"/>
    </row>
    <row r="221" spans="1:2">
      <c r="A221" s="13"/>
      <c r="B221" s="13"/>
    </row>
    <row r="222" spans="1:2">
      <c r="A222" s="13"/>
      <c r="B222" s="13"/>
    </row>
    <row r="223" spans="1:2">
      <c r="A223" s="13"/>
      <c r="B223" s="13"/>
    </row>
    <row r="224" spans="1:2">
      <c r="A224" s="13"/>
      <c r="B224" s="13"/>
    </row>
    <row r="225" spans="1:2">
      <c r="A225" s="13"/>
      <c r="B225" s="13"/>
    </row>
    <row r="226" spans="1:2">
      <c r="A226" s="13"/>
      <c r="B226" s="13"/>
    </row>
    <row r="227" spans="1:2">
      <c r="A227" s="13"/>
      <c r="B227" s="13"/>
    </row>
    <row r="228" spans="1:2">
      <c r="A228" s="13"/>
      <c r="B228" s="13"/>
    </row>
    <row r="229" spans="1:2">
      <c r="A229" s="13"/>
      <c r="B229" s="13"/>
    </row>
    <row r="230" spans="1:2">
      <c r="A230" s="13"/>
      <c r="B230" s="13"/>
    </row>
    <row r="231" spans="1:2">
      <c r="A231" s="13"/>
      <c r="B231" s="13"/>
    </row>
    <row r="232" spans="1:2">
      <c r="A232" s="13"/>
      <c r="B232" s="13"/>
    </row>
    <row r="233" spans="1:2">
      <c r="A233" s="13"/>
      <c r="B233" s="13"/>
    </row>
    <row r="234" spans="1:2">
      <c r="A234" s="13"/>
      <c r="B234" s="13"/>
    </row>
    <row r="235" spans="1:2">
      <c r="A235" s="13"/>
      <c r="B235" s="13"/>
    </row>
    <row r="236" spans="1:2">
      <c r="A236" s="13"/>
      <c r="B236" s="13"/>
    </row>
    <row r="237" spans="1:2">
      <c r="A237" s="13"/>
      <c r="B237" s="13"/>
    </row>
    <row r="238" spans="1:2">
      <c r="A238" s="13"/>
      <c r="B238" s="13"/>
    </row>
    <row r="239" spans="1:2">
      <c r="A239" s="13"/>
      <c r="B239" s="13"/>
    </row>
    <row r="240" spans="1:2">
      <c r="A240" s="13"/>
      <c r="B240" s="13"/>
    </row>
    <row r="241" spans="1:2">
      <c r="A241" s="13"/>
      <c r="B241" s="13"/>
    </row>
    <row r="242" spans="1:2">
      <c r="A242" s="13"/>
      <c r="B242" s="13"/>
    </row>
    <row r="243" spans="1:2">
      <c r="A243" s="13"/>
      <c r="B243" s="13"/>
    </row>
    <row r="244" spans="1:2">
      <c r="A244" s="13"/>
      <c r="B244" s="13"/>
    </row>
    <row r="245" spans="1:2">
      <c r="A245" s="13"/>
      <c r="B245" s="13"/>
    </row>
    <row r="246" spans="1:2">
      <c r="A246" s="13"/>
      <c r="B246" s="13"/>
    </row>
    <row r="247" spans="1:2">
      <c r="A247" s="13"/>
      <c r="B247" s="13"/>
    </row>
    <row r="248" spans="1:2">
      <c r="A248" s="13"/>
      <c r="B248" s="13"/>
    </row>
    <row r="249" spans="1:2">
      <c r="A249" s="13"/>
      <c r="B249" s="13"/>
    </row>
    <row r="250" spans="1:2">
      <c r="A250" s="13"/>
      <c r="B250" s="13"/>
    </row>
    <row r="251" spans="1:2">
      <c r="A251" s="13"/>
      <c r="B251" s="13"/>
    </row>
    <row r="252" spans="1:2">
      <c r="A252" s="13"/>
      <c r="B252" s="13"/>
    </row>
    <row r="253" spans="1:2">
      <c r="A253" s="13"/>
      <c r="B253" s="13"/>
    </row>
    <row r="254" spans="1:2">
      <c r="A254" s="13"/>
      <c r="B254" s="13"/>
    </row>
    <row r="255" spans="1:2">
      <c r="A255" s="13"/>
      <c r="B255" s="13"/>
    </row>
    <row r="256" spans="1:2">
      <c r="A256" s="13"/>
      <c r="B256" s="13"/>
    </row>
    <row r="257" spans="1:2">
      <c r="A257" s="13"/>
      <c r="B257" s="13"/>
    </row>
    <row r="258" spans="1:2">
      <c r="A258" s="13"/>
      <c r="B258" s="13"/>
    </row>
    <row r="259" spans="1:2">
      <c r="A259" s="13"/>
      <c r="B259" s="13"/>
    </row>
    <row r="260" spans="1:2">
      <c r="A260" s="13"/>
      <c r="B260" s="13"/>
    </row>
    <row r="261" spans="1:2">
      <c r="A261" s="13"/>
      <c r="B261" s="13"/>
    </row>
    <row r="262" spans="1:2">
      <c r="A262" s="13"/>
      <c r="B262" s="13"/>
    </row>
    <row r="263" spans="1:2">
      <c r="A263" s="13"/>
      <c r="B263" s="13"/>
    </row>
    <row r="264" spans="1:2">
      <c r="A264" s="13"/>
      <c r="B264" s="13"/>
    </row>
    <row r="265" spans="1:2">
      <c r="A265" s="13"/>
      <c r="B265" s="13"/>
    </row>
    <row r="266" spans="1:2">
      <c r="A266" s="13"/>
      <c r="B266" s="13"/>
    </row>
    <row r="267" spans="1:2">
      <c r="A267" s="13"/>
      <c r="B267" s="13"/>
    </row>
    <row r="268" spans="1:2">
      <c r="A268" s="13"/>
      <c r="B268" s="13"/>
    </row>
    <row r="269" spans="1:2">
      <c r="A269" s="13"/>
      <c r="B269" s="13"/>
    </row>
    <row r="270" spans="1:2">
      <c r="A270" s="13"/>
      <c r="B270" s="13"/>
    </row>
    <row r="271" spans="1:2">
      <c r="A271" s="13"/>
      <c r="B271" s="13"/>
    </row>
    <row r="272" spans="1:2">
      <c r="A272" s="13"/>
      <c r="B272" s="13"/>
    </row>
    <row r="273" spans="1:2">
      <c r="A273" s="13"/>
      <c r="B273" s="13"/>
    </row>
    <row r="274" spans="1:2">
      <c r="A274" s="13"/>
      <c r="B274" s="13"/>
    </row>
    <row r="275" spans="1:2">
      <c r="A275" s="13"/>
      <c r="B275" s="13"/>
    </row>
    <row r="276" spans="1:2">
      <c r="A276" s="13"/>
      <c r="B276" s="13"/>
    </row>
    <row r="277" spans="1:2">
      <c r="A277" s="13"/>
      <c r="B277" s="13"/>
    </row>
    <row r="278" spans="1:2">
      <c r="A278" s="13"/>
      <c r="B278" s="13"/>
    </row>
    <row r="279" spans="1:2">
      <c r="A279" s="13"/>
      <c r="B279" s="13"/>
    </row>
    <row r="280" spans="1:2">
      <c r="A280" s="13"/>
      <c r="B280" s="13"/>
    </row>
    <row r="281" spans="1:2">
      <c r="A281" s="13"/>
      <c r="B281" s="13"/>
    </row>
    <row r="282" spans="1:2">
      <c r="A282" s="13"/>
      <c r="B282" s="13"/>
    </row>
    <row r="283" spans="1:2">
      <c r="A283" s="13"/>
      <c r="B283" s="13"/>
    </row>
    <row r="284" spans="1:2">
      <c r="A284" s="13"/>
      <c r="B284" s="13"/>
    </row>
    <row r="285" spans="1:2">
      <c r="A285" s="13"/>
      <c r="B285" s="13"/>
    </row>
    <row r="286" spans="1:2">
      <c r="A286" s="13"/>
      <c r="B286" s="13"/>
    </row>
    <row r="287" spans="1:2">
      <c r="A287" s="13"/>
      <c r="B287" s="13"/>
    </row>
    <row r="288" spans="1:2">
      <c r="A288" s="13"/>
      <c r="B288" s="13"/>
    </row>
    <row r="289" spans="1:2">
      <c r="A289" s="13"/>
      <c r="B289" s="13"/>
    </row>
    <row r="290" spans="1:2">
      <c r="A290" s="13"/>
      <c r="B290" s="13"/>
    </row>
    <row r="291" spans="1:2">
      <c r="A291" s="13"/>
      <c r="B291" s="13"/>
    </row>
    <row r="292" spans="1:2">
      <c r="A292" s="13"/>
      <c r="B292" s="13"/>
    </row>
    <row r="293" spans="1:2">
      <c r="A293" s="13"/>
      <c r="B293" s="13"/>
    </row>
    <row r="294" spans="1:2">
      <c r="A294" s="13"/>
      <c r="B294" s="13"/>
    </row>
    <row r="295" spans="1:2">
      <c r="A295" s="13"/>
      <c r="B295" s="13"/>
    </row>
    <row r="296" spans="1:2">
      <c r="A296" s="13"/>
      <c r="B296" s="13"/>
    </row>
    <row r="297" spans="1:2">
      <c r="A297" s="13"/>
      <c r="B297" s="13"/>
    </row>
    <row r="298" spans="1:2">
      <c r="A298" s="13"/>
      <c r="B298" s="13"/>
    </row>
    <row r="299" spans="1:2">
      <c r="A299" s="13"/>
      <c r="B299" s="13"/>
    </row>
    <row r="300" spans="1:2">
      <c r="A300" s="13"/>
      <c r="B300" s="13"/>
    </row>
    <row r="301" spans="1:2">
      <c r="A301" s="13"/>
      <c r="B301" s="13"/>
    </row>
    <row r="302" spans="1:2">
      <c r="A302" s="13"/>
      <c r="B302" s="13"/>
    </row>
    <row r="303" spans="1:2">
      <c r="A303" s="13"/>
      <c r="B303" s="13"/>
    </row>
    <row r="304" spans="1:2">
      <c r="A304" s="13"/>
      <c r="B304" s="13"/>
    </row>
    <row r="305" spans="1:2">
      <c r="A305" s="13"/>
      <c r="B305" s="13"/>
    </row>
    <row r="306" spans="1:2">
      <c r="A306" s="13"/>
      <c r="B306" s="13"/>
    </row>
    <row r="307" spans="1:2">
      <c r="A307" s="13"/>
      <c r="B307" s="13"/>
    </row>
    <row r="308" spans="1:2">
      <c r="A308" s="13"/>
      <c r="B308" s="13"/>
    </row>
    <row r="309" spans="1:2">
      <c r="A309" s="13"/>
      <c r="B309" s="13"/>
    </row>
    <row r="310" spans="1:2">
      <c r="A310" s="13"/>
      <c r="B310" s="13"/>
    </row>
    <row r="311" spans="1:2">
      <c r="A311" s="13"/>
      <c r="B311" s="13"/>
    </row>
    <row r="312" spans="1:2">
      <c r="A312" s="13"/>
      <c r="B312" s="13"/>
    </row>
    <row r="313" spans="1:2">
      <c r="A313" s="13"/>
      <c r="B313" s="13"/>
    </row>
    <row r="314" spans="1:2">
      <c r="A314" s="13"/>
      <c r="B314" s="13"/>
    </row>
    <row r="315" spans="1:2">
      <c r="A315" s="13"/>
      <c r="B315" s="13"/>
    </row>
    <row r="316" spans="1:2">
      <c r="A316" s="13"/>
      <c r="B316" s="13"/>
    </row>
    <row r="317" spans="1:2">
      <c r="A317" s="13"/>
      <c r="B317" s="13"/>
    </row>
    <row r="318" spans="1:2">
      <c r="A318" s="13"/>
      <c r="B318" s="13"/>
    </row>
    <row r="319" spans="1:2">
      <c r="A319" s="13"/>
      <c r="B319" s="13"/>
    </row>
    <row r="320" spans="1:2">
      <c r="A320" s="13"/>
      <c r="B320" s="13"/>
    </row>
    <row r="321" spans="1:2">
      <c r="A321" s="13"/>
      <c r="B321" s="13"/>
    </row>
    <row r="322" spans="1:2">
      <c r="A322" s="13"/>
      <c r="B322" s="13"/>
    </row>
    <row r="323" spans="1:2">
      <c r="A323" s="13"/>
      <c r="B323" s="13"/>
    </row>
    <row r="324" spans="1:2">
      <c r="A324" s="13"/>
      <c r="B324" s="13"/>
    </row>
    <row r="325" spans="1:2">
      <c r="A325" s="13"/>
      <c r="B325" s="13"/>
    </row>
    <row r="326" spans="1:2">
      <c r="A326" s="13"/>
      <c r="B326" s="13"/>
    </row>
    <row r="327" spans="1:2">
      <c r="A327" s="13"/>
      <c r="B327" s="13"/>
    </row>
    <row r="328" spans="1:2">
      <c r="A328" s="13"/>
      <c r="B328" s="13"/>
    </row>
    <row r="329" spans="1:2">
      <c r="A329" s="13"/>
      <c r="B329" s="13"/>
    </row>
    <row r="330" spans="1:2">
      <c r="A330" s="13"/>
      <c r="B330" s="13"/>
    </row>
    <row r="331" spans="1:2">
      <c r="A331" s="13"/>
      <c r="B331" s="13"/>
    </row>
    <row r="332" spans="1:2">
      <c r="A332" s="13"/>
      <c r="B332" s="13"/>
    </row>
    <row r="333" spans="1:2">
      <c r="A333" s="13"/>
      <c r="B333" s="13"/>
    </row>
    <row r="334" spans="1:2">
      <c r="A334" s="13"/>
      <c r="B334" s="13"/>
    </row>
    <row r="335" spans="1:2">
      <c r="A335" s="13"/>
      <c r="B335" s="13"/>
    </row>
    <row r="336" spans="1:2">
      <c r="A336" s="13"/>
      <c r="B336" s="13"/>
    </row>
    <row r="337" spans="1:2">
      <c r="A337" s="13"/>
      <c r="B337" s="13"/>
    </row>
    <row r="338" spans="1:2">
      <c r="A338" s="13"/>
      <c r="B338" s="13"/>
    </row>
    <row r="339" spans="1:2">
      <c r="A339" s="13"/>
      <c r="B339" s="13"/>
    </row>
    <row r="340" spans="1:2">
      <c r="A340" s="13"/>
      <c r="B340" s="13"/>
    </row>
    <row r="341" spans="1:2">
      <c r="A341" s="13"/>
      <c r="B341" s="13"/>
    </row>
    <row r="342" spans="1:2">
      <c r="A342" s="13"/>
      <c r="B342" s="13"/>
    </row>
    <row r="343" spans="1:2">
      <c r="A343" s="13"/>
      <c r="B343" s="13"/>
    </row>
    <row r="344" spans="1:2">
      <c r="A344" s="13"/>
      <c r="B344" s="13"/>
    </row>
    <row r="345" spans="1:2">
      <c r="A345" s="13"/>
      <c r="B345" s="13"/>
    </row>
    <row r="346" spans="1:2">
      <c r="A346" s="13"/>
      <c r="B346" s="13"/>
    </row>
    <row r="347" spans="1:2">
      <c r="A347" s="13"/>
      <c r="B347" s="13"/>
    </row>
    <row r="348" spans="1:2">
      <c r="A348" s="13"/>
      <c r="B348" s="13"/>
    </row>
    <row r="349" spans="1:2">
      <c r="A349" s="13"/>
      <c r="B349" s="13"/>
    </row>
    <row r="350" spans="1:2">
      <c r="A350" s="13"/>
      <c r="B350" s="13"/>
    </row>
    <row r="351" spans="1:2">
      <c r="A351" s="13"/>
      <c r="B351" s="13"/>
    </row>
    <row r="352" spans="1:2">
      <c r="A352" s="13"/>
      <c r="B352" s="13"/>
    </row>
    <row r="353" spans="1:2">
      <c r="A353" s="13"/>
      <c r="B353" s="13"/>
    </row>
    <row r="354" spans="1:2">
      <c r="A354" s="13"/>
      <c r="B354" s="13"/>
    </row>
    <row r="355" spans="1:2">
      <c r="A355" s="13"/>
      <c r="B355" s="13"/>
    </row>
    <row r="356" spans="1:2">
      <c r="A356" s="13"/>
      <c r="B356" s="13"/>
    </row>
    <row r="357" spans="1:2">
      <c r="A357" s="13"/>
      <c r="B357" s="13"/>
    </row>
    <row r="358" spans="1:2">
      <c r="A358" s="13"/>
      <c r="B358" s="13"/>
    </row>
    <row r="359" spans="1:2">
      <c r="A359" s="13"/>
      <c r="B359" s="13"/>
    </row>
    <row r="360" spans="1:2">
      <c r="A360" s="13"/>
      <c r="B360" s="13"/>
    </row>
    <row r="361" spans="1:2">
      <c r="A361" s="13"/>
      <c r="B361" s="13"/>
    </row>
    <row r="362" spans="1:2">
      <c r="A362" s="13"/>
      <c r="B362" s="13"/>
    </row>
    <row r="363" spans="1:2">
      <c r="A363" s="13"/>
      <c r="B363" s="13"/>
    </row>
    <row r="364" spans="1:2">
      <c r="A364" s="13"/>
      <c r="B364" s="13"/>
    </row>
    <row r="365" spans="1:2">
      <c r="A365" s="13"/>
      <c r="B365" s="13"/>
    </row>
    <row r="366" spans="1:2">
      <c r="A366" s="13"/>
      <c r="B366" s="13"/>
    </row>
    <row r="367" spans="1:2">
      <c r="A367" s="13"/>
      <c r="B367" s="13"/>
    </row>
    <row r="368" spans="1:2">
      <c r="A368" s="13"/>
      <c r="B368" s="13"/>
    </row>
    <row r="369" spans="1:2">
      <c r="A369" s="13"/>
      <c r="B369" s="13"/>
    </row>
    <row r="370" spans="1:2">
      <c r="A370" s="13"/>
      <c r="B370" s="13"/>
    </row>
    <row r="371" spans="1:2">
      <c r="A371" s="13"/>
      <c r="B371" s="13"/>
    </row>
    <row r="372" spans="1:2">
      <c r="A372" s="13"/>
      <c r="B372" s="13"/>
    </row>
    <row r="373" spans="1:2">
      <c r="A373" s="13"/>
      <c r="B373" s="13"/>
    </row>
    <row r="374" spans="1:2">
      <c r="A374" s="13"/>
      <c r="B374" s="13"/>
    </row>
    <row r="375" spans="1:2">
      <c r="A375" s="13"/>
      <c r="B375" s="13"/>
    </row>
    <row r="376" spans="1:2">
      <c r="A376" s="13"/>
      <c r="B376" s="13"/>
    </row>
    <row r="377" spans="1:2">
      <c r="A377" s="13"/>
      <c r="B377" s="13"/>
    </row>
    <row r="378" spans="1:2">
      <c r="A378" s="13"/>
      <c r="B378" s="13"/>
    </row>
    <row r="379" spans="1:2">
      <c r="A379" s="13"/>
      <c r="B379" s="13"/>
    </row>
    <row r="380" spans="1:2">
      <c r="A380" s="13"/>
      <c r="B380" s="13"/>
    </row>
    <row r="381" spans="1:2">
      <c r="A381" s="13"/>
      <c r="B381" s="13"/>
    </row>
    <row r="382" spans="1:2">
      <c r="A382" s="13"/>
      <c r="B382" s="13"/>
    </row>
    <row r="383" spans="1:2">
      <c r="A383" s="13"/>
      <c r="B383" s="13"/>
    </row>
    <row r="384" spans="1:2">
      <c r="A384" s="13"/>
      <c r="B384" s="13"/>
    </row>
    <row r="385" spans="1:2">
      <c r="A385" s="13"/>
      <c r="B385" s="13"/>
    </row>
    <row r="386" spans="1:2">
      <c r="A386" s="13"/>
      <c r="B386" s="13"/>
    </row>
    <row r="387" spans="1:2">
      <c r="A387" s="13"/>
      <c r="B387" s="13"/>
    </row>
    <row r="388" spans="1:2">
      <c r="A388" s="13"/>
      <c r="B388" s="13"/>
    </row>
    <row r="389" spans="1:2">
      <c r="A389" s="13"/>
      <c r="B389" s="13"/>
    </row>
    <row r="390" spans="1:2">
      <c r="A390" s="13"/>
      <c r="B390" s="13"/>
    </row>
    <row r="391" spans="1:2">
      <c r="A391" s="13"/>
      <c r="B391" s="13"/>
    </row>
    <row r="392" spans="1:2">
      <c r="A392" s="13"/>
      <c r="B392" s="13"/>
    </row>
    <row r="393" spans="1:2">
      <c r="A393" s="13"/>
      <c r="B393" s="13"/>
    </row>
    <row r="394" spans="1:2">
      <c r="A394" s="13"/>
      <c r="B394" s="13"/>
    </row>
    <row r="395" spans="1:2">
      <c r="A395" s="13"/>
      <c r="B395" s="13"/>
    </row>
    <row r="396" spans="1:2">
      <c r="A396" s="13"/>
      <c r="B396" s="13"/>
    </row>
    <row r="397" spans="1:2">
      <c r="A397" s="13"/>
      <c r="B397" s="13"/>
    </row>
    <row r="398" spans="1:2">
      <c r="A398" s="13"/>
      <c r="B398" s="13"/>
    </row>
    <row r="399" spans="1:2">
      <c r="A399" s="13"/>
      <c r="B399" s="13"/>
    </row>
    <row r="400" spans="1:2">
      <c r="A400" s="13"/>
      <c r="B400" s="13"/>
    </row>
    <row r="401" spans="1:2">
      <c r="A401" s="13"/>
      <c r="B401" s="13"/>
    </row>
    <row r="402" spans="1:2">
      <c r="A402" s="13"/>
      <c r="B402" s="13"/>
    </row>
    <row r="403" spans="1:2">
      <c r="A403" s="13"/>
      <c r="B403" s="13"/>
    </row>
    <row r="404" spans="1:2">
      <c r="A404" s="13"/>
      <c r="B404" s="13"/>
    </row>
    <row r="405" spans="1:2">
      <c r="A405" s="13"/>
      <c r="B405" s="13"/>
    </row>
    <row r="406" spans="1:2">
      <c r="A406" s="13"/>
      <c r="B406" s="13"/>
    </row>
    <row r="407" spans="1:2">
      <c r="A407" s="13"/>
      <c r="B407" s="13"/>
    </row>
    <row r="408" spans="1:2">
      <c r="A408" s="13"/>
      <c r="B408" s="13"/>
    </row>
    <row r="409" spans="1:2">
      <c r="A409" s="13"/>
      <c r="B409" s="13"/>
    </row>
    <row r="410" spans="1:2">
      <c r="A410" s="13"/>
      <c r="B410" s="13"/>
    </row>
    <row r="411" spans="1:2">
      <c r="A411" s="13"/>
      <c r="B411" s="13"/>
    </row>
    <row r="412" spans="1:2">
      <c r="A412" s="13"/>
      <c r="B412" s="13"/>
    </row>
    <row r="413" spans="1:2">
      <c r="A413" s="13"/>
      <c r="B413" s="13"/>
    </row>
    <row r="414" spans="1:2">
      <c r="A414" s="13"/>
      <c r="B414" s="13"/>
    </row>
    <row r="415" spans="1:2">
      <c r="A415" s="13"/>
      <c r="B415" s="13"/>
    </row>
    <row r="416" spans="1:2">
      <c r="A416" s="13"/>
      <c r="B416" s="13"/>
    </row>
    <row r="417" spans="1:2">
      <c r="A417" s="13"/>
      <c r="B417" s="13"/>
    </row>
    <row r="418" spans="1:2">
      <c r="A418" s="13"/>
      <c r="B418" s="13"/>
    </row>
    <row r="419" spans="1:2">
      <c r="A419" s="13"/>
      <c r="B419" s="13"/>
    </row>
    <row r="420" spans="1:2">
      <c r="A420" s="13"/>
      <c r="B420" s="13"/>
    </row>
    <row r="421" spans="1:2">
      <c r="A421" s="13"/>
      <c r="B421" s="13"/>
    </row>
    <row r="422" spans="1:2">
      <c r="A422" s="13"/>
      <c r="B422" s="13"/>
    </row>
    <row r="423" spans="1:2">
      <c r="A423" s="13"/>
      <c r="B423" s="13"/>
    </row>
    <row r="424" spans="1:2">
      <c r="A424" s="13"/>
      <c r="B424" s="13"/>
    </row>
    <row r="425" spans="1:2">
      <c r="A425" s="13"/>
      <c r="B425" s="13"/>
    </row>
    <row r="426" spans="1:2">
      <c r="A426" s="13"/>
      <c r="B426" s="13"/>
    </row>
    <row r="427" spans="1:2">
      <c r="A427" s="13"/>
      <c r="B427" s="13"/>
    </row>
    <row r="428" spans="1:2">
      <c r="A428" s="13"/>
      <c r="B428" s="13"/>
    </row>
    <row r="429" spans="1:2">
      <c r="A429" s="13"/>
      <c r="B429" s="13"/>
    </row>
    <row r="430" spans="1:2">
      <c r="A430" s="13"/>
      <c r="B430" s="13"/>
    </row>
    <row r="431" spans="1:2">
      <c r="A431" s="13"/>
      <c r="B431" s="13"/>
    </row>
    <row r="432" spans="1:2">
      <c r="A432" s="13"/>
      <c r="B432" s="13"/>
    </row>
    <row r="433" spans="1:2">
      <c r="A433" s="13"/>
      <c r="B433" s="13"/>
    </row>
    <row r="434" spans="1:2">
      <c r="A434" s="13"/>
      <c r="B434" s="13"/>
    </row>
    <row r="435" spans="1:2">
      <c r="A435" s="13"/>
      <c r="B435" s="13"/>
    </row>
    <row r="436" spans="1:2">
      <c r="A436" s="13"/>
      <c r="B436" s="13"/>
    </row>
    <row r="437" spans="1:2">
      <c r="A437" s="13"/>
      <c r="B437" s="13"/>
    </row>
    <row r="438" spans="1:2">
      <c r="A438" s="13"/>
      <c r="B438" s="13"/>
    </row>
    <row r="439" spans="1:2">
      <c r="A439" s="13"/>
      <c r="B439" s="13"/>
    </row>
    <row r="440" spans="1:2">
      <c r="A440" s="13"/>
      <c r="B440" s="13"/>
    </row>
    <row r="441" spans="1:2">
      <c r="A441" s="13"/>
      <c r="B441" s="13"/>
    </row>
    <row r="442" spans="1:2">
      <c r="A442" s="13"/>
      <c r="B442" s="13"/>
    </row>
    <row r="443" spans="1:2">
      <c r="A443" s="13"/>
      <c r="B443" s="13"/>
    </row>
    <row r="444" spans="1:2">
      <c r="A444" s="13"/>
      <c r="B444" s="13"/>
    </row>
    <row r="445" spans="1:2">
      <c r="A445" s="13"/>
      <c r="B445" s="13"/>
    </row>
    <row r="446" spans="1:2">
      <c r="A446" s="13"/>
      <c r="B446" s="13"/>
    </row>
    <row r="447" spans="1:2">
      <c r="A447" s="13"/>
      <c r="B447" s="13"/>
    </row>
    <row r="448" spans="1:2">
      <c r="A448" s="13"/>
      <c r="B448" s="13"/>
    </row>
    <row r="449" spans="1:2">
      <c r="A449" s="13"/>
      <c r="B449" s="13"/>
    </row>
    <row r="450" spans="1:2">
      <c r="A450" s="13"/>
      <c r="B450" s="13"/>
    </row>
    <row r="451" spans="1:2">
      <c r="A451" s="13"/>
      <c r="B451" s="13"/>
    </row>
    <row r="452" spans="1:2">
      <c r="A452" s="13"/>
      <c r="B452" s="13"/>
    </row>
    <row r="453" spans="1:2">
      <c r="A453" s="13"/>
      <c r="B453" s="13"/>
    </row>
    <row r="454" spans="1:2">
      <c r="A454" s="13"/>
      <c r="B454" s="13"/>
    </row>
    <row r="455" spans="1:2">
      <c r="A455" s="13"/>
      <c r="B455" s="13"/>
    </row>
    <row r="456" spans="1:2">
      <c r="A456" s="13"/>
      <c r="B456" s="13"/>
    </row>
    <row r="457" spans="1:2">
      <c r="A457" s="13"/>
      <c r="B457" s="13"/>
    </row>
    <row r="458" spans="1:2">
      <c r="A458" s="13"/>
      <c r="B458" s="13"/>
    </row>
    <row r="459" spans="1:2">
      <c r="A459" s="13"/>
      <c r="B459" s="13"/>
    </row>
    <row r="460" spans="1:2">
      <c r="A460" s="13"/>
      <c r="B460" s="13"/>
    </row>
    <row r="461" spans="1:2">
      <c r="A461" s="13"/>
      <c r="B461" s="13"/>
    </row>
    <row r="462" spans="1:2">
      <c r="A462" s="13"/>
      <c r="B462" s="13"/>
    </row>
    <row r="463" spans="1:2">
      <c r="A463" s="13"/>
      <c r="B463" s="13"/>
    </row>
    <row r="464" spans="1:2">
      <c r="A464" s="13"/>
      <c r="B464" s="13"/>
    </row>
    <row r="465" spans="1:2">
      <c r="A465" s="13"/>
      <c r="B465" s="13"/>
    </row>
    <row r="466" spans="1:2">
      <c r="A466" s="13"/>
      <c r="B466" s="13"/>
    </row>
    <row r="467" spans="1:2">
      <c r="A467" s="13"/>
      <c r="B467" s="13"/>
    </row>
    <row r="468" spans="1:2">
      <c r="A468" s="13"/>
      <c r="B468" s="13"/>
    </row>
    <row r="469" spans="1:2">
      <c r="A469" s="13"/>
      <c r="B469" s="13"/>
    </row>
    <row r="470" spans="1:2">
      <c r="A470" s="13"/>
      <c r="B470" s="13"/>
    </row>
    <row r="471" spans="1:2">
      <c r="A471" s="13"/>
      <c r="B471" s="13"/>
    </row>
    <row r="472" spans="1:2">
      <c r="A472" s="13"/>
      <c r="B472" s="13"/>
    </row>
    <row r="473" spans="1:2">
      <c r="A473" s="13"/>
      <c r="B473" s="13"/>
    </row>
    <row r="474" spans="1:2">
      <c r="A474" s="13"/>
      <c r="B474" s="13"/>
    </row>
    <row r="475" spans="1:2">
      <c r="A475" s="13"/>
      <c r="B475" s="13"/>
    </row>
    <row r="476" spans="1:2">
      <c r="A476" s="13"/>
      <c r="B476" s="13"/>
    </row>
    <row r="477" spans="1:2">
      <c r="A477" s="13"/>
      <c r="B477" s="13"/>
    </row>
    <row r="478" spans="1:2">
      <c r="A478" s="13"/>
      <c r="B478" s="13"/>
    </row>
    <row r="479" spans="1:2">
      <c r="A479" s="13"/>
      <c r="B479" s="13"/>
    </row>
    <row r="480" spans="1:2">
      <c r="A480" s="13"/>
      <c r="B480" s="13"/>
    </row>
    <row r="481" spans="1:2">
      <c r="A481" s="13"/>
      <c r="B481" s="13"/>
    </row>
    <row r="482" spans="1:2">
      <c r="A482" s="13"/>
      <c r="B482" s="13"/>
    </row>
    <row r="483" spans="1:2">
      <c r="A483" s="13"/>
      <c r="B483" s="13"/>
    </row>
    <row r="484" spans="1:2">
      <c r="A484" s="13"/>
      <c r="B484" s="13"/>
    </row>
    <row r="485" spans="1:2">
      <c r="A485" s="13"/>
      <c r="B485" s="13"/>
    </row>
    <row r="486" spans="1:2">
      <c r="A486" s="13"/>
      <c r="B486" s="13"/>
    </row>
    <row r="487" spans="1:2">
      <c r="A487" s="13"/>
      <c r="B487" s="13"/>
    </row>
    <row r="488" spans="1:2">
      <c r="A488" s="13"/>
      <c r="B488" s="13"/>
    </row>
    <row r="489" spans="1:2">
      <c r="A489" s="13"/>
      <c r="B489" s="13"/>
    </row>
    <row r="490" spans="1:2">
      <c r="A490" s="13"/>
      <c r="B490" s="13"/>
    </row>
    <row r="491" spans="1:2">
      <c r="A491" s="13"/>
      <c r="B491" s="13"/>
    </row>
    <row r="492" spans="1:2">
      <c r="A492" s="13"/>
      <c r="B492" s="13"/>
    </row>
    <row r="493" spans="1:2">
      <c r="A493" s="13"/>
      <c r="B493" s="13"/>
    </row>
    <row r="494" spans="1:2">
      <c r="A494" s="13"/>
      <c r="B494" s="13"/>
    </row>
    <row r="495" spans="1:2">
      <c r="A495" s="13"/>
      <c r="B495" s="13"/>
    </row>
    <row r="496" spans="1:2">
      <c r="A496" s="13"/>
      <c r="B496" s="13"/>
    </row>
    <row r="497" spans="1:2">
      <c r="A497" s="13"/>
      <c r="B497" s="13"/>
    </row>
    <row r="498" spans="1:2">
      <c r="A498" s="13"/>
      <c r="B498" s="13"/>
    </row>
    <row r="499" spans="1:2">
      <c r="A499" s="13"/>
      <c r="B499" s="13"/>
    </row>
    <row r="500" spans="1:2">
      <c r="A500" s="13"/>
      <c r="B500" s="13"/>
    </row>
    <row r="501" spans="1:2">
      <c r="A501" s="13"/>
      <c r="B501" s="13"/>
    </row>
    <row r="502" spans="1:2">
      <c r="A502" s="13"/>
      <c r="B502" s="13"/>
    </row>
    <row r="503" spans="1:2">
      <c r="A503" s="13"/>
      <c r="B503" s="13"/>
    </row>
    <row r="504" spans="1:2">
      <c r="A504" s="13"/>
      <c r="B504" s="13"/>
    </row>
    <row r="505" spans="1:2">
      <c r="A505" s="13"/>
      <c r="B505" s="13"/>
    </row>
    <row r="506" spans="1:2">
      <c r="A506" s="13"/>
      <c r="B506" s="13"/>
    </row>
    <row r="507" spans="1:2">
      <c r="A507" s="13"/>
      <c r="B507" s="13"/>
    </row>
    <row r="508" spans="1:2">
      <c r="A508" s="13"/>
      <c r="B508" s="13"/>
    </row>
    <row r="509" spans="1:2">
      <c r="A509" s="13"/>
      <c r="B509" s="13"/>
    </row>
    <row r="510" spans="1:2">
      <c r="A510" s="13"/>
      <c r="B510" s="13"/>
    </row>
    <row r="511" spans="1:2">
      <c r="A511" s="13"/>
      <c r="B511" s="13"/>
    </row>
    <row r="512" spans="1:2">
      <c r="A512" s="13"/>
      <c r="B512" s="13"/>
    </row>
    <row r="513" spans="1:2">
      <c r="A513" s="13"/>
      <c r="B513" s="13"/>
    </row>
    <row r="514" spans="1:2">
      <c r="A514" s="13"/>
      <c r="B514" s="13"/>
    </row>
    <row r="515" spans="1:2">
      <c r="A515" s="13"/>
      <c r="B515" s="13"/>
    </row>
    <row r="516" spans="1:2">
      <c r="A516" s="13"/>
      <c r="B516" s="13"/>
    </row>
    <row r="517" spans="1:2">
      <c r="A517" s="13"/>
      <c r="B517" s="13"/>
    </row>
    <row r="518" spans="1:2">
      <c r="A518" s="13"/>
      <c r="B518" s="13"/>
    </row>
    <row r="519" spans="1:2">
      <c r="A519" s="13"/>
      <c r="B519" s="13"/>
    </row>
    <row r="520" spans="1:2">
      <c r="A520" s="13"/>
      <c r="B520" s="13"/>
    </row>
    <row r="521" spans="1:2">
      <c r="A521" s="13"/>
      <c r="B521" s="13"/>
    </row>
    <row r="522" spans="1:2">
      <c r="A522" s="13"/>
      <c r="B522" s="13"/>
    </row>
    <row r="523" spans="1:2">
      <c r="A523" s="13"/>
      <c r="B523" s="13"/>
    </row>
    <row r="524" spans="1:2">
      <c r="A524" s="13"/>
      <c r="B524" s="13"/>
    </row>
    <row r="525" spans="1:2">
      <c r="A525" s="13"/>
      <c r="B525" s="13"/>
    </row>
    <row r="526" spans="1:2">
      <c r="A526" s="13"/>
      <c r="B526" s="13"/>
    </row>
    <row r="527" spans="1:2">
      <c r="A527" s="13"/>
      <c r="B527" s="13"/>
    </row>
    <row r="528" spans="1:2">
      <c r="A528" s="13"/>
      <c r="B528" s="13"/>
    </row>
    <row r="529" spans="1:2">
      <c r="A529" s="13"/>
      <c r="B529" s="13"/>
    </row>
    <row r="530" spans="1:2">
      <c r="A530" s="13"/>
      <c r="B530" s="13"/>
    </row>
    <row r="531" spans="1:2">
      <c r="A531" s="13"/>
      <c r="B531" s="13"/>
    </row>
    <row r="532" spans="1:2">
      <c r="A532" s="13"/>
      <c r="B532" s="13"/>
    </row>
    <row r="533" spans="1:2">
      <c r="A533" s="13"/>
      <c r="B533" s="13"/>
    </row>
    <row r="534" spans="1:2">
      <c r="A534" s="13"/>
      <c r="B534" s="13"/>
    </row>
    <row r="535" spans="1:2">
      <c r="A535" s="13"/>
      <c r="B535" s="13"/>
    </row>
    <row r="536" spans="1:2">
      <c r="A536" s="13"/>
      <c r="B536" s="13"/>
    </row>
    <row r="537" spans="1:2">
      <c r="A537" s="13"/>
      <c r="B537" s="13"/>
    </row>
    <row r="538" spans="1:2">
      <c r="A538" s="13"/>
      <c r="B538" s="13"/>
    </row>
    <row r="539" spans="1:2">
      <c r="A539" s="13"/>
      <c r="B539" s="13"/>
    </row>
    <row r="540" spans="1:2">
      <c r="A540" s="13"/>
      <c r="B540" s="13"/>
    </row>
    <row r="541" spans="1:2">
      <c r="A541" s="13"/>
      <c r="B541" s="13"/>
    </row>
    <row r="542" spans="1:2">
      <c r="A542" s="13"/>
      <c r="B542" s="13"/>
    </row>
    <row r="543" spans="1:2">
      <c r="A543" s="13"/>
      <c r="B543" s="13"/>
    </row>
    <row r="544" spans="1:2">
      <c r="A544" s="13"/>
      <c r="B544" s="13"/>
    </row>
    <row r="545" spans="1:2">
      <c r="A545" s="13"/>
      <c r="B545" s="13"/>
    </row>
    <row r="546" spans="1:2">
      <c r="A546" s="13"/>
      <c r="B546" s="13"/>
    </row>
    <row r="547" spans="1:2">
      <c r="A547" s="13"/>
      <c r="B547" s="13"/>
    </row>
    <row r="548" spans="1:2">
      <c r="A548" s="13"/>
      <c r="B548" s="13"/>
    </row>
    <row r="549" spans="1:2">
      <c r="A549" s="13"/>
      <c r="B549" s="13"/>
    </row>
    <row r="550" spans="1:2">
      <c r="A550" s="13"/>
      <c r="B550" s="13"/>
    </row>
    <row r="551" spans="1:2">
      <c r="A551" s="13"/>
      <c r="B551" s="13"/>
    </row>
    <row r="552" spans="1:2">
      <c r="A552" s="13"/>
      <c r="B552" s="13"/>
    </row>
    <row r="553" spans="1:2">
      <c r="A553" s="13"/>
      <c r="B553" s="13"/>
    </row>
    <row r="554" spans="1:2">
      <c r="A554" s="13"/>
      <c r="B554" s="13"/>
    </row>
    <row r="555" spans="1:2">
      <c r="A555" s="13"/>
      <c r="B555" s="13"/>
    </row>
    <row r="556" spans="1:2">
      <c r="A556" s="13"/>
      <c r="B556" s="13"/>
    </row>
    <row r="557" spans="1:2">
      <c r="A557" s="13"/>
      <c r="B557" s="13"/>
    </row>
    <row r="558" spans="1:2">
      <c r="A558" s="13"/>
      <c r="B558" s="13"/>
    </row>
    <row r="559" spans="1:2">
      <c r="A559" s="13"/>
      <c r="B559" s="13"/>
    </row>
    <row r="560" spans="1:2">
      <c r="A560" s="13"/>
      <c r="B560" s="13"/>
    </row>
    <row r="561" spans="1:2">
      <c r="A561" s="13"/>
      <c r="B561" s="13"/>
    </row>
    <row r="562" spans="1:2">
      <c r="A562" s="13"/>
      <c r="B562" s="13"/>
    </row>
    <row r="563" spans="1:2">
      <c r="A563" s="13"/>
      <c r="B563" s="13"/>
    </row>
    <row r="564" spans="1:2">
      <c r="A564" s="13"/>
      <c r="B564" s="13"/>
    </row>
    <row r="565" spans="1:2">
      <c r="A565" s="13"/>
      <c r="B565" s="13"/>
    </row>
    <row r="566" spans="1:2">
      <c r="A566" s="13"/>
      <c r="B566" s="13"/>
    </row>
    <row r="567" spans="1:2">
      <c r="A567" s="13"/>
      <c r="B567" s="13"/>
    </row>
    <row r="568" spans="1:2">
      <c r="A568" s="13"/>
      <c r="B568" s="13"/>
    </row>
    <row r="569" spans="1:2">
      <c r="A569" s="13"/>
      <c r="B569" s="13"/>
    </row>
    <row r="570" spans="1:2">
      <c r="A570" s="13"/>
      <c r="B570" s="13"/>
    </row>
    <row r="571" spans="1:2">
      <c r="A571" s="13"/>
      <c r="B571" s="13"/>
    </row>
    <row r="572" spans="1:2">
      <c r="A572" s="13"/>
      <c r="B572" s="13"/>
    </row>
    <row r="573" spans="1:2">
      <c r="A573" s="13"/>
      <c r="B573" s="13"/>
    </row>
    <row r="574" spans="1:2">
      <c r="A574" s="13"/>
      <c r="B574" s="13"/>
    </row>
    <row r="575" spans="1:2">
      <c r="A575" s="13"/>
      <c r="B575" s="13"/>
    </row>
    <row r="576" spans="1:2">
      <c r="A576" s="13"/>
      <c r="B576" s="13"/>
    </row>
    <row r="577" spans="1:2">
      <c r="A577" s="13"/>
      <c r="B577" s="13"/>
    </row>
    <row r="578" spans="1:2">
      <c r="A578" s="13"/>
      <c r="B578" s="13"/>
    </row>
    <row r="579" spans="1:2">
      <c r="A579" s="13"/>
      <c r="B579" s="13"/>
    </row>
    <row r="580" spans="1:2">
      <c r="A580" s="13"/>
      <c r="B580" s="13"/>
    </row>
    <row r="581" spans="1:2">
      <c r="A581" s="13"/>
      <c r="B581" s="13"/>
    </row>
    <row r="582" spans="1:2">
      <c r="A582" s="13"/>
      <c r="B582" s="13"/>
    </row>
    <row r="583" spans="1:2">
      <c r="A583" s="13"/>
      <c r="B583" s="13"/>
    </row>
    <row r="584" spans="1:2">
      <c r="A584" s="13"/>
      <c r="B584" s="13"/>
    </row>
    <row r="585" spans="1:2">
      <c r="A585" s="13"/>
      <c r="B585" s="13"/>
    </row>
    <row r="586" spans="1:2">
      <c r="A586" s="13"/>
      <c r="B586" s="13"/>
    </row>
    <row r="587" spans="1:2">
      <c r="A587" s="13"/>
      <c r="B587" s="13"/>
    </row>
    <row r="588" spans="1:2">
      <c r="A588" s="13"/>
      <c r="B588" s="13"/>
    </row>
    <row r="589" spans="1:2">
      <c r="A589" s="13"/>
      <c r="B589" s="13"/>
    </row>
    <row r="590" spans="1:2">
      <c r="A590" s="13"/>
      <c r="B590" s="13"/>
    </row>
    <row r="591" spans="1:2">
      <c r="A591" s="13"/>
      <c r="B591" s="13"/>
    </row>
    <row r="592" spans="1:2">
      <c r="A592" s="13"/>
      <c r="B592" s="13"/>
    </row>
    <row r="593" spans="1:2">
      <c r="A593" s="13"/>
      <c r="B593" s="13"/>
    </row>
    <row r="594" spans="1:2">
      <c r="A594" s="13"/>
      <c r="B594" s="13"/>
    </row>
    <row r="595" spans="1:2">
      <c r="A595" s="13"/>
      <c r="B595" s="13"/>
    </row>
    <row r="596" spans="1:2">
      <c r="A596" s="13"/>
      <c r="B596" s="13"/>
    </row>
    <row r="597" spans="1:2">
      <c r="A597" s="13"/>
      <c r="B597" s="13"/>
    </row>
    <row r="598" spans="1:2">
      <c r="A598" s="13"/>
      <c r="B598" s="13"/>
    </row>
    <row r="599" spans="1:2">
      <c r="A599" s="13"/>
      <c r="B599" s="13"/>
    </row>
    <row r="600" spans="1:2">
      <c r="A600" s="13"/>
      <c r="B600" s="13"/>
    </row>
    <row r="601" spans="1:2">
      <c r="A601" s="13"/>
      <c r="B601" s="13"/>
    </row>
    <row r="602" spans="1:2">
      <c r="A602" s="13"/>
      <c r="B602" s="13"/>
    </row>
    <row r="603" spans="1:2">
      <c r="A603" s="13"/>
      <c r="B603" s="13"/>
    </row>
    <row r="604" spans="1:2">
      <c r="A604" s="13"/>
      <c r="B604" s="13"/>
    </row>
    <row r="605" spans="1:2">
      <c r="A605" s="13"/>
      <c r="B605" s="13"/>
    </row>
    <row r="606" spans="1:2">
      <c r="A606" s="13"/>
      <c r="B606" s="13"/>
    </row>
    <row r="607" spans="1:2">
      <c r="A607" s="13"/>
      <c r="B607" s="13"/>
    </row>
    <row r="608" spans="1:2">
      <c r="A608" s="13"/>
      <c r="B608" s="13"/>
    </row>
    <row r="609" spans="1:2">
      <c r="A609" s="13"/>
      <c r="B609" s="13"/>
    </row>
    <row r="610" spans="1:2">
      <c r="A610" s="13"/>
      <c r="B610" s="13"/>
    </row>
    <row r="611" spans="1:2">
      <c r="A611" s="13"/>
      <c r="B611" s="13"/>
    </row>
    <row r="612" spans="1:2">
      <c r="A612" s="13"/>
      <c r="B612" s="13"/>
    </row>
    <row r="613" spans="1:2">
      <c r="A613" s="13"/>
      <c r="B613" s="13"/>
    </row>
    <row r="614" spans="1:2">
      <c r="A614" s="13"/>
      <c r="B614" s="13"/>
    </row>
    <row r="615" spans="1:2">
      <c r="A615" s="13"/>
      <c r="B615" s="13"/>
    </row>
    <row r="616" spans="1:2">
      <c r="A616" s="13"/>
      <c r="B616" s="13"/>
    </row>
    <row r="617" spans="1:2">
      <c r="A617" s="13"/>
      <c r="B617" s="13"/>
    </row>
    <row r="618" spans="1:2">
      <c r="A618" s="13"/>
      <c r="B618" s="13"/>
    </row>
    <row r="619" spans="1:2">
      <c r="A619" s="13"/>
      <c r="B619" s="13"/>
    </row>
    <row r="620" spans="1:2">
      <c r="A620" s="13"/>
      <c r="B620" s="13"/>
    </row>
    <row r="621" spans="1:2">
      <c r="A621" s="13"/>
      <c r="B621" s="13"/>
    </row>
    <row r="622" spans="1:2">
      <c r="A622" s="13"/>
      <c r="B622" s="13"/>
    </row>
    <row r="623" spans="1:2">
      <c r="A623" s="13"/>
      <c r="B623" s="13"/>
    </row>
    <row r="624" spans="1:2">
      <c r="A624" s="13"/>
      <c r="B624" s="13"/>
    </row>
    <row r="625" spans="1:2">
      <c r="A625" s="13"/>
      <c r="B625" s="13"/>
    </row>
    <row r="626" spans="1:2">
      <c r="A626" s="13"/>
      <c r="B626" s="13"/>
    </row>
    <row r="627" spans="1:2">
      <c r="A627" s="13"/>
      <c r="B627" s="13"/>
    </row>
    <row r="628" spans="1:2">
      <c r="A628" s="13"/>
      <c r="B628" s="13"/>
    </row>
    <row r="629" spans="1:2">
      <c r="A629" s="13"/>
      <c r="B629" s="13"/>
    </row>
    <row r="630" spans="1:2">
      <c r="A630" s="13"/>
      <c r="B630" s="13"/>
    </row>
    <row r="631" spans="1:2">
      <c r="A631" s="13"/>
      <c r="B631" s="13"/>
    </row>
    <row r="632" spans="1:2">
      <c r="A632" s="13"/>
      <c r="B632" s="13"/>
    </row>
    <row r="633" spans="1:2">
      <c r="A633" s="13"/>
      <c r="B633" s="13"/>
    </row>
    <row r="634" spans="1:2">
      <c r="A634" s="13"/>
      <c r="B634" s="13"/>
    </row>
    <row r="635" spans="1:2">
      <c r="A635" s="13"/>
      <c r="B635" s="13"/>
    </row>
    <row r="636" spans="1:2">
      <c r="A636" s="13"/>
      <c r="B636" s="13"/>
    </row>
    <row r="637" spans="1:2">
      <c r="A637" s="13"/>
      <c r="B637" s="13"/>
    </row>
    <row r="638" spans="1:2">
      <c r="A638" s="13"/>
      <c r="B638" s="13"/>
    </row>
    <row r="639" spans="1:2">
      <c r="A639" s="13"/>
      <c r="B639" s="13"/>
    </row>
    <row r="640" spans="1:2">
      <c r="A640" s="13"/>
      <c r="B640" s="13"/>
    </row>
    <row r="641" spans="1:2">
      <c r="A641" s="13"/>
      <c r="B641" s="13"/>
    </row>
    <row r="642" spans="1:2">
      <c r="A642" s="13"/>
      <c r="B642" s="13"/>
    </row>
    <row r="643" spans="1:2">
      <c r="A643" s="13"/>
      <c r="B643" s="13"/>
    </row>
    <row r="644" spans="1:2">
      <c r="A644" s="13"/>
      <c r="B644" s="13"/>
    </row>
    <row r="645" spans="1:2">
      <c r="A645" s="13"/>
      <c r="B645" s="13"/>
    </row>
    <row r="646" spans="1:2">
      <c r="A646" s="13"/>
      <c r="B646" s="13"/>
    </row>
    <row r="647" spans="1:2">
      <c r="A647" s="13"/>
      <c r="B647" s="13"/>
    </row>
    <row r="648" spans="1:2">
      <c r="A648" s="13"/>
      <c r="B648" s="13"/>
    </row>
    <row r="649" spans="1:2">
      <c r="A649" s="13"/>
      <c r="B649" s="13"/>
    </row>
    <row r="650" spans="1:2">
      <c r="A650" s="13"/>
      <c r="B650" s="13"/>
    </row>
    <row r="651" spans="1:2">
      <c r="A651" s="13"/>
      <c r="B651" s="13"/>
    </row>
    <row r="652" spans="1:2">
      <c r="A652" s="13"/>
      <c r="B652" s="13"/>
    </row>
    <row r="653" spans="1:2">
      <c r="A653" s="13"/>
      <c r="B653" s="13"/>
    </row>
    <row r="654" spans="1:2">
      <c r="A654" s="13"/>
      <c r="B654" s="13"/>
    </row>
    <row r="655" spans="1:2">
      <c r="A655" s="13"/>
      <c r="B655" s="13"/>
    </row>
    <row r="656" spans="1:2">
      <c r="A656" s="13"/>
      <c r="B656" s="13"/>
    </row>
    <row r="657" spans="1:2">
      <c r="A657" s="13"/>
      <c r="B657" s="13"/>
    </row>
    <row r="658" spans="1:2">
      <c r="A658" s="13"/>
      <c r="B658" s="13"/>
    </row>
    <row r="659" spans="1:2">
      <c r="A659" s="13"/>
      <c r="B659" s="13"/>
    </row>
    <row r="660" spans="1:2">
      <c r="A660" s="13"/>
      <c r="B660" s="13"/>
    </row>
    <row r="661" spans="1:2">
      <c r="A661" s="13"/>
      <c r="B661" s="13"/>
    </row>
    <row r="662" spans="1:2">
      <c r="A662" s="13"/>
      <c r="B662" s="13"/>
    </row>
    <row r="663" spans="1:2">
      <c r="A663" s="13"/>
      <c r="B663" s="13"/>
    </row>
    <row r="664" spans="1:2">
      <c r="A664" s="13"/>
      <c r="B664" s="13"/>
    </row>
    <row r="665" spans="1:2">
      <c r="A665" s="13"/>
      <c r="B665" s="13"/>
    </row>
    <row r="666" spans="1:2">
      <c r="A666" s="13"/>
      <c r="B666" s="13"/>
    </row>
    <row r="667" spans="1:2">
      <c r="A667" s="13"/>
      <c r="B667" s="13"/>
    </row>
    <row r="668" spans="1:2">
      <c r="A668" s="13"/>
      <c r="B668" s="13"/>
    </row>
    <row r="669" spans="1:2">
      <c r="A669" s="13"/>
      <c r="B669" s="13"/>
    </row>
    <row r="670" spans="1:2">
      <c r="A670" s="13"/>
      <c r="B670" s="13"/>
    </row>
    <row r="671" spans="1:2">
      <c r="A671" s="13"/>
      <c r="B671" s="13"/>
    </row>
    <row r="672" spans="1:2">
      <c r="A672" s="13"/>
      <c r="B672" s="13"/>
    </row>
    <row r="673" spans="1:2">
      <c r="A673" s="13"/>
      <c r="B673" s="13"/>
    </row>
    <row r="674" spans="1:2">
      <c r="A674" s="13"/>
      <c r="B674" s="13"/>
    </row>
    <row r="675" spans="1:2">
      <c r="A675" s="13"/>
      <c r="B675" s="13"/>
    </row>
    <row r="676" spans="1:2">
      <c r="A676" s="13"/>
      <c r="B676" s="13"/>
    </row>
    <row r="677" spans="1:2">
      <c r="A677" s="13"/>
      <c r="B677" s="13"/>
    </row>
    <row r="678" spans="1:2">
      <c r="A678" s="13"/>
      <c r="B678" s="13"/>
    </row>
    <row r="679" spans="1:2">
      <c r="A679" s="13"/>
      <c r="B679" s="13"/>
    </row>
    <row r="680" spans="1:2">
      <c r="A680" s="13"/>
      <c r="B680" s="13"/>
    </row>
    <row r="681" spans="1:2">
      <c r="A681" s="13"/>
      <c r="B681" s="13"/>
    </row>
    <row r="682" spans="1:2">
      <c r="A682" s="13"/>
      <c r="B682" s="13"/>
    </row>
    <row r="683" spans="1:2">
      <c r="A683" s="13"/>
      <c r="B683" s="13"/>
    </row>
    <row r="684" spans="1:2">
      <c r="A684" s="13"/>
      <c r="B684" s="13"/>
    </row>
    <row r="685" spans="1:2">
      <c r="A685" s="13"/>
      <c r="B685" s="13"/>
    </row>
    <row r="686" spans="1:2">
      <c r="A686" s="13"/>
      <c r="B686" s="13"/>
    </row>
    <row r="687" spans="1:2">
      <c r="A687" s="13"/>
      <c r="B687" s="13"/>
    </row>
    <row r="688" spans="1:2">
      <c r="A688" s="13"/>
      <c r="B688" s="13"/>
    </row>
    <row r="689" spans="1:2">
      <c r="A689" s="13"/>
      <c r="B689" s="13"/>
    </row>
    <row r="690" spans="1:2">
      <c r="A690" s="13"/>
      <c r="B690" s="13"/>
    </row>
    <row r="691" spans="1:2">
      <c r="A691" s="13"/>
      <c r="B691" s="13"/>
    </row>
    <row r="692" spans="1:2">
      <c r="A692" s="13"/>
      <c r="B692" s="13"/>
    </row>
    <row r="693" spans="1:2">
      <c r="A693" s="13"/>
      <c r="B693" s="13"/>
    </row>
    <row r="694" spans="1:2">
      <c r="A694" s="13"/>
      <c r="B694" s="13"/>
    </row>
    <row r="695" spans="1:2">
      <c r="A695" s="13"/>
      <c r="B695" s="13"/>
    </row>
    <row r="696" spans="1:2">
      <c r="A696" s="13"/>
      <c r="B696" s="13"/>
    </row>
    <row r="697" spans="1:2">
      <c r="A697" s="13"/>
      <c r="B697" s="13"/>
    </row>
    <row r="698" spans="1:2">
      <c r="A698" s="13"/>
      <c r="B698" s="13"/>
    </row>
    <row r="699" spans="1:2">
      <c r="A699" s="13"/>
      <c r="B699" s="13"/>
    </row>
    <row r="700" spans="1:2">
      <c r="A700" s="13"/>
      <c r="B700" s="13"/>
    </row>
    <row r="701" spans="1:2">
      <c r="A701" s="13"/>
      <c r="B701" s="13"/>
    </row>
    <row r="702" spans="1:2">
      <c r="A702" s="13"/>
      <c r="B702" s="13"/>
    </row>
    <row r="703" spans="1:2">
      <c r="A703" s="13"/>
      <c r="B703" s="13"/>
    </row>
    <row r="704" spans="1:2">
      <c r="A704" s="13"/>
      <c r="B704" s="13"/>
    </row>
    <row r="705" spans="1:2">
      <c r="A705" s="13"/>
      <c r="B705" s="13"/>
    </row>
    <row r="706" spans="1:2">
      <c r="A706" s="13"/>
      <c r="B706" s="13"/>
    </row>
    <row r="707" spans="1:2">
      <c r="A707" s="13"/>
      <c r="B707" s="13"/>
    </row>
    <row r="708" spans="1:2">
      <c r="A708" s="13"/>
      <c r="B708" s="13"/>
    </row>
    <row r="709" spans="1:2">
      <c r="A709" s="13"/>
      <c r="B709" s="13"/>
    </row>
    <row r="710" spans="1:2">
      <c r="A710" s="13"/>
      <c r="B710" s="13"/>
    </row>
    <row r="711" spans="1:2">
      <c r="A711" s="13"/>
      <c r="B711" s="13"/>
    </row>
    <row r="712" spans="1:2">
      <c r="A712" s="13"/>
      <c r="B712" s="13"/>
    </row>
    <row r="713" spans="1:2">
      <c r="A713" s="13"/>
      <c r="B713" s="13"/>
    </row>
    <row r="714" spans="1:2">
      <c r="A714" s="13"/>
      <c r="B714" s="13"/>
    </row>
    <row r="715" spans="1:2">
      <c r="A715" s="13"/>
      <c r="B715" s="13"/>
    </row>
    <row r="716" spans="1:2">
      <c r="A716" s="13"/>
      <c r="B716" s="13"/>
    </row>
    <row r="717" spans="1:2">
      <c r="A717" s="13"/>
      <c r="B717" s="13"/>
    </row>
    <row r="718" spans="1:2">
      <c r="A718" s="13"/>
      <c r="B718" s="13"/>
    </row>
    <row r="719" spans="1:2">
      <c r="A719" s="13"/>
      <c r="B719" s="13"/>
    </row>
    <row r="720" spans="1:2">
      <c r="A720" s="13"/>
      <c r="B720" s="13"/>
    </row>
    <row r="721" spans="1:2">
      <c r="A721" s="13"/>
      <c r="B721" s="13"/>
    </row>
    <row r="722" spans="1:2">
      <c r="A722" s="13"/>
      <c r="B722" s="13"/>
    </row>
    <row r="723" spans="1:2">
      <c r="A723" s="13"/>
      <c r="B723" s="13"/>
    </row>
    <row r="724" spans="1:2">
      <c r="A724" s="13"/>
      <c r="B724" s="13"/>
    </row>
    <row r="725" spans="1:2">
      <c r="A725" s="13"/>
      <c r="B725" s="13"/>
    </row>
    <row r="726" spans="1:2">
      <c r="A726" s="13"/>
      <c r="B726" s="13"/>
    </row>
    <row r="727" spans="1:2">
      <c r="A727" s="13"/>
      <c r="B727" s="13"/>
    </row>
    <row r="728" spans="1:2">
      <c r="A728" s="13"/>
      <c r="B728" s="13"/>
    </row>
    <row r="729" spans="1:2">
      <c r="A729" s="13"/>
      <c r="B729" s="13"/>
    </row>
    <row r="730" spans="1:2">
      <c r="A730" s="13"/>
      <c r="B730" s="13"/>
    </row>
    <row r="731" spans="1:2">
      <c r="A731" s="13"/>
      <c r="B731" s="13"/>
    </row>
    <row r="732" spans="1:2">
      <c r="A732" s="13"/>
      <c r="B732" s="13"/>
    </row>
    <row r="733" spans="1:2">
      <c r="A733" s="13"/>
      <c r="B733" s="13"/>
    </row>
    <row r="734" spans="1:2">
      <c r="A734" s="13"/>
      <c r="B734" s="13"/>
    </row>
    <row r="735" spans="1:2">
      <c r="A735" s="13"/>
      <c r="B735" s="13"/>
    </row>
    <row r="736" spans="1:2">
      <c r="A736" s="13"/>
      <c r="B736" s="13"/>
    </row>
    <row r="737" spans="1:2">
      <c r="A737" s="13"/>
      <c r="B737" s="13"/>
    </row>
    <row r="738" spans="1:2">
      <c r="A738" s="13"/>
      <c r="B738" s="13"/>
    </row>
    <row r="739" spans="1:2">
      <c r="A739" s="13"/>
      <c r="B739" s="13"/>
    </row>
    <row r="740" spans="1:2">
      <c r="A740" s="13"/>
      <c r="B740" s="13"/>
    </row>
    <row r="741" spans="1:2">
      <c r="A741" s="13"/>
      <c r="B741" s="13"/>
    </row>
    <row r="742" spans="1:2">
      <c r="A742" s="13"/>
      <c r="B742" s="13"/>
    </row>
    <row r="743" spans="1:2">
      <c r="A743" s="13"/>
      <c r="B743" s="13"/>
    </row>
    <row r="744" spans="1:2">
      <c r="A744" s="13"/>
      <c r="B744" s="13"/>
    </row>
    <row r="745" spans="1:2">
      <c r="A745" s="13"/>
      <c r="B745" s="13"/>
    </row>
    <row r="746" spans="1:2">
      <c r="A746" s="13"/>
      <c r="B746" s="13"/>
    </row>
    <row r="747" spans="1:2">
      <c r="A747" s="13"/>
      <c r="B747" s="13"/>
    </row>
    <row r="748" spans="1:2">
      <c r="A748" s="13"/>
      <c r="B748" s="13"/>
    </row>
    <row r="749" spans="1:2">
      <c r="A749" s="13"/>
      <c r="B749" s="13"/>
    </row>
    <row r="750" spans="1:2">
      <c r="A750" s="13"/>
      <c r="B750" s="13"/>
    </row>
    <row r="751" spans="1:2">
      <c r="A751" s="13"/>
      <c r="B751" s="13"/>
    </row>
    <row r="752" spans="1:2">
      <c r="A752" s="13"/>
      <c r="B752" s="13"/>
    </row>
    <row r="753" spans="1:2">
      <c r="A753" s="13"/>
      <c r="B753" s="13"/>
    </row>
    <row r="754" spans="1:2">
      <c r="A754" s="13"/>
      <c r="B754" s="13"/>
    </row>
    <row r="755" spans="1:2">
      <c r="A755" s="13"/>
      <c r="B755" s="13"/>
    </row>
    <row r="756" spans="1:2">
      <c r="A756" s="13"/>
      <c r="B756" s="13"/>
    </row>
    <row r="757" spans="1:2">
      <c r="A757" s="13"/>
      <c r="B757" s="13"/>
    </row>
    <row r="758" spans="1:2">
      <c r="A758" s="13"/>
      <c r="B758" s="13"/>
    </row>
    <row r="759" spans="1:2">
      <c r="A759" s="13"/>
      <c r="B759" s="13"/>
    </row>
    <row r="760" spans="1:2">
      <c r="A760" s="13"/>
      <c r="B760" s="13"/>
    </row>
    <row r="761" spans="1:2">
      <c r="A761" s="13"/>
      <c r="B761" s="13"/>
    </row>
    <row r="762" spans="1:2">
      <c r="A762" s="13"/>
      <c r="B762" s="13"/>
    </row>
    <row r="763" spans="1:2">
      <c r="A763" s="13"/>
      <c r="B763" s="13"/>
    </row>
    <row r="764" spans="1:2">
      <c r="A764" s="13"/>
      <c r="B764" s="13"/>
    </row>
    <row r="765" spans="1:2">
      <c r="A765" s="13"/>
      <c r="B765" s="13"/>
    </row>
    <row r="766" spans="1:2">
      <c r="A766" s="13"/>
      <c r="B766" s="13"/>
    </row>
    <row r="767" spans="1:2">
      <c r="A767" s="13"/>
      <c r="B767" s="13"/>
    </row>
    <row r="768" spans="1:2">
      <c r="A768" s="13"/>
      <c r="B768" s="13"/>
    </row>
    <row r="769" spans="1:2">
      <c r="A769" s="13"/>
      <c r="B769" s="13"/>
    </row>
    <row r="770" spans="1:2">
      <c r="A770" s="13"/>
      <c r="B770" s="13"/>
    </row>
    <row r="771" spans="1:2">
      <c r="A771" s="13"/>
      <c r="B771" s="13"/>
    </row>
    <row r="772" spans="1:2">
      <c r="A772" s="13"/>
      <c r="B772" s="13"/>
    </row>
    <row r="773" spans="1:2">
      <c r="A773" s="13"/>
      <c r="B773" s="13"/>
    </row>
    <row r="774" spans="1:2">
      <c r="A774" s="13"/>
      <c r="B774" s="13"/>
    </row>
    <row r="775" spans="1:2">
      <c r="A775" s="13"/>
      <c r="B775" s="13"/>
    </row>
    <row r="776" spans="1:2">
      <c r="A776" s="13"/>
      <c r="B776" s="13"/>
    </row>
    <row r="777" spans="1:2">
      <c r="A777" s="13"/>
      <c r="B777" s="13"/>
    </row>
    <row r="778" spans="1:2">
      <c r="A778" s="13"/>
      <c r="B778" s="13"/>
    </row>
    <row r="779" spans="1:2">
      <c r="A779" s="13"/>
      <c r="B779" s="13"/>
    </row>
    <row r="780" spans="1:2">
      <c r="A780" s="13"/>
      <c r="B780" s="13"/>
    </row>
    <row r="781" spans="1:2">
      <c r="A781" s="13"/>
      <c r="B781" s="13"/>
    </row>
    <row r="782" spans="1:2">
      <c r="A782" s="13"/>
      <c r="B782" s="13"/>
    </row>
    <row r="783" spans="1:2">
      <c r="A783" s="13"/>
      <c r="B783" s="13"/>
    </row>
    <row r="784" spans="1:2">
      <c r="A784" s="13"/>
      <c r="B784" s="13"/>
    </row>
    <row r="785" spans="1:2">
      <c r="A785" s="13"/>
      <c r="B785" s="13"/>
    </row>
    <row r="786" spans="1:2">
      <c r="A786" s="13"/>
      <c r="B786" s="13"/>
    </row>
    <row r="787" spans="1:2">
      <c r="A787" s="13"/>
      <c r="B787" s="13"/>
    </row>
    <row r="788" spans="1:2">
      <c r="A788" s="13"/>
      <c r="B788" s="13"/>
    </row>
    <row r="789" spans="1:2">
      <c r="A789" s="13"/>
      <c r="B789" s="13"/>
    </row>
    <row r="790" spans="1:2">
      <c r="A790" s="13"/>
      <c r="B790" s="13"/>
    </row>
    <row r="791" spans="1:2">
      <c r="A791" s="13"/>
      <c r="B791" s="13"/>
    </row>
    <row r="792" spans="1:2">
      <c r="A792" s="13"/>
      <c r="B792" s="13"/>
    </row>
    <row r="793" spans="1:2">
      <c r="A793" s="13"/>
      <c r="B793" s="13"/>
    </row>
    <row r="794" spans="1:2">
      <c r="A794" s="13"/>
      <c r="B794" s="13"/>
    </row>
    <row r="795" spans="1:2">
      <c r="A795" s="13"/>
      <c r="B795" s="13"/>
    </row>
    <row r="796" spans="1:2">
      <c r="A796" s="13"/>
      <c r="B796" s="13"/>
    </row>
    <row r="797" spans="1:2">
      <c r="A797" s="13"/>
      <c r="B797" s="13"/>
    </row>
    <row r="798" spans="1:2">
      <c r="A798" s="13"/>
      <c r="B798" s="13"/>
    </row>
    <row r="799" spans="1:2">
      <c r="A799" s="13"/>
      <c r="B799" s="13"/>
    </row>
    <row r="800" spans="1:2">
      <c r="A800" s="13"/>
      <c r="B800" s="13"/>
    </row>
    <row r="801" spans="1:2">
      <c r="A801" s="13"/>
      <c r="B801" s="13"/>
    </row>
    <row r="802" spans="1:2">
      <c r="A802" s="13"/>
      <c r="B802" s="13"/>
    </row>
    <row r="803" spans="1:2">
      <c r="A803" s="13"/>
      <c r="B803" s="13"/>
    </row>
    <row r="804" spans="1:2">
      <c r="A804" s="13"/>
      <c r="B804" s="13"/>
    </row>
    <row r="805" spans="1:2">
      <c r="A805" s="13"/>
      <c r="B805" s="13"/>
    </row>
    <row r="806" spans="1:2">
      <c r="A806" s="13"/>
      <c r="B806" s="13"/>
    </row>
    <row r="807" spans="1:2">
      <c r="A807" s="13"/>
      <c r="B807" s="13"/>
    </row>
    <row r="808" spans="1:2">
      <c r="A808" s="13"/>
      <c r="B808" s="13"/>
    </row>
    <row r="809" spans="1:2">
      <c r="A809" s="13"/>
      <c r="B809" s="13"/>
    </row>
    <row r="810" spans="1:2">
      <c r="A810" s="13"/>
      <c r="B810" s="13"/>
    </row>
    <row r="811" spans="1:2">
      <c r="A811" s="13"/>
      <c r="B811" s="13"/>
    </row>
    <row r="812" spans="1:2">
      <c r="A812" s="13"/>
      <c r="B812" s="13"/>
    </row>
    <row r="813" spans="1:2">
      <c r="A813" s="13"/>
      <c r="B813" s="13"/>
    </row>
    <row r="814" spans="1:2">
      <c r="A814" s="13"/>
      <c r="B814" s="13"/>
    </row>
    <row r="815" spans="1:2">
      <c r="A815" s="13"/>
      <c r="B815" s="13"/>
    </row>
    <row r="816" spans="1:2">
      <c r="A816" s="13"/>
      <c r="B816" s="13"/>
    </row>
    <row r="817" spans="1:2">
      <c r="A817" s="13"/>
      <c r="B817" s="13"/>
    </row>
    <row r="818" spans="1:2">
      <c r="A818" s="13"/>
      <c r="B818" s="13"/>
    </row>
    <row r="819" spans="1:2">
      <c r="A819" s="13"/>
      <c r="B819" s="13"/>
    </row>
    <row r="820" spans="1:2">
      <c r="A820" s="13"/>
      <c r="B820" s="13"/>
    </row>
    <row r="821" spans="1:2">
      <c r="A821" s="13"/>
      <c r="B821" s="13"/>
    </row>
    <row r="822" spans="1:2">
      <c r="A822" s="13"/>
      <c r="B822" s="13"/>
    </row>
    <row r="823" spans="1:2">
      <c r="A823" s="13"/>
      <c r="B823" s="13"/>
    </row>
    <row r="824" spans="1:2">
      <c r="A824" s="13"/>
      <c r="B824" s="13"/>
    </row>
    <row r="825" spans="1:2">
      <c r="A825" s="13"/>
      <c r="B825" s="13"/>
    </row>
    <row r="826" spans="1:2">
      <c r="A826" s="13"/>
      <c r="B826" s="13"/>
    </row>
    <row r="827" spans="1:2">
      <c r="A827" s="13"/>
      <c r="B827" s="13"/>
    </row>
    <row r="828" spans="1:2">
      <c r="A828" s="13"/>
      <c r="B828" s="13"/>
    </row>
    <row r="829" spans="1:2">
      <c r="A829" s="13"/>
      <c r="B829" s="13"/>
    </row>
    <row r="830" spans="1:2">
      <c r="A830" s="13"/>
      <c r="B830" s="13"/>
    </row>
    <row r="831" spans="1:2">
      <c r="A831" s="13"/>
      <c r="B831" s="13"/>
    </row>
    <row r="832" spans="1:2">
      <c r="A832" s="13"/>
      <c r="B832" s="13"/>
    </row>
    <row r="833" spans="1:2">
      <c r="A833" s="13"/>
      <c r="B833" s="13"/>
    </row>
    <row r="834" spans="1:2">
      <c r="A834" s="13"/>
      <c r="B834" s="13"/>
    </row>
    <row r="835" spans="1:2">
      <c r="A835" s="13"/>
      <c r="B835" s="13"/>
    </row>
    <row r="836" spans="1:2">
      <c r="A836" s="13"/>
      <c r="B836" s="13"/>
    </row>
    <row r="837" spans="1:2">
      <c r="A837" s="13"/>
      <c r="B837" s="13"/>
    </row>
    <row r="838" spans="1:2">
      <c r="A838" s="13"/>
      <c r="B838" s="13"/>
    </row>
    <row r="839" spans="1:2">
      <c r="A839" s="13"/>
      <c r="B839" s="13"/>
    </row>
    <row r="840" spans="1:2">
      <c r="A840" s="13"/>
      <c r="B840" s="13"/>
    </row>
    <row r="841" spans="1:2">
      <c r="A841" s="13"/>
      <c r="B841" s="13"/>
    </row>
    <row r="842" spans="1:2">
      <c r="A842" s="13"/>
      <c r="B842" s="13"/>
    </row>
    <row r="843" spans="1:2">
      <c r="A843" s="13"/>
      <c r="B843" s="13"/>
    </row>
    <row r="844" spans="1:2">
      <c r="A844" s="13"/>
      <c r="B844" s="13"/>
    </row>
    <row r="845" spans="1:2">
      <c r="A845" s="13"/>
      <c r="B845" s="13"/>
    </row>
    <row r="846" spans="1:2">
      <c r="A846" s="13"/>
      <c r="B846" s="13"/>
    </row>
    <row r="847" spans="1:2">
      <c r="A847" s="13"/>
      <c r="B847" s="13"/>
    </row>
    <row r="848" spans="1:2">
      <c r="A848" s="13"/>
      <c r="B848" s="13"/>
    </row>
    <row r="849" spans="1:2">
      <c r="A849" s="13"/>
      <c r="B849" s="13"/>
    </row>
    <row r="850" spans="1:2">
      <c r="A850" s="13"/>
      <c r="B850" s="13"/>
    </row>
    <row r="851" spans="1:2">
      <c r="A851" s="13"/>
      <c r="B851" s="13"/>
    </row>
    <row r="852" spans="1:2">
      <c r="A852" s="13"/>
      <c r="B852" s="13"/>
    </row>
    <row r="853" spans="1:2">
      <c r="A853" s="13"/>
      <c r="B853" s="13"/>
    </row>
    <row r="854" spans="1:2">
      <c r="A854" s="13"/>
      <c r="B854" s="13"/>
    </row>
    <row r="855" spans="1:2">
      <c r="A855" s="13"/>
      <c r="B855" s="13"/>
    </row>
    <row r="856" spans="1:2">
      <c r="A856" s="13"/>
      <c r="B856" s="13"/>
    </row>
    <row r="857" spans="1:2">
      <c r="A857" s="13"/>
      <c r="B857" s="13"/>
    </row>
    <row r="858" spans="1:2">
      <c r="A858" s="13"/>
      <c r="B858" s="13"/>
    </row>
    <row r="859" spans="1:2">
      <c r="A859" s="13"/>
      <c r="B859" s="13"/>
    </row>
    <row r="860" spans="1:2">
      <c r="A860" s="13"/>
      <c r="B860" s="13"/>
    </row>
    <row r="861" spans="1:2">
      <c r="A861" s="13"/>
      <c r="B861" s="13"/>
    </row>
    <row r="862" spans="1:2">
      <c r="A862" s="13"/>
      <c r="B862" s="13"/>
    </row>
    <row r="863" spans="1:2">
      <c r="A863" s="13"/>
      <c r="B863" s="13"/>
    </row>
    <row r="864" spans="1:2">
      <c r="A864" s="13"/>
      <c r="B864" s="13"/>
    </row>
    <row r="865" spans="1:2">
      <c r="A865" s="13"/>
      <c r="B865" s="13"/>
    </row>
    <row r="866" spans="1:2">
      <c r="A866" s="13"/>
      <c r="B866" s="13"/>
    </row>
    <row r="867" spans="1:2">
      <c r="A867" s="13"/>
      <c r="B867" s="13"/>
    </row>
    <row r="868" spans="1:2">
      <c r="A868" s="13"/>
      <c r="B868" s="13"/>
    </row>
    <row r="869" spans="1:2">
      <c r="A869" s="13"/>
      <c r="B869" s="13"/>
    </row>
    <row r="870" spans="1:2">
      <c r="A870" s="13"/>
      <c r="B870" s="13"/>
    </row>
    <row r="871" spans="1:2">
      <c r="A871" s="13"/>
      <c r="B871" s="13"/>
    </row>
    <row r="872" spans="1:2">
      <c r="A872" s="13"/>
      <c r="B872" s="13"/>
    </row>
    <row r="873" spans="1:2">
      <c r="A873" s="13"/>
      <c r="B873" s="13"/>
    </row>
    <row r="874" spans="1:2">
      <c r="A874" s="13"/>
      <c r="B874" s="13"/>
    </row>
    <row r="875" spans="1:2">
      <c r="A875" s="13"/>
      <c r="B875" s="13"/>
    </row>
    <row r="876" spans="1:2">
      <c r="A876" s="13"/>
      <c r="B876" s="13"/>
    </row>
    <row r="877" spans="1:2">
      <c r="A877" s="13"/>
      <c r="B877" s="13"/>
    </row>
    <row r="878" spans="1:2">
      <c r="A878" s="13"/>
      <c r="B878" s="13"/>
    </row>
    <row r="879" spans="1:2">
      <c r="A879" s="13"/>
      <c r="B879" s="13"/>
    </row>
    <row r="880" spans="1:2">
      <c r="A880" s="13"/>
      <c r="B880" s="13"/>
    </row>
    <row r="881" spans="1:2">
      <c r="A881" s="13"/>
      <c r="B881" s="13"/>
    </row>
    <row r="882" spans="1:2">
      <c r="A882" s="13"/>
      <c r="B882" s="13"/>
    </row>
    <row r="883" spans="1:2">
      <c r="A883" s="13"/>
      <c r="B883" s="13"/>
    </row>
    <row r="884" spans="1:2">
      <c r="A884" s="13"/>
      <c r="B884" s="13"/>
    </row>
    <row r="885" spans="1:2">
      <c r="A885" s="13"/>
      <c r="B885" s="13"/>
    </row>
    <row r="886" spans="1:2">
      <c r="A886" s="13"/>
      <c r="B886" s="13"/>
    </row>
    <row r="887" spans="1:2">
      <c r="A887" s="13"/>
      <c r="B887" s="13"/>
    </row>
    <row r="888" spans="1:2">
      <c r="A888" s="13"/>
      <c r="B888" s="13"/>
    </row>
    <row r="889" spans="1:2">
      <c r="A889" s="13"/>
      <c r="B889" s="13"/>
    </row>
    <row r="890" spans="1:2">
      <c r="A890" s="13"/>
      <c r="B890" s="13"/>
    </row>
    <row r="891" spans="1:2">
      <c r="A891" s="13"/>
      <c r="B891" s="13"/>
    </row>
    <row r="892" spans="1:2">
      <c r="A892" s="13"/>
      <c r="B892" s="13"/>
    </row>
    <row r="893" spans="1:2">
      <c r="A893" s="13"/>
      <c r="B893" s="13"/>
    </row>
    <row r="894" spans="1:2">
      <c r="A894" s="13"/>
      <c r="B894" s="13"/>
    </row>
    <row r="895" spans="1:2">
      <c r="A895" s="13"/>
      <c r="B895" s="13"/>
    </row>
    <row r="896" spans="1:2">
      <c r="A896" s="13"/>
      <c r="B896" s="13"/>
    </row>
    <row r="897" spans="1:2">
      <c r="A897" s="13"/>
      <c r="B897" s="13"/>
    </row>
    <row r="898" spans="1:2">
      <c r="A898" s="13"/>
      <c r="B898" s="13"/>
    </row>
    <row r="899" spans="1:2">
      <c r="A899" s="13"/>
      <c r="B899" s="13"/>
    </row>
    <row r="900" spans="1:2">
      <c r="A900" s="13"/>
      <c r="B900" s="13"/>
    </row>
    <row r="901" spans="1:2">
      <c r="A901" s="13"/>
      <c r="B901" s="13"/>
    </row>
    <row r="902" spans="1:2">
      <c r="A902" s="13"/>
      <c r="B902" s="13"/>
    </row>
    <row r="903" spans="1:2">
      <c r="A903" s="13"/>
      <c r="B903" s="13"/>
    </row>
    <row r="904" spans="1:2">
      <c r="A904" s="13"/>
      <c r="B904" s="13"/>
    </row>
    <row r="905" spans="1:2">
      <c r="A905" s="13"/>
      <c r="B905" s="13"/>
    </row>
    <row r="906" spans="1:2">
      <c r="A906" s="13"/>
      <c r="B906" s="13"/>
    </row>
    <row r="907" spans="1:2">
      <c r="A907" s="13"/>
      <c r="B907" s="13"/>
    </row>
    <row r="908" spans="1:2">
      <c r="A908" s="13"/>
      <c r="B908" s="13"/>
    </row>
    <row r="909" spans="1:2">
      <c r="A909" s="13"/>
      <c r="B909" s="13"/>
    </row>
    <row r="910" spans="1:2">
      <c r="A910" s="13"/>
      <c r="B910" s="13"/>
    </row>
    <row r="911" spans="1:2">
      <c r="A911" s="13"/>
      <c r="B911" s="13"/>
    </row>
    <row r="912" spans="1:2">
      <c r="A912" s="13"/>
      <c r="B912" s="13"/>
    </row>
    <row r="913" spans="1:2">
      <c r="A913" s="13"/>
      <c r="B913" s="13"/>
    </row>
    <row r="914" spans="1:2">
      <c r="A914" s="13"/>
      <c r="B914" s="13"/>
    </row>
    <row r="915" spans="1:2">
      <c r="A915" s="13"/>
      <c r="B915" s="13"/>
    </row>
    <row r="916" spans="1:2">
      <c r="A916" s="13"/>
      <c r="B916" s="13"/>
    </row>
    <row r="917" spans="1:2">
      <c r="A917" s="13"/>
      <c r="B917" s="13"/>
    </row>
    <row r="918" spans="1:2">
      <c r="A918" s="13"/>
      <c r="B918" s="13"/>
    </row>
    <row r="919" spans="1:2">
      <c r="A919" s="13"/>
      <c r="B919" s="13"/>
    </row>
    <row r="920" spans="1:2">
      <c r="A920" s="13"/>
      <c r="B920" s="13"/>
    </row>
    <row r="921" spans="1:2">
      <c r="A921" s="13"/>
      <c r="B921" s="13"/>
    </row>
    <row r="922" spans="1:2">
      <c r="A922" s="13"/>
      <c r="B922" s="13"/>
    </row>
    <row r="923" spans="1:2">
      <c r="A923" s="13"/>
      <c r="B923" s="13"/>
    </row>
    <row r="924" spans="1:2">
      <c r="A924" s="13"/>
      <c r="B924" s="13"/>
    </row>
    <row r="925" spans="1:2">
      <c r="A925" s="13"/>
      <c r="B925" s="13"/>
    </row>
    <row r="926" spans="1:2">
      <c r="A926" s="13"/>
      <c r="B926" s="13"/>
    </row>
    <row r="927" spans="1:2">
      <c r="A927" s="13"/>
      <c r="B927" s="13"/>
    </row>
    <row r="928" spans="1:2">
      <c r="A928" s="13"/>
      <c r="B928" s="13"/>
    </row>
    <row r="929" spans="1:2">
      <c r="A929" s="13"/>
      <c r="B929" s="13"/>
    </row>
    <row r="930" spans="1:2">
      <c r="A930" s="13"/>
      <c r="B930" s="13"/>
    </row>
    <row r="931" spans="1:2">
      <c r="A931" s="13"/>
      <c r="B931" s="13"/>
    </row>
    <row r="932" spans="1:2">
      <c r="A932" s="13"/>
      <c r="B932" s="13"/>
    </row>
    <row r="933" spans="1:2">
      <c r="A933" s="13"/>
      <c r="B933" s="13"/>
    </row>
    <row r="934" spans="1:2">
      <c r="A934" s="13"/>
      <c r="B934" s="13"/>
    </row>
    <row r="935" spans="1:2">
      <c r="A935" s="13"/>
      <c r="B935" s="13"/>
    </row>
    <row r="936" spans="1:2">
      <c r="A936" s="13"/>
      <c r="B936" s="13"/>
    </row>
    <row r="937" spans="1:2">
      <c r="A937" s="13"/>
      <c r="B937" s="13"/>
    </row>
    <row r="938" spans="1:2">
      <c r="A938" s="13"/>
      <c r="B938" s="13"/>
    </row>
    <row r="939" spans="1:2">
      <c r="A939" s="13"/>
      <c r="B939" s="13"/>
    </row>
    <row r="940" spans="1:2">
      <c r="A940" s="13"/>
      <c r="B940" s="13"/>
    </row>
    <row r="941" spans="1:2">
      <c r="A941" s="13"/>
      <c r="B941" s="13"/>
    </row>
    <row r="942" spans="1:2">
      <c r="A942" s="13"/>
      <c r="B942" s="13"/>
    </row>
    <row r="943" spans="1:2">
      <c r="A943" s="13"/>
      <c r="B943" s="13"/>
    </row>
    <row r="944" spans="1:2">
      <c r="A944" s="13"/>
      <c r="B944" s="13"/>
    </row>
    <row r="945" spans="1:2">
      <c r="A945" s="13"/>
      <c r="B945" s="13"/>
    </row>
    <row r="946" spans="1:2">
      <c r="A946" s="13"/>
      <c r="B946" s="13"/>
    </row>
    <row r="947" spans="1:2">
      <c r="A947" s="13"/>
      <c r="B947" s="13"/>
    </row>
    <row r="948" spans="1:2">
      <c r="A948" s="13"/>
      <c r="B948" s="13"/>
    </row>
    <row r="949" spans="1:2">
      <c r="A949" s="13"/>
      <c r="B949" s="13"/>
    </row>
    <row r="950" spans="1:2">
      <c r="A950" s="13"/>
      <c r="B950" s="13"/>
    </row>
    <row r="951" spans="1:2">
      <c r="A951" s="13"/>
      <c r="B951" s="13"/>
    </row>
    <row r="952" spans="1:2">
      <c r="A952" s="13"/>
      <c r="B952" s="13"/>
    </row>
    <row r="953" spans="1:2">
      <c r="A953" s="13"/>
      <c r="B953" s="13"/>
    </row>
    <row r="954" spans="1:2">
      <c r="A954" s="13"/>
      <c r="B954" s="13"/>
    </row>
    <row r="955" spans="1:2">
      <c r="A955" s="13"/>
      <c r="B955" s="13"/>
    </row>
    <row r="956" spans="1:2">
      <c r="A956" s="13"/>
      <c r="B956" s="13"/>
    </row>
    <row r="957" spans="1:2">
      <c r="A957" s="13"/>
      <c r="B957" s="13"/>
    </row>
    <row r="958" spans="1:2">
      <c r="A958" s="13"/>
      <c r="B958" s="13"/>
    </row>
    <row r="959" spans="1:2">
      <c r="A959" s="13"/>
      <c r="B959" s="13"/>
    </row>
    <row r="960" spans="1:2">
      <c r="A960" s="13"/>
      <c r="B960" s="13"/>
    </row>
    <row r="961" spans="1:2">
      <c r="A961" s="13"/>
      <c r="B961" s="13"/>
    </row>
    <row r="962" spans="1:2">
      <c r="A962" s="13"/>
      <c r="B962" s="13"/>
    </row>
    <row r="963" spans="1:2">
      <c r="A963" s="13"/>
      <c r="B963" s="13"/>
    </row>
    <row r="964" spans="1:2">
      <c r="A964" s="13"/>
      <c r="B964" s="13"/>
    </row>
    <row r="965" spans="1:2">
      <c r="A965" s="13"/>
      <c r="B965" s="13"/>
    </row>
    <row r="966" spans="1:2">
      <c r="A966" s="13"/>
      <c r="B966" s="13"/>
    </row>
    <row r="967" spans="1:2">
      <c r="A967" s="13"/>
      <c r="B967" s="13"/>
    </row>
    <row r="968" spans="1:2">
      <c r="A968" s="13"/>
      <c r="B968" s="13"/>
    </row>
    <row r="969" spans="1:2">
      <c r="A969" s="13"/>
      <c r="B969" s="13"/>
    </row>
    <row r="970" spans="1:2">
      <c r="A970" s="13"/>
      <c r="B970" s="13"/>
    </row>
    <row r="971" spans="1:2">
      <c r="A971" s="13"/>
      <c r="B971" s="13"/>
    </row>
    <row r="972" spans="1:2">
      <c r="A972" s="13"/>
      <c r="B972" s="13"/>
    </row>
    <row r="973" spans="1:2">
      <c r="A973" s="13"/>
      <c r="B973" s="13"/>
    </row>
    <row r="974" spans="1:2">
      <c r="A974" s="13"/>
      <c r="B974" s="13"/>
    </row>
    <row r="975" spans="1:2">
      <c r="A975" s="13"/>
      <c r="B975" s="13"/>
    </row>
    <row r="976" spans="1:2">
      <c r="A976" s="13"/>
      <c r="B976" s="13"/>
    </row>
    <row r="977" spans="1:2">
      <c r="A977" s="13"/>
      <c r="B977" s="13"/>
    </row>
    <row r="978" spans="1:2">
      <c r="A978" s="13"/>
      <c r="B978" s="13"/>
    </row>
    <row r="979" spans="1:2">
      <c r="A979" s="13"/>
      <c r="B979" s="13"/>
    </row>
    <row r="980" spans="1:2">
      <c r="A980" s="13"/>
      <c r="B980" s="13"/>
    </row>
    <row r="981" spans="1:2">
      <c r="A981" s="13"/>
      <c r="B981" s="13"/>
    </row>
    <row r="982" spans="1:2">
      <c r="A982" s="13"/>
      <c r="B982" s="13"/>
    </row>
    <row r="983" spans="1:2">
      <c r="A983" s="13"/>
      <c r="B983" s="13"/>
    </row>
    <row r="984" spans="1:2">
      <c r="A984" s="13"/>
      <c r="B984" s="13"/>
    </row>
    <row r="985" spans="1:2">
      <c r="A985" s="13"/>
      <c r="B985" s="13"/>
    </row>
    <row r="986" spans="1:2">
      <c r="A986" s="13"/>
      <c r="B986" s="13"/>
    </row>
    <row r="987" spans="1:2">
      <c r="A987" s="13"/>
      <c r="B987" s="13"/>
    </row>
    <row r="988" spans="1:2">
      <c r="A988" s="13"/>
      <c r="B988" s="13"/>
    </row>
    <row r="989" spans="1:2">
      <c r="A989" s="13"/>
      <c r="B989" s="13"/>
    </row>
    <row r="990" spans="1:2">
      <c r="A990" s="13"/>
      <c r="B990" s="13"/>
    </row>
    <row r="991" spans="1:2">
      <c r="A991" s="13"/>
      <c r="B991" s="13"/>
    </row>
    <row r="992" spans="1:2">
      <c r="A992" s="13"/>
      <c r="B992" s="13"/>
    </row>
    <row r="993" spans="1:2">
      <c r="A993" s="13"/>
      <c r="B993" s="13"/>
    </row>
    <row r="994" spans="1:2">
      <c r="A994" s="13"/>
      <c r="B994" s="13"/>
    </row>
    <row r="995" spans="1:2">
      <c r="A995" s="13"/>
      <c r="B995" s="13"/>
    </row>
    <row r="996" spans="1:2">
      <c r="A996" s="13"/>
      <c r="B996" s="13"/>
    </row>
    <row r="997" spans="1:2">
      <c r="A997" s="13"/>
      <c r="B997" s="13"/>
    </row>
    <row r="998" spans="1:2">
      <c r="A998" s="13"/>
      <c r="B998" s="13"/>
    </row>
    <row r="999" spans="1:2">
      <c r="A999" s="13"/>
      <c r="B999" s="13"/>
    </row>
    <row r="1000" spans="1:2">
      <c r="A1000" s="13"/>
      <c r="B1000" s="13"/>
    </row>
    <row r="1001" spans="1:2">
      <c r="A1001" s="13"/>
      <c r="B1001" s="13"/>
    </row>
    <row r="1002" spans="1:2">
      <c r="A1002" s="13"/>
      <c r="B1002" s="13"/>
    </row>
    <row r="1003" spans="1:2">
      <c r="A1003" s="13"/>
      <c r="B1003" s="13"/>
    </row>
    <row r="1004" spans="1:2">
      <c r="A1004" s="13"/>
      <c r="B100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12"/>
  <sheetViews>
    <sheetView workbookViewId="0">
      <pane ySplit="1" topLeftCell="A77" activePane="bottomLeft" state="frozen"/>
      <selection pane="bottomLeft" activeCell="C98" sqref="C98"/>
    </sheetView>
  </sheetViews>
  <sheetFormatPr defaultColWidth="12.6640625" defaultRowHeight="15.75" customHeight="1"/>
  <cols>
    <col min="1" max="1" width="18.88671875" customWidth="1"/>
    <col min="2" max="2" width="11.77734375" customWidth="1"/>
    <col min="3" max="3" width="28.44140625" customWidth="1"/>
    <col min="4" max="4" width="9.6640625" customWidth="1"/>
    <col min="5" max="5" width="12.44140625" customWidth="1"/>
    <col min="6" max="6" width="7.21875" customWidth="1"/>
    <col min="7" max="8" width="8.6640625" customWidth="1"/>
    <col min="9" max="9" width="12.44140625" customWidth="1"/>
    <col min="10" max="10" width="10.33203125" customWidth="1"/>
    <col min="11" max="11" width="11.21875" customWidth="1"/>
    <col min="12" max="12" width="10.6640625" customWidth="1"/>
    <col min="13" max="13" width="5.21875" customWidth="1"/>
    <col min="14" max="14" width="7.88671875" customWidth="1"/>
    <col min="15" max="15" width="7" customWidth="1"/>
    <col min="16" max="16" width="7.33203125" customWidth="1"/>
    <col min="17" max="17" width="8.109375" customWidth="1"/>
    <col min="18" max="18" width="10" customWidth="1"/>
    <col min="19" max="19" width="13.6640625" customWidth="1"/>
    <col min="20" max="20" width="14.109375" customWidth="1"/>
    <col min="21" max="21" width="17.6640625" customWidth="1"/>
    <col min="22" max="22" width="12.44140625" customWidth="1"/>
    <col min="23" max="23" width="7.77734375" customWidth="1"/>
    <col min="24" max="24" width="11.21875" customWidth="1"/>
  </cols>
  <sheetData>
    <row r="1" spans="1:28">
      <c r="A1" s="1" t="s">
        <v>0</v>
      </c>
      <c r="B1" s="1" t="s">
        <v>2</v>
      </c>
      <c r="C1" s="1" t="s">
        <v>3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16</v>
      </c>
      <c r="N1" s="10" t="s">
        <v>17</v>
      </c>
      <c r="O1" s="4" t="s">
        <v>21</v>
      </c>
      <c r="P1" s="10" t="s">
        <v>22</v>
      </c>
      <c r="Q1" s="4" t="s">
        <v>24</v>
      </c>
      <c r="R1" s="4" t="s">
        <v>25</v>
      </c>
      <c r="S1" s="4" t="s">
        <v>26</v>
      </c>
      <c r="T1" s="4" t="s">
        <v>29</v>
      </c>
      <c r="U1" s="4" t="s">
        <v>31</v>
      </c>
      <c r="V1" s="4" t="s">
        <v>19</v>
      </c>
      <c r="W1" s="4" t="s">
        <v>27</v>
      </c>
      <c r="X1" s="4" t="s">
        <v>33</v>
      </c>
      <c r="Y1" s="15"/>
      <c r="Z1" s="15"/>
      <c r="AA1" s="15"/>
      <c r="AB1" s="15"/>
    </row>
    <row r="2" spans="1:28">
      <c r="A2" s="15" t="s">
        <v>37</v>
      </c>
      <c r="B2" s="15" t="s">
        <v>38</v>
      </c>
      <c r="C2" s="15" t="s">
        <v>39</v>
      </c>
      <c r="D2" s="15" t="s">
        <v>41</v>
      </c>
      <c r="E2" s="15" t="s">
        <v>41</v>
      </c>
      <c r="F2" s="15" t="s">
        <v>43</v>
      </c>
      <c r="G2" s="15">
        <v>4</v>
      </c>
      <c r="H2" s="15">
        <v>3</v>
      </c>
      <c r="I2" s="15" t="s">
        <v>48</v>
      </c>
      <c r="J2" s="15" t="s">
        <v>50</v>
      </c>
      <c r="K2" s="15" t="s">
        <v>54</v>
      </c>
      <c r="L2" s="15" t="s">
        <v>57</v>
      </c>
      <c r="M2" s="15"/>
      <c r="N2" s="15"/>
      <c r="O2" s="15">
        <v>995</v>
      </c>
      <c r="P2" s="18">
        <v>0.18</v>
      </c>
      <c r="Q2" s="15" t="s">
        <v>64</v>
      </c>
      <c r="R2" s="15" t="s">
        <v>65</v>
      </c>
      <c r="S2" s="15" t="s">
        <v>38</v>
      </c>
      <c r="T2" s="15" t="s">
        <v>66</v>
      </c>
      <c r="U2" s="15" t="s">
        <v>67</v>
      </c>
      <c r="V2" s="15" t="s">
        <v>69</v>
      </c>
      <c r="W2" s="15" t="s">
        <v>70</v>
      </c>
      <c r="X2" s="15"/>
      <c r="Y2" s="15"/>
      <c r="Z2" s="15"/>
      <c r="AA2" s="15"/>
      <c r="AB2" s="15"/>
    </row>
    <row r="3" spans="1:28">
      <c r="A3" s="15" t="s">
        <v>71</v>
      </c>
      <c r="B3" s="15" t="s">
        <v>38</v>
      </c>
      <c r="C3" s="15" t="s">
        <v>72</v>
      </c>
      <c r="D3" s="15" t="s">
        <v>41</v>
      </c>
      <c r="E3" s="15" t="s">
        <v>41</v>
      </c>
      <c r="F3" s="15" t="s">
        <v>43</v>
      </c>
      <c r="G3" s="15">
        <v>4</v>
      </c>
      <c r="H3" s="15">
        <v>3</v>
      </c>
      <c r="I3" s="15" t="s">
        <v>48</v>
      </c>
      <c r="J3" s="15" t="s">
        <v>50</v>
      </c>
      <c r="K3" s="15" t="s">
        <v>54</v>
      </c>
      <c r="L3" s="15" t="s">
        <v>57</v>
      </c>
      <c r="M3" s="15"/>
      <c r="N3" s="15"/>
      <c r="O3" s="15">
        <v>995</v>
      </c>
      <c r="P3" s="18">
        <v>0.18</v>
      </c>
      <c r="Q3" s="15" t="s">
        <v>64</v>
      </c>
      <c r="R3" s="15" t="s">
        <v>65</v>
      </c>
      <c r="S3" s="15" t="s">
        <v>38</v>
      </c>
      <c r="T3" s="15" t="s">
        <v>66</v>
      </c>
      <c r="U3" s="15" t="s">
        <v>67</v>
      </c>
      <c r="V3" s="15" t="s">
        <v>82</v>
      </c>
      <c r="W3" s="15" t="s">
        <v>70</v>
      </c>
      <c r="X3" s="15"/>
      <c r="Y3" s="15"/>
      <c r="Z3" s="15"/>
      <c r="AA3" s="15"/>
      <c r="AB3" s="15"/>
    </row>
    <row r="4" spans="1:28">
      <c r="A4" s="15" t="s">
        <v>83</v>
      </c>
      <c r="B4" s="15" t="s">
        <v>38</v>
      </c>
      <c r="C4" s="15" t="s">
        <v>84</v>
      </c>
      <c r="D4" s="15" t="s">
        <v>41</v>
      </c>
      <c r="E4" s="15" t="s">
        <v>41</v>
      </c>
      <c r="F4" s="15" t="s">
        <v>43</v>
      </c>
      <c r="G4" s="15">
        <v>4</v>
      </c>
      <c r="H4" s="15">
        <v>3</v>
      </c>
      <c r="I4" s="15" t="s">
        <v>48</v>
      </c>
      <c r="J4" s="15" t="s">
        <v>50</v>
      </c>
      <c r="K4" s="15" t="s">
        <v>54</v>
      </c>
      <c r="L4" s="15" t="s">
        <v>57</v>
      </c>
      <c r="M4" s="15"/>
      <c r="N4" s="15"/>
      <c r="O4" s="15">
        <v>995</v>
      </c>
      <c r="P4" s="18">
        <v>0.18</v>
      </c>
      <c r="Q4" s="15" t="s">
        <v>64</v>
      </c>
      <c r="R4" s="15" t="s">
        <v>65</v>
      </c>
      <c r="S4" s="15" t="s">
        <v>38</v>
      </c>
      <c r="T4" s="15" t="s">
        <v>66</v>
      </c>
      <c r="U4" s="15" t="s">
        <v>67</v>
      </c>
      <c r="V4" s="15" t="s">
        <v>88</v>
      </c>
      <c r="W4" s="15" t="s">
        <v>70</v>
      </c>
      <c r="X4" s="15"/>
      <c r="Y4" s="15"/>
      <c r="Z4" s="15"/>
      <c r="AA4" s="15"/>
      <c r="AB4" s="15"/>
    </row>
    <row r="5" spans="1:28">
      <c r="A5" s="30" t="s">
        <v>544</v>
      </c>
      <c r="B5" s="30" t="s">
        <v>529</v>
      </c>
      <c r="C5" s="30" t="s">
        <v>541</v>
      </c>
      <c r="D5" s="15" t="s">
        <v>531</v>
      </c>
      <c r="E5" s="15" t="s">
        <v>532</v>
      </c>
      <c r="F5" s="15" t="s">
        <v>105</v>
      </c>
      <c r="G5" s="15">
        <v>7</v>
      </c>
      <c r="H5" s="15">
        <v>4</v>
      </c>
      <c r="I5" s="15" t="s">
        <v>48</v>
      </c>
      <c r="J5" s="15" t="s">
        <v>50</v>
      </c>
      <c r="K5" s="15" t="s">
        <v>182</v>
      </c>
      <c r="L5" s="15" t="s">
        <v>57</v>
      </c>
      <c r="M5" s="15">
        <v>1493</v>
      </c>
      <c r="N5" s="15"/>
      <c r="O5" s="15"/>
      <c r="P5" s="18">
        <v>0.18</v>
      </c>
      <c r="Q5" s="15" t="s">
        <v>184</v>
      </c>
      <c r="R5" s="15" t="s">
        <v>533</v>
      </c>
      <c r="S5" s="15" t="s">
        <v>534</v>
      </c>
      <c r="T5" s="15" t="s">
        <v>542</v>
      </c>
      <c r="U5" s="15" t="s">
        <v>543</v>
      </c>
      <c r="V5" s="15" t="s">
        <v>108</v>
      </c>
      <c r="W5" s="15" t="s">
        <v>70</v>
      </c>
      <c r="X5" s="15"/>
      <c r="Y5" s="15"/>
      <c r="Z5" s="15"/>
      <c r="AA5" s="15"/>
      <c r="AB5" s="15"/>
    </row>
    <row r="6" spans="1:28">
      <c r="A6" s="30" t="s">
        <v>545</v>
      </c>
      <c r="B6" s="30" t="s">
        <v>529</v>
      </c>
      <c r="C6" s="30" t="s">
        <v>541</v>
      </c>
      <c r="D6" s="15" t="s">
        <v>531</v>
      </c>
      <c r="E6" s="15" t="s">
        <v>532</v>
      </c>
      <c r="F6" s="15" t="s">
        <v>105</v>
      </c>
      <c r="G6" s="15">
        <v>7</v>
      </c>
      <c r="H6" s="15">
        <v>4</v>
      </c>
      <c r="I6" s="15" t="s">
        <v>48</v>
      </c>
      <c r="J6" s="15" t="s">
        <v>50</v>
      </c>
      <c r="K6" s="15" t="s">
        <v>182</v>
      </c>
      <c r="L6" s="15" t="s">
        <v>57</v>
      </c>
      <c r="M6" s="15">
        <v>1493</v>
      </c>
      <c r="N6" s="15"/>
      <c r="O6" s="15"/>
      <c r="P6" s="18">
        <v>0.18</v>
      </c>
      <c r="Q6" s="15" t="s">
        <v>184</v>
      </c>
      <c r="R6" s="15" t="s">
        <v>533</v>
      </c>
      <c r="S6" s="15" t="s">
        <v>534</v>
      </c>
      <c r="T6" s="15" t="s">
        <v>542</v>
      </c>
      <c r="U6" s="15" t="s">
        <v>543</v>
      </c>
      <c r="V6" s="15" t="s">
        <v>537</v>
      </c>
      <c r="W6" s="15" t="s">
        <v>70</v>
      </c>
      <c r="X6" s="15"/>
      <c r="Y6" s="15"/>
      <c r="Z6" s="15"/>
      <c r="AA6" s="15"/>
      <c r="AB6" s="15"/>
    </row>
    <row r="7" spans="1:28">
      <c r="A7" s="30" t="s">
        <v>546</v>
      </c>
      <c r="B7" s="30" t="s">
        <v>529</v>
      </c>
      <c r="C7" s="30" t="s">
        <v>541</v>
      </c>
      <c r="D7" s="15" t="s">
        <v>531</v>
      </c>
      <c r="E7" s="15" t="s">
        <v>532</v>
      </c>
      <c r="F7" s="15" t="s">
        <v>105</v>
      </c>
      <c r="G7" s="15">
        <v>7</v>
      </c>
      <c r="H7" s="15">
        <v>4</v>
      </c>
      <c r="I7" s="15" t="s">
        <v>48</v>
      </c>
      <c r="J7" s="15" t="s">
        <v>50</v>
      </c>
      <c r="K7" s="15" t="s">
        <v>182</v>
      </c>
      <c r="L7" s="15" t="s">
        <v>57</v>
      </c>
      <c r="M7" s="15">
        <v>1493</v>
      </c>
      <c r="N7" s="15"/>
      <c r="O7" s="15"/>
      <c r="P7" s="18">
        <v>0.18</v>
      </c>
      <c r="Q7" s="15" t="s">
        <v>184</v>
      </c>
      <c r="R7" s="15" t="s">
        <v>533</v>
      </c>
      <c r="S7" s="15" t="s">
        <v>534</v>
      </c>
      <c r="T7" s="15" t="s">
        <v>542</v>
      </c>
      <c r="U7" s="15" t="s">
        <v>543</v>
      </c>
      <c r="V7" s="15" t="s">
        <v>62</v>
      </c>
      <c r="W7" s="15" t="s">
        <v>70</v>
      </c>
      <c r="X7" s="15"/>
      <c r="Y7" s="15"/>
      <c r="Z7" s="15"/>
      <c r="AA7" s="15"/>
      <c r="AB7" s="15"/>
    </row>
    <row r="8" spans="1:28">
      <c r="A8" s="30" t="s">
        <v>461</v>
      </c>
      <c r="B8" s="30" t="s">
        <v>174</v>
      </c>
      <c r="C8" s="30" t="s">
        <v>463</v>
      </c>
      <c r="D8" s="15" t="s">
        <v>678</v>
      </c>
      <c r="E8" s="15" t="s">
        <v>678</v>
      </c>
      <c r="F8" s="15" t="s">
        <v>105</v>
      </c>
      <c r="G8" s="15">
        <v>3</v>
      </c>
      <c r="H8" s="15">
        <v>4</v>
      </c>
      <c r="I8" s="15" t="s">
        <v>48</v>
      </c>
      <c r="J8" s="15" t="s">
        <v>50</v>
      </c>
      <c r="K8" s="15" t="s">
        <v>54</v>
      </c>
      <c r="L8" s="15" t="s">
        <v>57</v>
      </c>
      <c r="M8" s="15"/>
      <c r="N8" s="15"/>
      <c r="O8" s="15">
        <v>2995</v>
      </c>
      <c r="P8" s="18">
        <v>0.18</v>
      </c>
      <c r="Q8" s="15" t="s">
        <v>64</v>
      </c>
      <c r="R8" s="15" t="s">
        <v>65</v>
      </c>
      <c r="S8" s="15" t="s">
        <v>174</v>
      </c>
      <c r="T8" s="15" t="s">
        <v>681</v>
      </c>
      <c r="U8" s="15" t="s">
        <v>682</v>
      </c>
      <c r="V8" s="15" t="s">
        <v>103</v>
      </c>
      <c r="W8" s="15" t="s">
        <v>70</v>
      </c>
      <c r="X8" s="15"/>
      <c r="Y8" s="15"/>
      <c r="Z8" s="15"/>
      <c r="AA8" s="15"/>
      <c r="AB8" s="15"/>
    </row>
    <row r="9" spans="1:28">
      <c r="A9" s="30" t="s">
        <v>381</v>
      </c>
      <c r="B9" s="30" t="s">
        <v>174</v>
      </c>
      <c r="C9" s="30" t="s">
        <v>382</v>
      </c>
      <c r="D9" s="15" t="s">
        <v>678</v>
      </c>
      <c r="E9" s="15" t="s">
        <v>678</v>
      </c>
      <c r="F9" s="15" t="s">
        <v>105</v>
      </c>
      <c r="G9" s="15">
        <v>3</v>
      </c>
      <c r="H9" s="15">
        <v>4</v>
      </c>
      <c r="I9" s="15" t="s">
        <v>48</v>
      </c>
      <c r="J9" s="15" t="s">
        <v>50</v>
      </c>
      <c r="K9" s="15" t="s">
        <v>54</v>
      </c>
      <c r="L9" s="15" t="s">
        <v>57</v>
      </c>
      <c r="M9" s="15"/>
      <c r="N9" s="15"/>
      <c r="O9" s="15">
        <v>3120</v>
      </c>
      <c r="P9" s="18">
        <v>0.18</v>
      </c>
      <c r="Q9" s="15" t="s">
        <v>64</v>
      </c>
      <c r="R9" s="15" t="s">
        <v>65</v>
      </c>
      <c r="S9" s="15" t="s">
        <v>174</v>
      </c>
      <c r="T9" s="15" t="s">
        <v>683</v>
      </c>
      <c r="U9" s="15" t="s">
        <v>382</v>
      </c>
      <c r="V9" s="15" t="s">
        <v>103</v>
      </c>
      <c r="W9" s="15" t="s">
        <v>70</v>
      </c>
      <c r="X9" s="15"/>
      <c r="Y9" s="15"/>
      <c r="Z9" s="15"/>
      <c r="AA9" s="15"/>
      <c r="AB9" s="15"/>
    </row>
    <row r="10" spans="1:28">
      <c r="A10" s="30" t="s">
        <v>320</v>
      </c>
      <c r="B10" s="30" t="s">
        <v>162</v>
      </c>
      <c r="C10" s="30" t="s">
        <v>321</v>
      </c>
      <c r="D10" s="15" t="s">
        <v>678</v>
      </c>
      <c r="E10" s="15" t="s">
        <v>678</v>
      </c>
      <c r="F10" s="15" t="s">
        <v>105</v>
      </c>
      <c r="G10" s="15">
        <v>3</v>
      </c>
      <c r="H10" s="15">
        <v>4</v>
      </c>
      <c r="I10" s="15" t="s">
        <v>48</v>
      </c>
      <c r="J10" s="15" t="s">
        <v>50</v>
      </c>
      <c r="K10" s="15" t="s">
        <v>54</v>
      </c>
      <c r="L10" s="15" t="s">
        <v>679</v>
      </c>
      <c r="M10" s="15"/>
      <c r="N10" s="15"/>
      <c r="O10" s="15">
        <v>3460</v>
      </c>
      <c r="P10" s="18">
        <v>0.18</v>
      </c>
      <c r="Q10" s="15" t="s">
        <v>64</v>
      </c>
      <c r="R10" s="15" t="s">
        <v>65</v>
      </c>
      <c r="S10" s="15" t="s">
        <v>162</v>
      </c>
      <c r="T10" s="15" t="s">
        <v>684</v>
      </c>
      <c r="U10" s="15" t="s">
        <v>685</v>
      </c>
      <c r="V10" s="15" t="s">
        <v>62</v>
      </c>
      <c r="W10" s="15" t="s">
        <v>70</v>
      </c>
      <c r="X10" s="15"/>
      <c r="Y10" s="15"/>
      <c r="Z10" s="15"/>
      <c r="AA10" s="15"/>
      <c r="AB10" s="15"/>
    </row>
    <row r="11" spans="1:28">
      <c r="A11" s="30" t="s">
        <v>488</v>
      </c>
      <c r="B11" s="30" t="s">
        <v>162</v>
      </c>
      <c r="C11" s="30" t="s">
        <v>489</v>
      </c>
      <c r="D11" s="15" t="s">
        <v>678</v>
      </c>
      <c r="E11" s="15" t="s">
        <v>678</v>
      </c>
      <c r="F11" s="15" t="s">
        <v>105</v>
      </c>
      <c r="G11" s="15">
        <v>3</v>
      </c>
      <c r="H11" s="15">
        <v>4</v>
      </c>
      <c r="I11" s="15" t="s">
        <v>48</v>
      </c>
      <c r="J11" s="15" t="s">
        <v>50</v>
      </c>
      <c r="K11" s="15" t="s">
        <v>54</v>
      </c>
      <c r="L11" s="15" t="s">
        <v>57</v>
      </c>
      <c r="M11" s="15"/>
      <c r="N11" s="15"/>
      <c r="O11" s="15">
        <v>3460</v>
      </c>
      <c r="P11" s="18">
        <v>0.18</v>
      </c>
      <c r="Q11" s="15" t="s">
        <v>64</v>
      </c>
      <c r="R11" s="15" t="s">
        <v>65</v>
      </c>
      <c r="S11" s="15" t="s">
        <v>162</v>
      </c>
      <c r="T11" s="15" t="s">
        <v>686</v>
      </c>
      <c r="U11" s="15" t="s">
        <v>687</v>
      </c>
      <c r="V11" s="15" t="s">
        <v>62</v>
      </c>
      <c r="W11" s="15" t="s">
        <v>70</v>
      </c>
      <c r="X11" s="15"/>
      <c r="Y11" s="15"/>
      <c r="Z11" s="15"/>
      <c r="AA11" s="15"/>
      <c r="AB11" s="15"/>
    </row>
    <row r="12" spans="1:28">
      <c r="A12" s="30" t="s">
        <v>469</v>
      </c>
      <c r="B12" s="30" t="s">
        <v>162</v>
      </c>
      <c r="C12" s="30" t="s">
        <v>470</v>
      </c>
      <c r="D12" s="15" t="s">
        <v>678</v>
      </c>
      <c r="E12" s="15" t="s">
        <v>678</v>
      </c>
      <c r="F12" s="15" t="s">
        <v>105</v>
      </c>
      <c r="G12" s="15">
        <v>3</v>
      </c>
      <c r="H12" s="15">
        <v>4</v>
      </c>
      <c r="I12" s="15" t="s">
        <v>48</v>
      </c>
      <c r="J12" s="15" t="s">
        <v>50</v>
      </c>
      <c r="K12" s="15" t="s">
        <v>54</v>
      </c>
      <c r="L12" s="15" t="s">
        <v>57</v>
      </c>
      <c r="M12" s="15"/>
      <c r="N12" s="15"/>
      <c r="O12" s="15">
        <v>3460</v>
      </c>
      <c r="P12" s="18">
        <v>0.18</v>
      </c>
      <c r="Q12" s="15" t="s">
        <v>64</v>
      </c>
      <c r="R12" s="15" t="s">
        <v>65</v>
      </c>
      <c r="S12" s="15" t="s">
        <v>162</v>
      </c>
      <c r="T12" s="15" t="s">
        <v>688</v>
      </c>
      <c r="U12" s="15" t="s">
        <v>689</v>
      </c>
      <c r="V12" s="15" t="s">
        <v>62</v>
      </c>
      <c r="W12" s="15" t="s">
        <v>70</v>
      </c>
      <c r="X12" s="15"/>
      <c r="Y12" s="15"/>
      <c r="Z12" s="15"/>
      <c r="AA12" s="15"/>
      <c r="AB12" s="15"/>
    </row>
    <row r="13" spans="1:28">
      <c r="A13" s="30" t="s">
        <v>423</v>
      </c>
      <c r="B13" s="30" t="s">
        <v>162</v>
      </c>
      <c r="C13" s="30" t="s">
        <v>424</v>
      </c>
      <c r="D13" s="15" t="s">
        <v>678</v>
      </c>
      <c r="E13" s="15" t="s">
        <v>678</v>
      </c>
      <c r="F13" s="15" t="s">
        <v>105</v>
      </c>
      <c r="G13" s="15">
        <v>3</v>
      </c>
      <c r="H13" s="15">
        <v>4</v>
      </c>
      <c r="I13" s="15" t="s">
        <v>48</v>
      </c>
      <c r="J13" s="15" t="s">
        <v>50</v>
      </c>
      <c r="K13" s="15" t="s">
        <v>54</v>
      </c>
      <c r="L13" s="15" t="s">
        <v>57</v>
      </c>
      <c r="M13" s="15"/>
      <c r="N13" s="15"/>
      <c r="O13" s="15">
        <v>3460</v>
      </c>
      <c r="P13" s="18">
        <v>0.18</v>
      </c>
      <c r="Q13" s="15" t="s">
        <v>64</v>
      </c>
      <c r="R13" s="15" t="s">
        <v>65</v>
      </c>
      <c r="S13" s="15" t="s">
        <v>162</v>
      </c>
      <c r="T13" s="15" t="s">
        <v>691</v>
      </c>
      <c r="U13" s="15" t="s">
        <v>424</v>
      </c>
      <c r="V13" s="15" t="s">
        <v>62</v>
      </c>
      <c r="W13" s="15" t="s">
        <v>70</v>
      </c>
      <c r="X13" s="15"/>
      <c r="Y13" s="15"/>
      <c r="Z13" s="15"/>
      <c r="AA13" s="15"/>
      <c r="AB13" s="15"/>
    </row>
    <row r="14" spans="1:28">
      <c r="A14" s="30" t="s">
        <v>136</v>
      </c>
      <c r="B14" s="30" t="s">
        <v>58</v>
      </c>
      <c r="C14" s="30" t="s">
        <v>138</v>
      </c>
      <c r="D14" s="15" t="s">
        <v>678</v>
      </c>
      <c r="E14" s="15" t="s">
        <v>678</v>
      </c>
      <c r="F14" s="15" t="s">
        <v>105</v>
      </c>
      <c r="G14" s="15">
        <v>5</v>
      </c>
      <c r="H14" s="15">
        <v>4</v>
      </c>
      <c r="I14" s="15" t="s">
        <v>48</v>
      </c>
      <c r="J14" s="15" t="s">
        <v>50</v>
      </c>
      <c r="K14" s="15" t="s">
        <v>54</v>
      </c>
      <c r="L14" s="15" t="s">
        <v>57</v>
      </c>
      <c r="M14" s="15"/>
      <c r="N14" s="15"/>
      <c r="O14" s="15">
        <v>2735</v>
      </c>
      <c r="P14" s="18">
        <v>0.18</v>
      </c>
      <c r="Q14" s="15" t="s">
        <v>64</v>
      </c>
      <c r="R14" s="15" t="s">
        <v>65</v>
      </c>
      <c r="S14" s="15" t="s">
        <v>694</v>
      </c>
      <c r="T14" s="15" t="s">
        <v>699</v>
      </c>
      <c r="U14" s="15" t="s">
        <v>700</v>
      </c>
      <c r="V14" s="15" t="s">
        <v>139</v>
      </c>
      <c r="W14" s="15" t="s">
        <v>70</v>
      </c>
      <c r="X14" s="15"/>
      <c r="Y14" s="15"/>
      <c r="Z14" s="15"/>
      <c r="AA14" s="15"/>
      <c r="AB14" s="15"/>
    </row>
    <row r="15" spans="1:28">
      <c r="A15" s="30" t="s">
        <v>140</v>
      </c>
      <c r="B15" s="30" t="s">
        <v>58</v>
      </c>
      <c r="C15" s="30" t="s">
        <v>138</v>
      </c>
      <c r="D15" s="15" t="s">
        <v>678</v>
      </c>
      <c r="E15" s="15" t="s">
        <v>678</v>
      </c>
      <c r="F15" s="15" t="s">
        <v>105</v>
      </c>
      <c r="G15" s="15">
        <v>5</v>
      </c>
      <c r="H15" s="15">
        <v>4</v>
      </c>
      <c r="I15" s="15" t="s">
        <v>48</v>
      </c>
      <c r="J15" s="15" t="s">
        <v>50</v>
      </c>
      <c r="K15" s="15" t="s">
        <v>54</v>
      </c>
      <c r="L15" s="15" t="s">
        <v>57</v>
      </c>
      <c r="M15" s="15"/>
      <c r="N15" s="15"/>
      <c r="O15" s="15">
        <v>2735</v>
      </c>
      <c r="P15" s="18">
        <v>0.18</v>
      </c>
      <c r="Q15" s="15" t="s">
        <v>64</v>
      </c>
      <c r="R15" s="15" t="s">
        <v>65</v>
      </c>
      <c r="S15" s="15" t="s">
        <v>694</v>
      </c>
      <c r="T15" s="15" t="s">
        <v>699</v>
      </c>
      <c r="U15" s="15" t="s">
        <v>700</v>
      </c>
      <c r="V15" s="15" t="s">
        <v>62</v>
      </c>
      <c r="W15" s="15" t="s">
        <v>70</v>
      </c>
      <c r="X15" s="15"/>
      <c r="Y15" s="15"/>
      <c r="Z15" s="15"/>
      <c r="AA15" s="15"/>
      <c r="AB15" s="15"/>
    </row>
    <row r="16" spans="1:28">
      <c r="A16" s="30" t="s">
        <v>91</v>
      </c>
      <c r="B16" s="30" t="s">
        <v>58</v>
      </c>
      <c r="C16" s="30" t="s">
        <v>93</v>
      </c>
      <c r="D16" s="15" t="s">
        <v>678</v>
      </c>
      <c r="E16" s="15" t="s">
        <v>678</v>
      </c>
      <c r="F16" s="15" t="s">
        <v>105</v>
      </c>
      <c r="G16" s="15">
        <v>5</v>
      </c>
      <c r="H16" s="15">
        <v>4</v>
      </c>
      <c r="I16" s="15" t="s">
        <v>48</v>
      </c>
      <c r="J16" s="15" t="s">
        <v>50</v>
      </c>
      <c r="K16" s="15" t="s">
        <v>54</v>
      </c>
      <c r="L16" s="15" t="s">
        <v>57</v>
      </c>
      <c r="M16" s="15"/>
      <c r="N16" s="15"/>
      <c r="O16" s="15">
        <v>2735</v>
      </c>
      <c r="P16" s="18">
        <v>0.18</v>
      </c>
      <c r="Q16" s="15" t="s">
        <v>64</v>
      </c>
      <c r="R16" s="15" t="s">
        <v>65</v>
      </c>
      <c r="S16" s="15" t="s">
        <v>694</v>
      </c>
      <c r="T16" s="15" t="s">
        <v>701</v>
      </c>
      <c r="U16" s="15" t="s">
        <v>702</v>
      </c>
      <c r="V16" s="15" t="s">
        <v>62</v>
      </c>
      <c r="W16" s="15" t="s">
        <v>70</v>
      </c>
      <c r="X16" s="15"/>
      <c r="Y16" s="15"/>
      <c r="Z16" s="15"/>
      <c r="AA16" s="15"/>
      <c r="AB16" s="15"/>
    </row>
    <row r="17" spans="1:28">
      <c r="A17" s="30" t="s">
        <v>254</v>
      </c>
      <c r="B17" s="30" t="s">
        <v>51</v>
      </c>
      <c r="C17" s="30" t="s">
        <v>55</v>
      </c>
      <c r="D17" s="15" t="s">
        <v>531</v>
      </c>
      <c r="E17" s="15" t="s">
        <v>532</v>
      </c>
      <c r="F17" s="15" t="s">
        <v>105</v>
      </c>
      <c r="G17" s="15">
        <v>7</v>
      </c>
      <c r="H17" s="15">
        <v>4</v>
      </c>
      <c r="I17" s="15" t="s">
        <v>48</v>
      </c>
      <c r="J17" s="15" t="s">
        <v>50</v>
      </c>
      <c r="K17" s="15" t="s">
        <v>182</v>
      </c>
      <c r="L17" s="15" t="s">
        <v>57</v>
      </c>
      <c r="M17" s="15">
        <v>2184</v>
      </c>
      <c r="N17" s="15"/>
      <c r="O17" s="15"/>
      <c r="P17" s="18">
        <v>0.4</v>
      </c>
      <c r="Q17" s="15" t="s">
        <v>184</v>
      </c>
      <c r="R17" s="15" t="s">
        <v>533</v>
      </c>
      <c r="S17" s="15" t="s">
        <v>704</v>
      </c>
      <c r="T17" s="15" t="s">
        <v>705</v>
      </c>
      <c r="U17" s="15" t="s">
        <v>706</v>
      </c>
      <c r="V17" s="15" t="s">
        <v>94</v>
      </c>
      <c r="W17" s="15" t="s">
        <v>70</v>
      </c>
      <c r="X17" s="15"/>
      <c r="Y17" s="15"/>
      <c r="Z17" s="15"/>
      <c r="AA17" s="15"/>
      <c r="AB17" s="15"/>
    </row>
    <row r="18" spans="1:28">
      <c r="A18" s="30" t="s">
        <v>663</v>
      </c>
      <c r="B18" s="30" t="s">
        <v>51</v>
      </c>
      <c r="C18" s="30" t="s">
        <v>55</v>
      </c>
      <c r="D18" s="15" t="s">
        <v>531</v>
      </c>
      <c r="E18" s="15" t="s">
        <v>532</v>
      </c>
      <c r="F18" s="15" t="s">
        <v>105</v>
      </c>
      <c r="G18" s="15">
        <v>7</v>
      </c>
      <c r="H18" s="15">
        <v>4</v>
      </c>
      <c r="I18" s="15" t="s">
        <v>48</v>
      </c>
      <c r="J18" s="15" t="s">
        <v>50</v>
      </c>
      <c r="K18" s="15" t="s">
        <v>182</v>
      </c>
      <c r="L18" s="15" t="s">
        <v>57</v>
      </c>
      <c r="M18" s="15">
        <v>2184</v>
      </c>
      <c r="N18" s="15"/>
      <c r="O18" s="15"/>
      <c r="P18" s="18">
        <v>0.4</v>
      </c>
      <c r="Q18" s="15" t="s">
        <v>184</v>
      </c>
      <c r="R18" s="15" t="s">
        <v>533</v>
      </c>
      <c r="S18" s="15" t="s">
        <v>704</v>
      </c>
      <c r="T18" s="15" t="s">
        <v>705</v>
      </c>
      <c r="U18" s="15" t="s">
        <v>706</v>
      </c>
      <c r="V18" s="15" t="s">
        <v>132</v>
      </c>
      <c r="W18" s="15" t="s">
        <v>70</v>
      </c>
      <c r="X18" s="15"/>
      <c r="Y18" s="15"/>
      <c r="Z18" s="15"/>
      <c r="AA18" s="15"/>
      <c r="AB18" s="15"/>
    </row>
    <row r="19" spans="1:28">
      <c r="A19" s="30" t="s">
        <v>664</v>
      </c>
      <c r="B19" s="30" t="s">
        <v>51</v>
      </c>
      <c r="C19" s="30" t="s">
        <v>55</v>
      </c>
      <c r="D19" s="15" t="s">
        <v>531</v>
      </c>
      <c r="E19" s="15" t="s">
        <v>532</v>
      </c>
      <c r="F19" s="15" t="s">
        <v>105</v>
      </c>
      <c r="G19" s="15">
        <v>7</v>
      </c>
      <c r="H19" s="15">
        <v>4</v>
      </c>
      <c r="I19" s="15" t="s">
        <v>48</v>
      </c>
      <c r="J19" s="15" t="s">
        <v>50</v>
      </c>
      <c r="K19" s="15" t="s">
        <v>182</v>
      </c>
      <c r="L19" s="15" t="s">
        <v>57</v>
      </c>
      <c r="M19" s="15">
        <v>2184</v>
      </c>
      <c r="N19" s="15"/>
      <c r="O19" s="15"/>
      <c r="P19" s="18">
        <v>0.4</v>
      </c>
      <c r="Q19" s="15" t="s">
        <v>184</v>
      </c>
      <c r="R19" s="15" t="s">
        <v>533</v>
      </c>
      <c r="S19" s="15" t="s">
        <v>704</v>
      </c>
      <c r="T19" s="15" t="s">
        <v>705</v>
      </c>
      <c r="U19" s="15" t="s">
        <v>706</v>
      </c>
      <c r="V19" s="15" t="s">
        <v>132</v>
      </c>
      <c r="W19" s="15" t="s">
        <v>70</v>
      </c>
      <c r="X19" s="15"/>
      <c r="Y19" s="15"/>
      <c r="Z19" s="15"/>
      <c r="AA19" s="15"/>
      <c r="AB19" s="15"/>
    </row>
    <row r="20" spans="1:28">
      <c r="A20" s="30" t="s">
        <v>666</v>
      </c>
      <c r="B20" s="30" t="s">
        <v>51</v>
      </c>
      <c r="C20" s="30" t="s">
        <v>55</v>
      </c>
      <c r="D20" s="15" t="s">
        <v>531</v>
      </c>
      <c r="E20" s="15" t="s">
        <v>532</v>
      </c>
      <c r="F20" s="15" t="s">
        <v>105</v>
      </c>
      <c r="G20" s="15">
        <v>7</v>
      </c>
      <c r="H20" s="15">
        <v>4</v>
      </c>
      <c r="I20" s="15" t="s">
        <v>48</v>
      </c>
      <c r="J20" s="15" t="s">
        <v>50</v>
      </c>
      <c r="K20" s="15" t="s">
        <v>182</v>
      </c>
      <c r="L20" s="15" t="s">
        <v>57</v>
      </c>
      <c r="M20" s="15">
        <v>2184</v>
      </c>
      <c r="N20" s="15"/>
      <c r="O20" s="15"/>
      <c r="P20" s="18">
        <v>0.4</v>
      </c>
      <c r="Q20" s="15" t="s">
        <v>184</v>
      </c>
      <c r="R20" s="15" t="s">
        <v>533</v>
      </c>
      <c r="S20" s="15" t="s">
        <v>704</v>
      </c>
      <c r="T20" s="15" t="s">
        <v>705</v>
      </c>
      <c r="U20" s="15" t="s">
        <v>706</v>
      </c>
      <c r="V20" s="15" t="s">
        <v>94</v>
      </c>
      <c r="W20" s="15" t="s">
        <v>70</v>
      </c>
      <c r="X20" s="15"/>
      <c r="Y20" s="15"/>
      <c r="Z20" s="15"/>
      <c r="AA20" s="15"/>
      <c r="AB20" s="15"/>
    </row>
    <row r="21" spans="1:28">
      <c r="A21" s="30" t="s">
        <v>626</v>
      </c>
      <c r="B21" s="30" t="s">
        <v>328</v>
      </c>
      <c r="C21" s="30" t="s">
        <v>627</v>
      </c>
      <c r="D21" s="15" t="s">
        <v>531</v>
      </c>
      <c r="E21" s="15" t="s">
        <v>532</v>
      </c>
      <c r="F21" s="15" t="s">
        <v>105</v>
      </c>
      <c r="G21" s="15">
        <v>7</v>
      </c>
      <c r="H21" s="15">
        <v>4</v>
      </c>
      <c r="I21" s="15" t="s">
        <v>48</v>
      </c>
      <c r="J21" s="15" t="s">
        <v>50</v>
      </c>
      <c r="K21" s="15" t="s">
        <v>182</v>
      </c>
      <c r="L21" s="15" t="s">
        <v>57</v>
      </c>
      <c r="M21" s="15">
        <v>2198</v>
      </c>
      <c r="N21" s="15"/>
      <c r="O21" s="15"/>
      <c r="P21" s="18">
        <v>0.4</v>
      </c>
      <c r="Q21" s="15" t="s">
        <v>184</v>
      </c>
      <c r="R21" s="15" t="s">
        <v>533</v>
      </c>
      <c r="S21" s="15" t="s">
        <v>708</v>
      </c>
      <c r="T21" s="15" t="s">
        <v>709</v>
      </c>
      <c r="U21" s="15" t="s">
        <v>710</v>
      </c>
      <c r="V21" s="15" t="s">
        <v>94</v>
      </c>
      <c r="W21" s="15" t="s">
        <v>70</v>
      </c>
      <c r="X21" s="15"/>
      <c r="Y21" s="15"/>
      <c r="Z21" s="15"/>
      <c r="AA21" s="15"/>
      <c r="AB21" s="15"/>
    </row>
    <row r="22" spans="1:28">
      <c r="A22" s="30" t="s">
        <v>628</v>
      </c>
      <c r="B22" s="30" t="s">
        <v>328</v>
      </c>
      <c r="C22" s="30" t="s">
        <v>627</v>
      </c>
      <c r="D22" s="15" t="s">
        <v>531</v>
      </c>
      <c r="E22" s="15" t="s">
        <v>532</v>
      </c>
      <c r="F22" s="15" t="s">
        <v>105</v>
      </c>
      <c r="G22" s="15">
        <v>7</v>
      </c>
      <c r="H22" s="15">
        <v>4</v>
      </c>
      <c r="I22" s="15" t="s">
        <v>48</v>
      </c>
      <c r="J22" s="15" t="s">
        <v>50</v>
      </c>
      <c r="K22" s="15" t="s">
        <v>182</v>
      </c>
      <c r="L22" s="15" t="s">
        <v>57</v>
      </c>
      <c r="M22" s="15">
        <v>2198</v>
      </c>
      <c r="N22" s="15"/>
      <c r="O22" s="15"/>
      <c r="P22" s="18">
        <v>0.4</v>
      </c>
      <c r="Q22" s="15" t="s">
        <v>184</v>
      </c>
      <c r="R22" s="15" t="s">
        <v>533</v>
      </c>
      <c r="S22" s="15" t="s">
        <v>708</v>
      </c>
      <c r="T22" s="15" t="s">
        <v>709</v>
      </c>
      <c r="U22" s="15" t="s">
        <v>710</v>
      </c>
      <c r="V22" s="15" t="s">
        <v>59</v>
      </c>
      <c r="W22" s="15" t="s">
        <v>70</v>
      </c>
      <c r="X22" s="15"/>
      <c r="Y22" s="15"/>
      <c r="Z22" s="15"/>
      <c r="AA22" s="15"/>
      <c r="AB22" s="15"/>
    </row>
    <row r="23" spans="1:28">
      <c r="A23" s="30" t="s">
        <v>629</v>
      </c>
      <c r="B23" s="30" t="s">
        <v>328</v>
      </c>
      <c r="C23" s="30" t="s">
        <v>627</v>
      </c>
      <c r="D23" s="15" t="s">
        <v>531</v>
      </c>
      <c r="E23" s="15" t="s">
        <v>532</v>
      </c>
      <c r="F23" s="15" t="s">
        <v>105</v>
      </c>
      <c r="G23" s="15">
        <v>7</v>
      </c>
      <c r="H23" s="15">
        <v>4</v>
      </c>
      <c r="I23" s="15" t="s">
        <v>48</v>
      </c>
      <c r="J23" s="15" t="s">
        <v>50</v>
      </c>
      <c r="K23" s="15" t="s">
        <v>182</v>
      </c>
      <c r="L23" s="15" t="s">
        <v>57</v>
      </c>
      <c r="M23" s="15">
        <v>2198</v>
      </c>
      <c r="N23" s="15"/>
      <c r="O23" s="15"/>
      <c r="P23" s="18">
        <v>0.4</v>
      </c>
      <c r="Q23" s="15" t="s">
        <v>184</v>
      </c>
      <c r="R23" s="15" t="s">
        <v>533</v>
      </c>
      <c r="S23" s="15" t="s">
        <v>708</v>
      </c>
      <c r="T23" s="15" t="s">
        <v>709</v>
      </c>
      <c r="U23" s="15" t="s">
        <v>710</v>
      </c>
      <c r="V23" s="15" t="s">
        <v>630</v>
      </c>
      <c r="W23" s="15" t="s">
        <v>70</v>
      </c>
      <c r="X23" s="15"/>
      <c r="Y23" s="15"/>
      <c r="Z23" s="15"/>
      <c r="AA23" s="15"/>
      <c r="AB23" s="15"/>
    </row>
    <row r="24" spans="1:28">
      <c r="A24" s="30" t="s">
        <v>721</v>
      </c>
      <c r="B24" s="30" t="s">
        <v>593</v>
      </c>
      <c r="C24" s="30" t="s">
        <v>720</v>
      </c>
      <c r="D24" s="15" t="s">
        <v>531</v>
      </c>
      <c r="E24" s="15" t="s">
        <v>532</v>
      </c>
      <c r="F24" s="15" t="s">
        <v>644</v>
      </c>
      <c r="G24" s="15">
        <v>4</v>
      </c>
      <c r="H24" s="15">
        <v>4</v>
      </c>
      <c r="I24" s="15" t="s">
        <v>48</v>
      </c>
      <c r="J24" s="15" t="s">
        <v>697</v>
      </c>
      <c r="K24" s="15" t="s">
        <v>182</v>
      </c>
      <c r="L24" s="15" t="s">
        <v>57</v>
      </c>
      <c r="M24" s="15">
        <v>1997</v>
      </c>
      <c r="N24" s="15"/>
      <c r="O24" s="15"/>
      <c r="P24" s="18">
        <v>0.4</v>
      </c>
      <c r="Q24" s="15" t="s">
        <v>184</v>
      </c>
      <c r="R24" s="15" t="s">
        <v>533</v>
      </c>
      <c r="S24" s="15" t="s">
        <v>764</v>
      </c>
      <c r="T24" s="15" t="s">
        <v>720</v>
      </c>
      <c r="U24" s="15" t="s">
        <v>802</v>
      </c>
      <c r="V24" s="15" t="s">
        <v>562</v>
      </c>
      <c r="W24" s="15" t="s">
        <v>70</v>
      </c>
      <c r="X24" s="15"/>
      <c r="Y24" s="15"/>
      <c r="Z24" s="15"/>
      <c r="AA24" s="15"/>
      <c r="AB24" s="15"/>
    </row>
    <row r="25" spans="1:28">
      <c r="A25" s="30" t="s">
        <v>722</v>
      </c>
      <c r="B25" s="30" t="s">
        <v>593</v>
      </c>
      <c r="C25" s="30" t="s">
        <v>720</v>
      </c>
      <c r="D25" s="15" t="s">
        <v>531</v>
      </c>
      <c r="E25" s="15" t="s">
        <v>532</v>
      </c>
      <c r="F25" s="15" t="s">
        <v>644</v>
      </c>
      <c r="G25" s="15">
        <v>4</v>
      </c>
      <c r="H25" s="15">
        <v>4</v>
      </c>
      <c r="I25" s="15" t="s">
        <v>48</v>
      </c>
      <c r="J25" s="15" t="s">
        <v>697</v>
      </c>
      <c r="K25" s="15" t="s">
        <v>182</v>
      </c>
      <c r="L25" s="15" t="s">
        <v>57</v>
      </c>
      <c r="M25" s="15">
        <v>1997</v>
      </c>
      <c r="N25" s="15"/>
      <c r="O25" s="15"/>
      <c r="P25" s="18">
        <v>0.4</v>
      </c>
      <c r="Q25" s="15" t="s">
        <v>184</v>
      </c>
      <c r="R25" s="15" t="s">
        <v>533</v>
      </c>
      <c r="S25" s="15" t="s">
        <v>764</v>
      </c>
      <c r="T25" s="15" t="s">
        <v>720</v>
      </c>
      <c r="U25" s="15" t="s">
        <v>802</v>
      </c>
      <c r="V25" s="15" t="s">
        <v>80</v>
      </c>
      <c r="W25" s="15" t="s">
        <v>70</v>
      </c>
      <c r="X25" s="15"/>
      <c r="Y25" s="15"/>
      <c r="Z25" s="15"/>
      <c r="AA25" s="15"/>
      <c r="AB25" s="15"/>
    </row>
    <row r="26" spans="1:28">
      <c r="A26" s="30" t="s">
        <v>723</v>
      </c>
      <c r="B26" s="30" t="s">
        <v>593</v>
      </c>
      <c r="C26" s="30" t="s">
        <v>720</v>
      </c>
      <c r="D26" s="15" t="s">
        <v>531</v>
      </c>
      <c r="E26" s="15" t="s">
        <v>532</v>
      </c>
      <c r="F26" s="15" t="s">
        <v>644</v>
      </c>
      <c r="G26" s="15">
        <v>4</v>
      </c>
      <c r="H26" s="15">
        <v>4</v>
      </c>
      <c r="I26" s="15" t="s">
        <v>48</v>
      </c>
      <c r="J26" s="15" t="s">
        <v>697</v>
      </c>
      <c r="K26" s="15" t="s">
        <v>182</v>
      </c>
      <c r="L26" s="15" t="s">
        <v>57</v>
      </c>
      <c r="M26" s="15">
        <v>1997</v>
      </c>
      <c r="N26" s="15"/>
      <c r="O26" s="15"/>
      <c r="P26" s="18">
        <v>0.4</v>
      </c>
      <c r="Q26" s="15" t="s">
        <v>184</v>
      </c>
      <c r="R26" s="15" t="s">
        <v>533</v>
      </c>
      <c r="S26" s="15" t="s">
        <v>764</v>
      </c>
      <c r="T26" s="15" t="s">
        <v>720</v>
      </c>
      <c r="U26" s="15" t="s">
        <v>802</v>
      </c>
      <c r="V26" s="15" t="s">
        <v>94</v>
      </c>
      <c r="W26" s="15" t="s">
        <v>70</v>
      </c>
      <c r="X26" s="15"/>
      <c r="Y26" s="15"/>
      <c r="Z26" s="15"/>
      <c r="AA26" s="15"/>
      <c r="AB26" s="15"/>
    </row>
    <row r="27" spans="1:28">
      <c r="A27" s="30" t="s">
        <v>724</v>
      </c>
      <c r="B27" s="30" t="s">
        <v>593</v>
      </c>
      <c r="C27" s="30" t="s">
        <v>720</v>
      </c>
      <c r="D27" s="15" t="s">
        <v>531</v>
      </c>
      <c r="E27" s="15" t="s">
        <v>532</v>
      </c>
      <c r="F27" s="15" t="s">
        <v>644</v>
      </c>
      <c r="G27" s="15">
        <v>4</v>
      </c>
      <c r="H27" s="15">
        <v>4</v>
      </c>
      <c r="I27" s="15" t="s">
        <v>48</v>
      </c>
      <c r="J27" s="15" t="s">
        <v>697</v>
      </c>
      <c r="K27" s="15" t="s">
        <v>182</v>
      </c>
      <c r="L27" s="15" t="s">
        <v>57</v>
      </c>
      <c r="M27" s="15">
        <v>1997</v>
      </c>
      <c r="N27" s="15"/>
      <c r="O27" s="15"/>
      <c r="P27" s="18">
        <v>0.4</v>
      </c>
      <c r="Q27" s="15" t="s">
        <v>184</v>
      </c>
      <c r="R27" s="15" t="s">
        <v>533</v>
      </c>
      <c r="S27" s="15" t="s">
        <v>764</v>
      </c>
      <c r="T27" s="15" t="s">
        <v>720</v>
      </c>
      <c r="U27" s="15" t="s">
        <v>802</v>
      </c>
      <c r="V27" s="15" t="s">
        <v>59</v>
      </c>
      <c r="W27" s="15" t="s">
        <v>70</v>
      </c>
      <c r="X27" s="15"/>
      <c r="Y27" s="15"/>
      <c r="Z27" s="15"/>
      <c r="AA27" s="15"/>
      <c r="AB27" s="15"/>
    </row>
    <row r="28" spans="1:28">
      <c r="A28" s="30" t="s">
        <v>804</v>
      </c>
      <c r="B28" s="30" t="s">
        <v>77</v>
      </c>
      <c r="C28" s="30" t="s">
        <v>805</v>
      </c>
      <c r="D28" s="15" t="s">
        <v>531</v>
      </c>
      <c r="E28" s="15" t="s">
        <v>532</v>
      </c>
      <c r="F28" s="15" t="s">
        <v>105</v>
      </c>
      <c r="G28" s="15">
        <v>5</v>
      </c>
      <c r="H28" s="15">
        <v>4</v>
      </c>
      <c r="I28" s="15" t="s">
        <v>48</v>
      </c>
      <c r="J28" s="15" t="s">
        <v>50</v>
      </c>
      <c r="K28" s="15" t="s">
        <v>182</v>
      </c>
      <c r="L28" s="15" t="s">
        <v>57</v>
      </c>
      <c r="M28" s="15">
        <v>2184</v>
      </c>
      <c r="N28" s="15"/>
      <c r="O28" s="15"/>
      <c r="P28" s="18">
        <v>0.4</v>
      </c>
      <c r="Q28" s="15" t="s">
        <v>184</v>
      </c>
      <c r="R28" s="15" t="s">
        <v>533</v>
      </c>
      <c r="S28" s="15" t="s">
        <v>806</v>
      </c>
      <c r="T28" s="15" t="s">
        <v>805</v>
      </c>
      <c r="U28" s="15" t="s">
        <v>807</v>
      </c>
      <c r="V28" s="15" t="s">
        <v>239</v>
      </c>
      <c r="W28" s="15" t="s">
        <v>70</v>
      </c>
      <c r="X28" s="15"/>
      <c r="Y28" s="15"/>
      <c r="Z28" s="15"/>
      <c r="AA28" s="15"/>
      <c r="AB28" s="15"/>
    </row>
    <row r="29" spans="1:28">
      <c r="A29" s="30" t="s">
        <v>808</v>
      </c>
      <c r="B29" s="30" t="s">
        <v>77</v>
      </c>
      <c r="C29" s="30" t="s">
        <v>805</v>
      </c>
      <c r="D29" s="15" t="s">
        <v>531</v>
      </c>
      <c r="E29" s="15" t="s">
        <v>532</v>
      </c>
      <c r="F29" s="15" t="s">
        <v>105</v>
      </c>
      <c r="G29" s="15">
        <v>5</v>
      </c>
      <c r="H29" s="15">
        <v>4</v>
      </c>
      <c r="I29" s="15" t="s">
        <v>48</v>
      </c>
      <c r="J29" s="15" t="s">
        <v>50</v>
      </c>
      <c r="K29" s="15" t="s">
        <v>182</v>
      </c>
      <c r="L29" s="15" t="s">
        <v>57</v>
      </c>
      <c r="M29" s="15">
        <v>2184</v>
      </c>
      <c r="N29" s="15"/>
      <c r="O29" s="15"/>
      <c r="P29" s="18">
        <v>0.4</v>
      </c>
      <c r="Q29" s="15" t="s">
        <v>184</v>
      </c>
      <c r="R29" s="15" t="s">
        <v>533</v>
      </c>
      <c r="S29" s="15" t="s">
        <v>806</v>
      </c>
      <c r="T29" s="15" t="s">
        <v>805</v>
      </c>
      <c r="U29" s="15" t="s">
        <v>807</v>
      </c>
      <c r="V29" s="15" t="s">
        <v>563</v>
      </c>
      <c r="W29" s="15" t="s">
        <v>70</v>
      </c>
      <c r="X29" s="15"/>
      <c r="Y29" s="15"/>
      <c r="Z29" s="15"/>
      <c r="AA29" s="15"/>
      <c r="AB29" s="15"/>
    </row>
    <row r="30" spans="1:28">
      <c r="A30" s="30" t="s">
        <v>844</v>
      </c>
      <c r="B30" s="30" t="s">
        <v>841</v>
      </c>
      <c r="C30" s="30" t="s">
        <v>845</v>
      </c>
      <c r="D30" s="15" t="s">
        <v>41</v>
      </c>
      <c r="E30" s="15" t="s">
        <v>41</v>
      </c>
      <c r="F30" s="15" t="s">
        <v>180</v>
      </c>
      <c r="G30" s="15">
        <v>4</v>
      </c>
      <c r="H30" s="15">
        <v>3</v>
      </c>
      <c r="I30" s="15" t="s">
        <v>181</v>
      </c>
      <c r="J30" s="15" t="s">
        <v>50</v>
      </c>
      <c r="K30" s="15" t="s">
        <v>143</v>
      </c>
      <c r="L30" s="15" t="s">
        <v>57</v>
      </c>
      <c r="M30" s="15"/>
      <c r="N30" s="15"/>
      <c r="O30" s="15"/>
      <c r="P30" s="18">
        <v>0.05</v>
      </c>
      <c r="Q30" s="15" t="s">
        <v>143</v>
      </c>
      <c r="R30" s="15" t="s">
        <v>65</v>
      </c>
      <c r="S30" s="15" t="s">
        <v>841</v>
      </c>
      <c r="T30" s="15" t="s">
        <v>842</v>
      </c>
      <c r="U30" s="15" t="s">
        <v>843</v>
      </c>
      <c r="V30" s="15" t="s">
        <v>617</v>
      </c>
      <c r="W30" s="15" t="s">
        <v>70</v>
      </c>
      <c r="X30" s="15"/>
      <c r="Y30" s="15"/>
      <c r="Z30" s="15"/>
      <c r="AA30" s="15"/>
      <c r="AB30" s="15"/>
    </row>
    <row r="31" spans="1:28">
      <c r="A31" s="30" t="s">
        <v>846</v>
      </c>
      <c r="B31" s="30" t="s">
        <v>841</v>
      </c>
      <c r="C31" s="30" t="s">
        <v>847</v>
      </c>
      <c r="D31" s="15" t="s">
        <v>41</v>
      </c>
      <c r="E31" s="15" t="s">
        <v>41</v>
      </c>
      <c r="F31" s="15" t="s">
        <v>180</v>
      </c>
      <c r="G31" s="15">
        <v>4</v>
      </c>
      <c r="H31" s="15">
        <v>3</v>
      </c>
      <c r="I31" s="15" t="s">
        <v>181</v>
      </c>
      <c r="J31" s="15" t="s">
        <v>50</v>
      </c>
      <c r="K31" s="15" t="s">
        <v>143</v>
      </c>
      <c r="L31" s="15" t="s">
        <v>57</v>
      </c>
      <c r="M31" s="15"/>
      <c r="N31" s="15"/>
      <c r="O31" s="15"/>
      <c r="P31" s="18">
        <v>0.05</v>
      </c>
      <c r="Q31" s="15" t="s">
        <v>143</v>
      </c>
      <c r="R31" s="15" t="s">
        <v>65</v>
      </c>
      <c r="S31" s="15" t="s">
        <v>841</v>
      </c>
      <c r="T31" s="15" t="s">
        <v>842</v>
      </c>
      <c r="U31" s="15" t="s">
        <v>843</v>
      </c>
      <c r="V31" s="15" t="s">
        <v>848</v>
      </c>
      <c r="W31" s="15" t="s">
        <v>70</v>
      </c>
      <c r="X31" s="15"/>
      <c r="Y31" s="15"/>
      <c r="Z31" s="15"/>
      <c r="AA31" s="15"/>
      <c r="AB31" s="15"/>
    </row>
    <row r="32" spans="1:28">
      <c r="A32" s="30" t="s">
        <v>860</v>
      </c>
      <c r="B32" s="30" t="s">
        <v>857</v>
      </c>
      <c r="C32" s="30" t="s">
        <v>861</v>
      </c>
      <c r="D32" s="15" t="s">
        <v>41</v>
      </c>
      <c r="E32" s="15" t="s">
        <v>41</v>
      </c>
      <c r="F32" s="15" t="s">
        <v>180</v>
      </c>
      <c r="G32" s="15">
        <v>4</v>
      </c>
      <c r="H32" s="15">
        <v>3</v>
      </c>
      <c r="I32" s="15" t="s">
        <v>181</v>
      </c>
      <c r="J32" s="15" t="s">
        <v>50</v>
      </c>
      <c r="K32" s="15" t="s">
        <v>143</v>
      </c>
      <c r="L32" s="15" t="s">
        <v>57</v>
      </c>
      <c r="M32" s="15"/>
      <c r="N32" s="15"/>
      <c r="O32" s="15"/>
      <c r="P32" s="18">
        <v>0.05</v>
      </c>
      <c r="Q32" s="15" t="s">
        <v>143</v>
      </c>
      <c r="R32" s="15" t="s">
        <v>65</v>
      </c>
      <c r="S32" s="15" t="s">
        <v>858</v>
      </c>
      <c r="T32" s="15" t="s">
        <v>855</v>
      </c>
      <c r="U32" s="15" t="s">
        <v>859</v>
      </c>
      <c r="V32" s="15" t="s">
        <v>145</v>
      </c>
      <c r="W32" s="15" t="s">
        <v>70</v>
      </c>
      <c r="X32" s="15"/>
      <c r="Y32" s="15"/>
      <c r="Z32" s="15"/>
      <c r="AA32" s="15"/>
      <c r="AB32" s="15"/>
    </row>
    <row r="33" spans="1:28">
      <c r="A33" s="30" t="s">
        <v>860</v>
      </c>
      <c r="B33" s="30" t="s">
        <v>857</v>
      </c>
      <c r="C33" s="30" t="s">
        <v>861</v>
      </c>
      <c r="D33" s="15" t="s">
        <v>41</v>
      </c>
      <c r="E33" s="15" t="s">
        <v>41</v>
      </c>
      <c r="F33" s="15" t="s">
        <v>180</v>
      </c>
      <c r="G33" s="15">
        <v>4</v>
      </c>
      <c r="H33" s="15">
        <v>3</v>
      </c>
      <c r="I33" s="15" t="s">
        <v>181</v>
      </c>
      <c r="J33" s="15" t="s">
        <v>50</v>
      </c>
      <c r="K33" s="15" t="s">
        <v>143</v>
      </c>
      <c r="L33" s="15" t="s">
        <v>57</v>
      </c>
      <c r="M33" s="15"/>
      <c r="N33" s="15"/>
      <c r="O33" s="15"/>
      <c r="P33" s="18">
        <v>0.05</v>
      </c>
      <c r="Q33" s="15" t="s">
        <v>143</v>
      </c>
      <c r="R33" s="15" t="s">
        <v>65</v>
      </c>
      <c r="S33" s="15" t="s">
        <v>858</v>
      </c>
      <c r="T33" s="15" t="s">
        <v>855</v>
      </c>
      <c r="U33" s="15" t="s">
        <v>859</v>
      </c>
      <c r="V33" s="15" t="s">
        <v>145</v>
      </c>
      <c r="W33" s="15" t="s">
        <v>70</v>
      </c>
      <c r="X33" s="15"/>
      <c r="Y33" s="15"/>
      <c r="Z33" s="15"/>
      <c r="AA33" s="15"/>
      <c r="AB33" s="15"/>
    </row>
    <row r="34" spans="1:28">
      <c r="A34" s="30" t="s">
        <v>863</v>
      </c>
      <c r="B34" s="30" t="s">
        <v>857</v>
      </c>
      <c r="C34" s="30" t="s">
        <v>864</v>
      </c>
      <c r="D34" s="15" t="s">
        <v>41</v>
      </c>
      <c r="E34" s="15" t="s">
        <v>41</v>
      </c>
      <c r="F34" s="15" t="s">
        <v>180</v>
      </c>
      <c r="G34" s="15">
        <v>4</v>
      </c>
      <c r="H34" s="15">
        <v>3</v>
      </c>
      <c r="I34" s="15" t="s">
        <v>181</v>
      </c>
      <c r="J34" s="15" t="s">
        <v>50</v>
      </c>
      <c r="K34" s="15" t="s">
        <v>143</v>
      </c>
      <c r="L34" s="15" t="s">
        <v>57</v>
      </c>
      <c r="M34" s="15"/>
      <c r="N34" s="15"/>
      <c r="O34" s="15"/>
      <c r="P34" s="18">
        <v>0.05</v>
      </c>
      <c r="Q34" s="15" t="s">
        <v>143</v>
      </c>
      <c r="R34" s="15" t="s">
        <v>65</v>
      </c>
      <c r="S34" s="15" t="s">
        <v>858</v>
      </c>
      <c r="T34" s="15" t="s">
        <v>855</v>
      </c>
      <c r="U34" s="15" t="s">
        <v>859</v>
      </c>
      <c r="V34" s="15" t="s">
        <v>617</v>
      </c>
      <c r="W34" s="15" t="s">
        <v>70</v>
      </c>
      <c r="X34" s="15"/>
      <c r="Y34" s="15"/>
      <c r="Z34" s="15"/>
      <c r="AA34" s="15"/>
      <c r="AB34" s="15"/>
    </row>
    <row r="35" spans="1:28">
      <c r="A35" s="30" t="s">
        <v>863</v>
      </c>
      <c r="B35" s="30" t="s">
        <v>857</v>
      </c>
      <c r="C35" s="30" t="s">
        <v>864</v>
      </c>
      <c r="D35" s="15" t="s">
        <v>41</v>
      </c>
      <c r="E35" s="15" t="s">
        <v>41</v>
      </c>
      <c r="F35" s="15" t="s">
        <v>180</v>
      </c>
      <c r="G35" s="15">
        <v>4</v>
      </c>
      <c r="H35" s="15">
        <v>3</v>
      </c>
      <c r="I35" s="15" t="s">
        <v>181</v>
      </c>
      <c r="J35" s="15" t="s">
        <v>50</v>
      </c>
      <c r="K35" s="15" t="s">
        <v>143</v>
      </c>
      <c r="L35" s="15" t="s">
        <v>57</v>
      </c>
      <c r="M35" s="15"/>
      <c r="N35" s="15"/>
      <c r="O35" s="15"/>
      <c r="P35" s="18">
        <v>0.05</v>
      </c>
      <c r="Q35" s="15" t="s">
        <v>143</v>
      </c>
      <c r="R35" s="15" t="s">
        <v>65</v>
      </c>
      <c r="S35" s="15" t="s">
        <v>858</v>
      </c>
      <c r="T35" s="15" t="s">
        <v>855</v>
      </c>
      <c r="U35" s="15" t="s">
        <v>859</v>
      </c>
      <c r="V35" s="15" t="s">
        <v>617</v>
      </c>
      <c r="W35" s="15" t="s">
        <v>70</v>
      </c>
      <c r="X35" s="15"/>
      <c r="Y35" s="15"/>
      <c r="Z35" s="15"/>
      <c r="AA35" s="15"/>
      <c r="AB35" s="15"/>
    </row>
    <row r="36" spans="1:28">
      <c r="A36" s="30" t="s">
        <v>868</v>
      </c>
      <c r="B36" s="30" t="s">
        <v>857</v>
      </c>
      <c r="C36" s="30" t="s">
        <v>869</v>
      </c>
      <c r="D36" s="15" t="s">
        <v>41</v>
      </c>
      <c r="E36" s="15" t="s">
        <v>41</v>
      </c>
      <c r="F36" s="15" t="s">
        <v>180</v>
      </c>
      <c r="G36" s="15">
        <v>4</v>
      </c>
      <c r="H36" s="15">
        <v>3</v>
      </c>
      <c r="I36" s="15" t="s">
        <v>181</v>
      </c>
      <c r="J36" s="15" t="s">
        <v>50</v>
      </c>
      <c r="K36" s="15" t="s">
        <v>143</v>
      </c>
      <c r="L36" s="15" t="s">
        <v>57</v>
      </c>
      <c r="M36" s="15"/>
      <c r="N36" s="15"/>
      <c r="O36" s="15"/>
      <c r="P36" s="18">
        <v>0.05</v>
      </c>
      <c r="Q36" s="15" t="s">
        <v>143</v>
      </c>
      <c r="R36" s="15" t="s">
        <v>65</v>
      </c>
      <c r="S36" s="15" t="s">
        <v>858</v>
      </c>
      <c r="T36" s="15" t="s">
        <v>855</v>
      </c>
      <c r="U36" s="15" t="s">
        <v>859</v>
      </c>
      <c r="V36" s="15" t="s">
        <v>110</v>
      </c>
      <c r="W36" s="15" t="s">
        <v>70</v>
      </c>
      <c r="X36" s="15"/>
      <c r="Y36" s="15"/>
      <c r="Z36" s="15"/>
      <c r="AA36" s="15"/>
      <c r="AB36" s="15"/>
    </row>
    <row r="37" spans="1:28">
      <c r="A37" s="30" t="s">
        <v>868</v>
      </c>
      <c r="B37" s="30" t="s">
        <v>857</v>
      </c>
      <c r="C37" s="30" t="s">
        <v>869</v>
      </c>
      <c r="D37" s="15" t="s">
        <v>41</v>
      </c>
      <c r="E37" s="15" t="s">
        <v>41</v>
      </c>
      <c r="F37" s="15" t="s">
        <v>180</v>
      </c>
      <c r="G37" s="15">
        <v>4</v>
      </c>
      <c r="H37" s="15">
        <v>3</v>
      </c>
      <c r="I37" s="15" t="s">
        <v>181</v>
      </c>
      <c r="J37" s="15" t="s">
        <v>50</v>
      </c>
      <c r="K37" s="15" t="s">
        <v>143</v>
      </c>
      <c r="L37" s="15" t="s">
        <v>57</v>
      </c>
      <c r="M37" s="15"/>
      <c r="N37" s="15"/>
      <c r="O37" s="15"/>
      <c r="P37" s="18">
        <v>0.05</v>
      </c>
      <c r="Q37" s="15" t="s">
        <v>143</v>
      </c>
      <c r="R37" s="15" t="s">
        <v>65</v>
      </c>
      <c r="S37" s="15" t="s">
        <v>858</v>
      </c>
      <c r="T37" s="15" t="s">
        <v>855</v>
      </c>
      <c r="U37" s="15" t="s">
        <v>859</v>
      </c>
      <c r="V37" s="15" t="s">
        <v>110</v>
      </c>
      <c r="W37" s="15" t="s">
        <v>70</v>
      </c>
      <c r="X37" s="15"/>
      <c r="Y37" s="15"/>
      <c r="Z37" s="15"/>
      <c r="AA37" s="15"/>
      <c r="AB37" s="15"/>
    </row>
    <row r="38" spans="1:28">
      <c r="A38" s="30" t="s">
        <v>871</v>
      </c>
      <c r="B38" s="30" t="s">
        <v>857</v>
      </c>
      <c r="C38" s="30" t="s">
        <v>872</v>
      </c>
      <c r="D38" s="15" t="s">
        <v>41</v>
      </c>
      <c r="E38" s="15" t="s">
        <v>41</v>
      </c>
      <c r="F38" s="15" t="s">
        <v>180</v>
      </c>
      <c r="G38" s="15">
        <v>4</v>
      </c>
      <c r="H38" s="15">
        <v>3</v>
      </c>
      <c r="I38" s="15" t="s">
        <v>181</v>
      </c>
      <c r="J38" s="15" t="s">
        <v>50</v>
      </c>
      <c r="K38" s="15" t="s">
        <v>143</v>
      </c>
      <c r="L38" s="15" t="s">
        <v>57</v>
      </c>
      <c r="M38" s="15"/>
      <c r="N38" s="15"/>
      <c r="O38" s="15"/>
      <c r="P38" s="18">
        <v>0.05</v>
      </c>
      <c r="Q38" s="15" t="s">
        <v>143</v>
      </c>
      <c r="R38" s="15" t="s">
        <v>65</v>
      </c>
      <c r="S38" s="15" t="s">
        <v>858</v>
      </c>
      <c r="T38" s="15" t="s">
        <v>873</v>
      </c>
      <c r="U38" s="15" t="s">
        <v>874</v>
      </c>
      <c r="V38" s="15" t="s">
        <v>852</v>
      </c>
      <c r="W38" s="15" t="s">
        <v>647</v>
      </c>
      <c r="X38" s="15"/>
      <c r="Y38" s="15"/>
      <c r="Z38" s="15"/>
      <c r="AA38" s="15"/>
      <c r="AB38" s="15"/>
    </row>
    <row r="39" spans="1:28">
      <c r="A39" s="30" t="s">
        <v>875</v>
      </c>
      <c r="B39" s="30" t="s">
        <v>876</v>
      </c>
      <c r="C39" s="30" t="s">
        <v>877</v>
      </c>
      <c r="D39" s="15" t="s">
        <v>41</v>
      </c>
      <c r="E39" s="15" t="s">
        <v>41</v>
      </c>
      <c r="F39" s="15" t="s">
        <v>180</v>
      </c>
      <c r="G39" s="15">
        <v>4</v>
      </c>
      <c r="H39" s="15">
        <v>3</v>
      </c>
      <c r="I39" s="15" t="s">
        <v>181</v>
      </c>
      <c r="J39" s="15" t="s">
        <v>50</v>
      </c>
      <c r="K39" s="15" t="s">
        <v>143</v>
      </c>
      <c r="L39" s="15" t="s">
        <v>57</v>
      </c>
      <c r="M39" s="15"/>
      <c r="N39" s="15"/>
      <c r="O39" s="15"/>
      <c r="P39" s="18">
        <v>0.05</v>
      </c>
      <c r="Q39" s="15" t="s">
        <v>143</v>
      </c>
      <c r="R39" s="15" t="s">
        <v>65</v>
      </c>
      <c r="S39" s="15" t="s">
        <v>878</v>
      </c>
      <c r="T39" s="15" t="s">
        <v>851</v>
      </c>
      <c r="U39" s="15" t="s">
        <v>879</v>
      </c>
      <c r="V39" s="15" t="s">
        <v>852</v>
      </c>
      <c r="W39" s="15" t="s">
        <v>70</v>
      </c>
      <c r="X39" s="15"/>
      <c r="Y39" s="15"/>
      <c r="Z39" s="15"/>
      <c r="AA39" s="15"/>
      <c r="AB39" s="15"/>
    </row>
    <row r="40" spans="1:28">
      <c r="A40" s="30" t="s">
        <v>875</v>
      </c>
      <c r="B40" s="30" t="s">
        <v>876</v>
      </c>
      <c r="C40" s="30" t="s">
        <v>877</v>
      </c>
      <c r="D40" s="15" t="s">
        <v>41</v>
      </c>
      <c r="E40" s="15" t="s">
        <v>41</v>
      </c>
      <c r="F40" s="15" t="s">
        <v>180</v>
      </c>
      <c r="G40" s="15">
        <v>4</v>
      </c>
      <c r="H40" s="15">
        <v>3</v>
      </c>
      <c r="I40" s="15" t="s">
        <v>181</v>
      </c>
      <c r="J40" s="15" t="s">
        <v>50</v>
      </c>
      <c r="K40" s="15" t="s">
        <v>143</v>
      </c>
      <c r="L40" s="15" t="s">
        <v>57</v>
      </c>
      <c r="M40" s="15"/>
      <c r="N40" s="15"/>
      <c r="O40" s="15"/>
      <c r="P40" s="18">
        <v>0.05</v>
      </c>
      <c r="Q40" s="15" t="s">
        <v>143</v>
      </c>
      <c r="R40" s="15" t="s">
        <v>65</v>
      </c>
      <c r="S40" s="15" t="s">
        <v>878</v>
      </c>
      <c r="T40" s="15" t="s">
        <v>851</v>
      </c>
      <c r="U40" s="15" t="s">
        <v>879</v>
      </c>
      <c r="V40" s="15" t="s">
        <v>852</v>
      </c>
      <c r="W40" s="15" t="s">
        <v>70</v>
      </c>
      <c r="X40" s="15"/>
      <c r="Y40" s="15"/>
      <c r="Z40" s="15"/>
      <c r="AA40" s="15"/>
      <c r="AB40" s="15"/>
    </row>
    <row r="41" spans="1:28">
      <c r="A41" s="30" t="s">
        <v>880</v>
      </c>
      <c r="B41" s="30" t="s">
        <v>876</v>
      </c>
      <c r="C41" s="30" t="s">
        <v>881</v>
      </c>
      <c r="D41" s="15" t="s">
        <v>41</v>
      </c>
      <c r="E41" s="15" t="s">
        <v>41</v>
      </c>
      <c r="F41" s="15" t="s">
        <v>180</v>
      </c>
      <c r="G41" s="15">
        <v>4</v>
      </c>
      <c r="H41" s="15">
        <v>3</v>
      </c>
      <c r="I41" s="15" t="s">
        <v>181</v>
      </c>
      <c r="J41" s="15" t="s">
        <v>50</v>
      </c>
      <c r="K41" s="15" t="s">
        <v>143</v>
      </c>
      <c r="L41" s="15" t="s">
        <v>57</v>
      </c>
      <c r="M41" s="15"/>
      <c r="N41" s="15"/>
      <c r="O41" s="15"/>
      <c r="P41" s="18">
        <v>0.05</v>
      </c>
      <c r="Q41" s="15" t="s">
        <v>143</v>
      </c>
      <c r="R41" s="15" t="s">
        <v>65</v>
      </c>
      <c r="S41" s="15" t="s">
        <v>878</v>
      </c>
      <c r="T41" s="15" t="s">
        <v>855</v>
      </c>
      <c r="U41" s="15" t="s">
        <v>882</v>
      </c>
      <c r="V41" s="15" t="s">
        <v>852</v>
      </c>
      <c r="W41" s="15" t="s">
        <v>70</v>
      </c>
      <c r="X41" s="15"/>
      <c r="Y41" s="15"/>
      <c r="Z41" s="15"/>
      <c r="AA41" s="15"/>
      <c r="AB41" s="15"/>
    </row>
    <row r="42" spans="1:28">
      <c r="A42" s="30" t="s">
        <v>880</v>
      </c>
      <c r="B42" s="30" t="s">
        <v>876</v>
      </c>
      <c r="C42" s="30" t="s">
        <v>881</v>
      </c>
      <c r="D42" s="15" t="s">
        <v>41</v>
      </c>
      <c r="E42" s="15" t="s">
        <v>41</v>
      </c>
      <c r="F42" s="15" t="s">
        <v>180</v>
      </c>
      <c r="G42" s="15">
        <v>4</v>
      </c>
      <c r="H42" s="15">
        <v>3</v>
      </c>
      <c r="I42" s="15" t="s">
        <v>181</v>
      </c>
      <c r="J42" s="15" t="s">
        <v>50</v>
      </c>
      <c r="K42" s="15" t="s">
        <v>143</v>
      </c>
      <c r="L42" s="15" t="s">
        <v>57</v>
      </c>
      <c r="M42" s="15"/>
      <c r="N42" s="15"/>
      <c r="O42" s="15"/>
      <c r="P42" s="18">
        <v>0.05</v>
      </c>
      <c r="Q42" s="15" t="s">
        <v>143</v>
      </c>
      <c r="R42" s="15" t="s">
        <v>65</v>
      </c>
      <c r="S42" s="15" t="s">
        <v>878</v>
      </c>
      <c r="T42" s="15" t="s">
        <v>855</v>
      </c>
      <c r="U42" s="15" t="s">
        <v>882</v>
      </c>
      <c r="V42" s="15" t="s">
        <v>852</v>
      </c>
      <c r="W42" s="15" t="s">
        <v>70</v>
      </c>
      <c r="X42" s="15"/>
      <c r="Y42" s="15"/>
      <c r="Z42" s="15"/>
      <c r="AA42" s="15"/>
      <c r="AB42" s="15"/>
    </row>
    <row r="43" spans="1:28">
      <c r="A43" s="30" t="s">
        <v>883</v>
      </c>
      <c r="B43" s="30" t="s">
        <v>876</v>
      </c>
      <c r="C43" s="30" t="s">
        <v>881</v>
      </c>
      <c r="D43" s="15" t="s">
        <v>41</v>
      </c>
      <c r="E43" s="15" t="s">
        <v>41</v>
      </c>
      <c r="F43" s="15" t="s">
        <v>180</v>
      </c>
      <c r="G43" s="15">
        <v>4</v>
      </c>
      <c r="H43" s="15">
        <v>3</v>
      </c>
      <c r="I43" s="15" t="s">
        <v>181</v>
      </c>
      <c r="J43" s="15" t="s">
        <v>50</v>
      </c>
      <c r="K43" s="15" t="s">
        <v>143</v>
      </c>
      <c r="L43" s="15" t="s">
        <v>57</v>
      </c>
      <c r="M43" s="15"/>
      <c r="N43" s="15"/>
      <c r="O43" s="15"/>
      <c r="P43" s="18">
        <v>0.05</v>
      </c>
      <c r="Q43" s="15" t="s">
        <v>143</v>
      </c>
      <c r="R43" s="15" t="s">
        <v>65</v>
      </c>
      <c r="S43" s="15" t="s">
        <v>878</v>
      </c>
      <c r="T43" s="15" t="s">
        <v>855</v>
      </c>
      <c r="U43" s="15" t="s">
        <v>882</v>
      </c>
      <c r="V43" s="15"/>
      <c r="W43" s="15" t="s">
        <v>70</v>
      </c>
      <c r="X43" s="15"/>
      <c r="Y43" s="15"/>
      <c r="Z43" s="15"/>
      <c r="AA43" s="15"/>
      <c r="AB43" s="15"/>
    </row>
    <row r="44" spans="1:28">
      <c r="A44" s="30" t="s">
        <v>884</v>
      </c>
      <c r="B44" s="30" t="s">
        <v>876</v>
      </c>
      <c r="C44" s="30" t="s">
        <v>885</v>
      </c>
      <c r="D44" s="15" t="s">
        <v>41</v>
      </c>
      <c r="E44" s="15" t="s">
        <v>41</v>
      </c>
      <c r="F44" s="15" t="s">
        <v>180</v>
      </c>
      <c r="G44" s="15">
        <v>4</v>
      </c>
      <c r="H44" s="15">
        <v>3</v>
      </c>
      <c r="I44" s="15" t="s">
        <v>181</v>
      </c>
      <c r="J44" s="15" t="s">
        <v>50</v>
      </c>
      <c r="K44" s="15" t="s">
        <v>143</v>
      </c>
      <c r="L44" s="15" t="s">
        <v>57</v>
      </c>
      <c r="M44" s="15"/>
      <c r="N44" s="15"/>
      <c r="O44" s="15"/>
      <c r="P44" s="18">
        <v>0.05</v>
      </c>
      <c r="Q44" s="15" t="s">
        <v>143</v>
      </c>
      <c r="R44" s="15" t="s">
        <v>65</v>
      </c>
      <c r="S44" s="15" t="s">
        <v>878</v>
      </c>
      <c r="T44" s="15" t="s">
        <v>886</v>
      </c>
      <c r="U44" s="15" t="s">
        <v>887</v>
      </c>
      <c r="V44" s="15" t="s">
        <v>145</v>
      </c>
      <c r="W44" s="15" t="s">
        <v>70</v>
      </c>
      <c r="X44" s="15"/>
      <c r="Y44" s="15"/>
      <c r="Z44" s="15"/>
      <c r="AA44" s="15"/>
      <c r="AB44" s="15"/>
    </row>
    <row r="45" spans="1:28">
      <c r="A45" s="30" t="s">
        <v>884</v>
      </c>
      <c r="B45" s="30" t="s">
        <v>876</v>
      </c>
      <c r="C45" s="30" t="s">
        <v>885</v>
      </c>
      <c r="D45" s="15" t="s">
        <v>41</v>
      </c>
      <c r="E45" s="15" t="s">
        <v>41</v>
      </c>
      <c r="F45" s="15" t="s">
        <v>180</v>
      </c>
      <c r="G45" s="15">
        <v>4</v>
      </c>
      <c r="H45" s="15">
        <v>3</v>
      </c>
      <c r="I45" s="15" t="s">
        <v>181</v>
      </c>
      <c r="J45" s="15" t="s">
        <v>50</v>
      </c>
      <c r="K45" s="15" t="s">
        <v>143</v>
      </c>
      <c r="L45" s="15" t="s">
        <v>57</v>
      </c>
      <c r="M45" s="15"/>
      <c r="N45" s="15"/>
      <c r="O45" s="15"/>
      <c r="P45" s="18">
        <v>0.05</v>
      </c>
      <c r="Q45" s="15" t="s">
        <v>143</v>
      </c>
      <c r="R45" s="15" t="s">
        <v>65</v>
      </c>
      <c r="S45" s="15" t="s">
        <v>878</v>
      </c>
      <c r="T45" s="15" t="s">
        <v>886</v>
      </c>
      <c r="U45" s="15" t="s">
        <v>887</v>
      </c>
      <c r="V45" s="15" t="s">
        <v>145</v>
      </c>
      <c r="W45" s="15" t="s">
        <v>70</v>
      </c>
      <c r="X45" s="15"/>
      <c r="Y45" s="15"/>
      <c r="Z45" s="15"/>
      <c r="AA45" s="15"/>
      <c r="AB45" s="15"/>
    </row>
    <row r="46" spans="1:28">
      <c r="A46" s="30" t="s">
        <v>888</v>
      </c>
      <c r="B46" s="30" t="s">
        <v>889</v>
      </c>
      <c r="C46" s="30" t="s">
        <v>890</v>
      </c>
      <c r="D46" s="15" t="s">
        <v>41</v>
      </c>
      <c r="E46" s="15" t="s">
        <v>41</v>
      </c>
      <c r="F46" s="15" t="s">
        <v>180</v>
      </c>
      <c r="G46" s="15">
        <v>2</v>
      </c>
      <c r="H46" s="15">
        <v>3</v>
      </c>
      <c r="I46" s="15" t="s">
        <v>181</v>
      </c>
      <c r="J46" s="15" t="s">
        <v>50</v>
      </c>
      <c r="K46" s="15" t="s">
        <v>143</v>
      </c>
      <c r="L46" s="15" t="s">
        <v>57</v>
      </c>
      <c r="M46" s="15"/>
      <c r="N46" s="15"/>
      <c r="O46" s="15"/>
      <c r="P46" s="18">
        <v>0.05</v>
      </c>
      <c r="Q46" s="15" t="s">
        <v>143</v>
      </c>
      <c r="R46" s="15" t="s">
        <v>65</v>
      </c>
      <c r="S46" s="15" t="s">
        <v>889</v>
      </c>
      <c r="T46" s="15" t="s">
        <v>891</v>
      </c>
      <c r="U46" s="15" t="s">
        <v>892</v>
      </c>
      <c r="V46" s="15" t="s">
        <v>110</v>
      </c>
      <c r="W46" s="15" t="s">
        <v>70</v>
      </c>
      <c r="X46" s="15"/>
      <c r="Y46" s="15"/>
      <c r="Z46" s="15"/>
      <c r="AA46" s="15"/>
      <c r="AB46" s="15"/>
    </row>
    <row r="47" spans="1:28">
      <c r="A47" s="30" t="s">
        <v>893</v>
      </c>
      <c r="B47" s="30" t="s">
        <v>889</v>
      </c>
      <c r="C47" s="30" t="s">
        <v>894</v>
      </c>
      <c r="D47" s="15" t="s">
        <v>41</v>
      </c>
      <c r="E47" s="15" t="s">
        <v>41</v>
      </c>
      <c r="F47" s="15" t="s">
        <v>180</v>
      </c>
      <c r="G47" s="15">
        <v>5</v>
      </c>
      <c r="H47" s="15">
        <v>3</v>
      </c>
      <c r="I47" s="15" t="s">
        <v>181</v>
      </c>
      <c r="J47" s="15" t="s">
        <v>50</v>
      </c>
      <c r="K47" s="15" t="s">
        <v>143</v>
      </c>
      <c r="L47" s="15" t="s">
        <v>57</v>
      </c>
      <c r="M47" s="15"/>
      <c r="N47" s="15"/>
      <c r="O47" s="15"/>
      <c r="P47" s="18">
        <v>0.05</v>
      </c>
      <c r="Q47" s="15" t="s">
        <v>143</v>
      </c>
      <c r="R47" s="15" t="s">
        <v>65</v>
      </c>
      <c r="S47" s="15" t="s">
        <v>889</v>
      </c>
      <c r="T47" s="15" t="s">
        <v>851</v>
      </c>
      <c r="U47" s="15" t="s">
        <v>895</v>
      </c>
      <c r="V47" s="15" t="s">
        <v>852</v>
      </c>
      <c r="W47" s="15" t="s">
        <v>70</v>
      </c>
      <c r="X47" s="15"/>
      <c r="Y47" s="15"/>
      <c r="Z47" s="15"/>
      <c r="AA47" s="15"/>
      <c r="AB47" s="15"/>
    </row>
    <row r="48" spans="1:28">
      <c r="A48" s="30" t="s">
        <v>896</v>
      </c>
      <c r="B48" s="30" t="s">
        <v>889</v>
      </c>
      <c r="C48" s="30" t="s">
        <v>897</v>
      </c>
      <c r="D48" s="15" t="s">
        <v>41</v>
      </c>
      <c r="E48" s="15" t="s">
        <v>41</v>
      </c>
      <c r="F48" s="15" t="s">
        <v>180</v>
      </c>
      <c r="G48" s="15">
        <v>5</v>
      </c>
      <c r="H48" s="15">
        <v>3</v>
      </c>
      <c r="I48" s="15" t="s">
        <v>181</v>
      </c>
      <c r="J48" s="15" t="s">
        <v>50</v>
      </c>
      <c r="K48" s="15" t="s">
        <v>143</v>
      </c>
      <c r="L48" s="15" t="s">
        <v>57</v>
      </c>
      <c r="M48" s="15"/>
      <c r="N48" s="15"/>
      <c r="O48" s="15"/>
      <c r="P48" s="18">
        <v>0.05</v>
      </c>
      <c r="Q48" s="15" t="s">
        <v>143</v>
      </c>
      <c r="R48" s="15" t="s">
        <v>65</v>
      </c>
      <c r="S48" s="15" t="s">
        <v>889</v>
      </c>
      <c r="T48" s="15" t="s">
        <v>855</v>
      </c>
      <c r="U48" s="15" t="s">
        <v>898</v>
      </c>
      <c r="V48" s="15" t="s">
        <v>852</v>
      </c>
      <c r="W48" s="15" t="s">
        <v>70</v>
      </c>
      <c r="X48" s="15"/>
      <c r="Y48" s="15"/>
      <c r="Z48" s="15"/>
      <c r="AA48" s="15"/>
      <c r="AB48" s="15"/>
    </row>
    <row r="49" spans="1:28">
      <c r="A49" s="30" t="s">
        <v>896</v>
      </c>
      <c r="B49" s="30" t="s">
        <v>889</v>
      </c>
      <c r="C49" s="30" t="s">
        <v>897</v>
      </c>
      <c r="D49" s="15" t="s">
        <v>41</v>
      </c>
      <c r="E49" s="15" t="s">
        <v>41</v>
      </c>
      <c r="F49" s="15" t="s">
        <v>180</v>
      </c>
      <c r="G49" s="15">
        <v>5</v>
      </c>
      <c r="H49" s="15">
        <v>3</v>
      </c>
      <c r="I49" s="15" t="s">
        <v>181</v>
      </c>
      <c r="J49" s="15" t="s">
        <v>50</v>
      </c>
      <c r="K49" s="15" t="s">
        <v>143</v>
      </c>
      <c r="L49" s="15" t="s">
        <v>57</v>
      </c>
      <c r="M49" s="15"/>
      <c r="N49" s="15"/>
      <c r="O49" s="15"/>
      <c r="P49" s="18">
        <v>0.05</v>
      </c>
      <c r="Q49" s="15" t="s">
        <v>143</v>
      </c>
      <c r="R49" s="15" t="s">
        <v>65</v>
      </c>
      <c r="S49" s="15" t="s">
        <v>889</v>
      </c>
      <c r="T49" s="15" t="s">
        <v>855</v>
      </c>
      <c r="U49" s="15" t="s">
        <v>898</v>
      </c>
      <c r="V49" s="15" t="s">
        <v>852</v>
      </c>
      <c r="W49" s="15" t="s">
        <v>70</v>
      </c>
      <c r="X49" s="15"/>
      <c r="Y49" s="15"/>
      <c r="Z49" s="15"/>
      <c r="AA49" s="15"/>
      <c r="AB49" s="15"/>
    </row>
    <row r="50" spans="1:28">
      <c r="A50" s="30" t="s">
        <v>899</v>
      </c>
      <c r="B50" s="30" t="s">
        <v>900</v>
      </c>
      <c r="C50" s="30" t="s">
        <v>901</v>
      </c>
      <c r="D50" s="15" t="s">
        <v>41</v>
      </c>
      <c r="E50" s="15" t="s">
        <v>41</v>
      </c>
      <c r="F50" s="15" t="s">
        <v>180</v>
      </c>
      <c r="G50" s="15">
        <v>2</v>
      </c>
      <c r="H50" s="15">
        <v>3</v>
      </c>
      <c r="I50" s="15" t="s">
        <v>181</v>
      </c>
      <c r="J50" s="15" t="s">
        <v>50</v>
      </c>
      <c r="K50" s="15" t="s">
        <v>54</v>
      </c>
      <c r="L50" s="15" t="s">
        <v>57</v>
      </c>
      <c r="M50" s="15"/>
      <c r="N50" s="15"/>
      <c r="O50" s="15">
        <v>665</v>
      </c>
      <c r="P50" s="18">
        <v>0.05</v>
      </c>
      <c r="Q50" s="15" t="s">
        <v>64</v>
      </c>
      <c r="R50" s="15" t="s">
        <v>65</v>
      </c>
      <c r="S50" s="15" t="s">
        <v>900</v>
      </c>
      <c r="T50" s="15" t="s">
        <v>902</v>
      </c>
      <c r="U50" s="15" t="s">
        <v>903</v>
      </c>
      <c r="V50" s="15" t="s">
        <v>852</v>
      </c>
      <c r="W50" s="15" t="s">
        <v>70</v>
      </c>
      <c r="X50" s="15"/>
      <c r="Y50" s="15"/>
      <c r="Z50" s="15"/>
      <c r="AA50" s="15"/>
      <c r="AB50" s="15"/>
    </row>
    <row r="51" spans="1:28">
      <c r="A51" s="30" t="s">
        <v>904</v>
      </c>
      <c r="B51" s="30" t="s">
        <v>900</v>
      </c>
      <c r="C51" s="30" t="s">
        <v>905</v>
      </c>
      <c r="D51" s="15" t="s">
        <v>41</v>
      </c>
      <c r="E51" s="15" t="s">
        <v>41</v>
      </c>
      <c r="F51" s="15" t="s">
        <v>180</v>
      </c>
      <c r="G51" s="15">
        <v>2</v>
      </c>
      <c r="H51" s="15">
        <v>3</v>
      </c>
      <c r="I51" s="15" t="s">
        <v>181</v>
      </c>
      <c r="J51" s="15" t="s">
        <v>50</v>
      </c>
      <c r="K51" s="15" t="s">
        <v>54</v>
      </c>
      <c r="L51" s="15" t="s">
        <v>57</v>
      </c>
      <c r="M51" s="15"/>
      <c r="N51" s="15"/>
      <c r="O51" s="15">
        <v>665</v>
      </c>
      <c r="P51" s="18">
        <v>0.05</v>
      </c>
      <c r="Q51" s="15" t="s">
        <v>64</v>
      </c>
      <c r="R51" s="15" t="s">
        <v>65</v>
      </c>
      <c r="S51" s="15" t="s">
        <v>900</v>
      </c>
      <c r="T51" s="15" t="s">
        <v>906</v>
      </c>
      <c r="U51" s="15" t="s">
        <v>907</v>
      </c>
      <c r="V51" s="15" t="s">
        <v>852</v>
      </c>
      <c r="W51" s="15" t="s">
        <v>70</v>
      </c>
      <c r="X51" s="15"/>
      <c r="Y51" s="15"/>
      <c r="Z51" s="15"/>
      <c r="AA51" s="15"/>
      <c r="AB51" s="15"/>
    </row>
    <row r="52" spans="1:28">
      <c r="A52" s="30" t="s">
        <v>908</v>
      </c>
      <c r="B52" s="30" t="s">
        <v>909</v>
      </c>
      <c r="C52" s="30" t="s">
        <v>910</v>
      </c>
      <c r="D52" s="15" t="s">
        <v>41</v>
      </c>
      <c r="E52" s="15" t="s">
        <v>41</v>
      </c>
      <c r="F52" s="15" t="s">
        <v>180</v>
      </c>
      <c r="G52" s="15">
        <v>2</v>
      </c>
      <c r="H52" s="15">
        <v>3</v>
      </c>
      <c r="I52" s="15" t="s">
        <v>181</v>
      </c>
      <c r="J52" s="15" t="s">
        <v>50</v>
      </c>
      <c r="K52" s="15" t="s">
        <v>54</v>
      </c>
      <c r="L52" s="15" t="s">
        <v>57</v>
      </c>
      <c r="M52" s="15"/>
      <c r="N52" s="15"/>
      <c r="O52" s="15">
        <v>995</v>
      </c>
      <c r="P52" s="18">
        <v>0.05</v>
      </c>
      <c r="Q52" s="15" t="s">
        <v>64</v>
      </c>
      <c r="R52" s="15" t="s">
        <v>65</v>
      </c>
      <c r="S52" s="15" t="s">
        <v>909</v>
      </c>
      <c r="T52" s="15" t="s">
        <v>911</v>
      </c>
      <c r="U52" s="15" t="s">
        <v>912</v>
      </c>
      <c r="V52" s="15" t="s">
        <v>852</v>
      </c>
      <c r="W52" s="15" t="s">
        <v>70</v>
      </c>
      <c r="X52" s="15"/>
      <c r="Y52" s="15"/>
      <c r="Z52" s="15"/>
      <c r="AA52" s="15"/>
      <c r="AB52" s="15"/>
    </row>
    <row r="53" spans="1:28">
      <c r="A53" s="30" t="s">
        <v>913</v>
      </c>
      <c r="B53" s="30" t="s">
        <v>909</v>
      </c>
      <c r="C53" s="30" t="s">
        <v>914</v>
      </c>
      <c r="D53" s="15" t="s">
        <v>41</v>
      </c>
      <c r="E53" s="15" t="s">
        <v>41</v>
      </c>
      <c r="F53" s="15" t="s">
        <v>180</v>
      </c>
      <c r="G53" s="15">
        <v>2</v>
      </c>
      <c r="H53" s="15">
        <v>3</v>
      </c>
      <c r="I53" s="15" t="s">
        <v>181</v>
      </c>
      <c r="J53" s="15" t="s">
        <v>50</v>
      </c>
      <c r="K53" s="15" t="s">
        <v>54</v>
      </c>
      <c r="L53" s="15" t="s">
        <v>57</v>
      </c>
      <c r="M53" s="15"/>
      <c r="N53" s="15"/>
      <c r="O53" s="15">
        <v>995</v>
      </c>
      <c r="P53" s="18">
        <v>0.05</v>
      </c>
      <c r="Q53" s="15" t="s">
        <v>64</v>
      </c>
      <c r="R53" s="15" t="s">
        <v>65</v>
      </c>
      <c r="S53" s="15" t="s">
        <v>909</v>
      </c>
      <c r="T53" s="15" t="s">
        <v>915</v>
      </c>
      <c r="U53" s="15" t="s">
        <v>916</v>
      </c>
      <c r="V53" s="15" t="s">
        <v>852</v>
      </c>
      <c r="W53" s="15" t="s">
        <v>70</v>
      </c>
      <c r="X53" s="15"/>
      <c r="Y53" s="15"/>
      <c r="Z53" s="15"/>
      <c r="AA53" s="15"/>
      <c r="AB53" s="15"/>
    </row>
    <row r="54" spans="1:28">
      <c r="A54" s="30" t="s">
        <v>917</v>
      </c>
      <c r="B54" s="30" t="s">
        <v>909</v>
      </c>
      <c r="C54" s="30" t="s">
        <v>918</v>
      </c>
      <c r="D54" s="15" t="s">
        <v>41</v>
      </c>
      <c r="E54" s="15" t="s">
        <v>41</v>
      </c>
      <c r="F54" s="15" t="s">
        <v>180</v>
      </c>
      <c r="G54" s="15">
        <v>2</v>
      </c>
      <c r="H54" s="15">
        <v>3</v>
      </c>
      <c r="I54" s="15" t="s">
        <v>181</v>
      </c>
      <c r="J54" s="15" t="s">
        <v>50</v>
      </c>
      <c r="K54" s="15" t="s">
        <v>54</v>
      </c>
      <c r="L54" s="15" t="s">
        <v>57</v>
      </c>
      <c r="M54" s="15"/>
      <c r="N54" s="15"/>
      <c r="O54" s="15">
        <v>995</v>
      </c>
      <c r="P54" s="18">
        <v>0.05</v>
      </c>
      <c r="Q54" s="15" t="s">
        <v>64</v>
      </c>
      <c r="R54" s="15" t="s">
        <v>65</v>
      </c>
      <c r="S54" s="15" t="s">
        <v>909</v>
      </c>
      <c r="T54" s="15" t="s">
        <v>919</v>
      </c>
      <c r="U54" s="15" t="s">
        <v>920</v>
      </c>
      <c r="V54" s="15" t="s">
        <v>852</v>
      </c>
      <c r="W54" s="15" t="s">
        <v>70</v>
      </c>
      <c r="X54" s="15"/>
      <c r="Y54" s="15"/>
      <c r="Z54" s="15"/>
      <c r="AA54" s="15"/>
      <c r="AB54" s="15"/>
    </row>
    <row r="55" spans="1:28">
      <c r="A55" s="30" t="s">
        <v>921</v>
      </c>
      <c r="B55" s="30" t="s">
        <v>922</v>
      </c>
      <c r="C55" s="30" t="s">
        <v>923</v>
      </c>
      <c r="D55" s="15" t="s">
        <v>41</v>
      </c>
      <c r="E55" s="15" t="s">
        <v>41</v>
      </c>
      <c r="F55" s="15" t="s">
        <v>180</v>
      </c>
      <c r="G55" s="15">
        <v>4</v>
      </c>
      <c r="H55" s="15">
        <v>3</v>
      </c>
      <c r="I55" s="15" t="s">
        <v>181</v>
      </c>
      <c r="J55" s="15" t="s">
        <v>50</v>
      </c>
      <c r="K55" s="15" t="s">
        <v>143</v>
      </c>
      <c r="L55" s="15" t="s">
        <v>57</v>
      </c>
      <c r="M55" s="15"/>
      <c r="N55" s="15"/>
      <c r="O55" s="15"/>
      <c r="P55" s="18">
        <v>0.05</v>
      </c>
      <c r="Q55" s="15" t="s">
        <v>143</v>
      </c>
      <c r="R55" s="15" t="s">
        <v>65</v>
      </c>
      <c r="S55" s="15" t="s">
        <v>922</v>
      </c>
      <c r="T55" s="15" t="s">
        <v>855</v>
      </c>
      <c r="U55" s="15" t="s">
        <v>924</v>
      </c>
      <c r="V55" s="15"/>
      <c r="W55" s="15" t="s">
        <v>70</v>
      </c>
      <c r="X55" s="15"/>
      <c r="Y55" s="15"/>
      <c r="Z55" s="15"/>
      <c r="AA55" s="15"/>
      <c r="AB55" s="15"/>
    </row>
    <row r="56" spans="1:28">
      <c r="A56" s="30" t="s">
        <v>925</v>
      </c>
      <c r="B56" s="30" t="s">
        <v>922</v>
      </c>
      <c r="C56" s="30" t="s">
        <v>923</v>
      </c>
      <c r="D56" s="15" t="s">
        <v>41</v>
      </c>
      <c r="E56" s="15" t="s">
        <v>41</v>
      </c>
      <c r="F56" s="15" t="s">
        <v>180</v>
      </c>
      <c r="G56" s="15">
        <v>4</v>
      </c>
      <c r="H56" s="15">
        <v>3</v>
      </c>
      <c r="I56" s="15" t="s">
        <v>181</v>
      </c>
      <c r="J56" s="15" t="s">
        <v>50</v>
      </c>
      <c r="K56" s="15" t="s">
        <v>143</v>
      </c>
      <c r="L56" s="15" t="s">
        <v>57</v>
      </c>
      <c r="M56" s="15"/>
      <c r="N56" s="15"/>
      <c r="O56" s="15"/>
      <c r="P56" s="18">
        <v>0.05</v>
      </c>
      <c r="Q56" s="15" t="s">
        <v>143</v>
      </c>
      <c r="R56" s="15" t="s">
        <v>65</v>
      </c>
      <c r="S56" s="15" t="s">
        <v>922</v>
      </c>
      <c r="T56" s="15" t="s">
        <v>855</v>
      </c>
      <c r="U56" s="15" t="s">
        <v>924</v>
      </c>
      <c r="V56" s="15" t="s">
        <v>617</v>
      </c>
      <c r="W56" s="15" t="s">
        <v>70</v>
      </c>
      <c r="X56" s="15"/>
      <c r="Y56" s="15"/>
      <c r="Z56" s="15"/>
      <c r="AA56" s="15"/>
      <c r="AB56" s="15"/>
    </row>
    <row r="57" spans="1:28">
      <c r="A57" s="30" t="s">
        <v>280</v>
      </c>
      <c r="B57" s="30" t="s">
        <v>74</v>
      </c>
      <c r="C57" s="30" t="s">
        <v>281</v>
      </c>
      <c r="D57" s="15" t="s">
        <v>678</v>
      </c>
      <c r="E57" s="15" t="s">
        <v>678</v>
      </c>
      <c r="F57" s="15" t="s">
        <v>105</v>
      </c>
      <c r="G57" s="15">
        <v>3</v>
      </c>
      <c r="H57" s="15">
        <v>4</v>
      </c>
      <c r="I57" s="15" t="s">
        <v>48</v>
      </c>
      <c r="J57" s="15" t="s">
        <v>50</v>
      </c>
      <c r="K57" s="15" t="s">
        <v>54</v>
      </c>
      <c r="L57" s="15" t="s">
        <v>57</v>
      </c>
      <c r="M57" s="15"/>
      <c r="N57" s="15"/>
      <c r="O57" s="15">
        <v>3170</v>
      </c>
      <c r="P57" s="18">
        <v>0.18</v>
      </c>
      <c r="Q57" s="15" t="s">
        <v>64</v>
      </c>
      <c r="R57" s="15" t="s">
        <v>65</v>
      </c>
      <c r="S57" s="15" t="s">
        <v>74</v>
      </c>
      <c r="T57" s="15" t="s">
        <v>940</v>
      </c>
      <c r="U57" s="15" t="s">
        <v>941</v>
      </c>
      <c r="V57" s="15" t="s">
        <v>929</v>
      </c>
      <c r="W57" s="15" t="s">
        <v>70</v>
      </c>
      <c r="X57" s="15"/>
      <c r="Y57" s="15"/>
      <c r="Z57" s="15"/>
      <c r="AA57" s="15"/>
      <c r="AB57" s="15"/>
    </row>
    <row r="58" spans="1:28">
      <c r="A58" s="30" t="s">
        <v>215</v>
      </c>
      <c r="B58" s="30" t="s">
        <v>74</v>
      </c>
      <c r="C58" s="30" t="s">
        <v>216</v>
      </c>
      <c r="D58" s="15" t="s">
        <v>678</v>
      </c>
      <c r="E58" s="15" t="s">
        <v>678</v>
      </c>
      <c r="F58" s="15" t="s">
        <v>105</v>
      </c>
      <c r="G58" s="15">
        <v>3</v>
      </c>
      <c r="H58" s="15">
        <v>4</v>
      </c>
      <c r="I58" s="15" t="s">
        <v>48</v>
      </c>
      <c r="J58" s="15" t="s">
        <v>50</v>
      </c>
      <c r="K58" s="15" t="s">
        <v>54</v>
      </c>
      <c r="L58" s="15" t="s">
        <v>57</v>
      </c>
      <c r="M58" s="15"/>
      <c r="N58" s="15"/>
      <c r="O58" s="15">
        <v>3170</v>
      </c>
      <c r="P58" s="18">
        <v>0.18</v>
      </c>
      <c r="Q58" s="15" t="s">
        <v>64</v>
      </c>
      <c r="R58" s="15" t="s">
        <v>65</v>
      </c>
      <c r="S58" s="15" t="s">
        <v>74</v>
      </c>
      <c r="T58" s="15" t="s">
        <v>216</v>
      </c>
      <c r="U58" s="15" t="s">
        <v>942</v>
      </c>
      <c r="V58" s="15" t="s">
        <v>929</v>
      </c>
      <c r="W58" s="15" t="s">
        <v>70</v>
      </c>
      <c r="X58" s="15"/>
      <c r="Y58" s="15"/>
      <c r="Z58" s="15"/>
      <c r="AA58" s="15"/>
      <c r="AB58" s="15"/>
    </row>
    <row r="59" spans="1:28">
      <c r="A59" s="30" t="s">
        <v>219</v>
      </c>
      <c r="B59" s="30" t="s">
        <v>74</v>
      </c>
      <c r="C59" s="30" t="s">
        <v>221</v>
      </c>
      <c r="D59" s="15" t="s">
        <v>678</v>
      </c>
      <c r="E59" s="15" t="s">
        <v>678</v>
      </c>
      <c r="F59" s="15" t="s">
        <v>105</v>
      </c>
      <c r="G59" s="15">
        <v>3</v>
      </c>
      <c r="H59" s="15">
        <v>4</v>
      </c>
      <c r="I59" s="15" t="s">
        <v>48</v>
      </c>
      <c r="J59" s="15" t="s">
        <v>50</v>
      </c>
      <c r="K59" s="15" t="s">
        <v>54</v>
      </c>
      <c r="L59" s="15" t="s">
        <v>57</v>
      </c>
      <c r="M59" s="15"/>
      <c r="N59" s="15"/>
      <c r="O59" s="15">
        <v>3170</v>
      </c>
      <c r="P59" s="18">
        <v>0.18</v>
      </c>
      <c r="Q59" s="15" t="s">
        <v>64</v>
      </c>
      <c r="R59" s="15" t="s">
        <v>65</v>
      </c>
      <c r="S59" s="15" t="s">
        <v>74</v>
      </c>
      <c r="T59" s="15" t="s">
        <v>221</v>
      </c>
      <c r="U59" s="15" t="s">
        <v>944</v>
      </c>
      <c r="V59" s="15" t="s">
        <v>78</v>
      </c>
      <c r="W59" s="15" t="s">
        <v>70</v>
      </c>
      <c r="X59" s="15"/>
      <c r="Y59" s="15"/>
      <c r="Z59" s="15"/>
      <c r="AA59" s="15"/>
      <c r="AB59" s="15"/>
    </row>
    <row r="60" spans="1:28">
      <c r="A60" s="30" t="s">
        <v>232</v>
      </c>
      <c r="B60" s="30" t="s">
        <v>74</v>
      </c>
      <c r="C60" s="30" t="s">
        <v>221</v>
      </c>
      <c r="D60" s="15" t="s">
        <v>678</v>
      </c>
      <c r="E60" s="15" t="s">
        <v>678</v>
      </c>
      <c r="F60" s="15" t="s">
        <v>105</v>
      </c>
      <c r="G60" s="15">
        <v>3</v>
      </c>
      <c r="H60" s="15">
        <v>4</v>
      </c>
      <c r="I60" s="15" t="s">
        <v>48</v>
      </c>
      <c r="J60" s="15" t="s">
        <v>50</v>
      </c>
      <c r="K60" s="15" t="s">
        <v>54</v>
      </c>
      <c r="L60" s="15" t="s">
        <v>57</v>
      </c>
      <c r="M60" s="15"/>
      <c r="N60" s="15"/>
      <c r="O60" s="15">
        <v>3170</v>
      </c>
      <c r="P60" s="18">
        <v>0.18</v>
      </c>
      <c r="Q60" s="15" t="s">
        <v>64</v>
      </c>
      <c r="R60" s="15" t="s">
        <v>65</v>
      </c>
      <c r="S60" s="15" t="s">
        <v>74</v>
      </c>
      <c r="T60" s="15" t="s">
        <v>221</v>
      </c>
      <c r="U60" s="15" t="s">
        <v>944</v>
      </c>
      <c r="V60" s="15" t="s">
        <v>929</v>
      </c>
      <c r="W60" s="15" t="s">
        <v>70</v>
      </c>
      <c r="X60" s="15"/>
      <c r="Y60" s="15"/>
      <c r="Z60" s="15"/>
      <c r="AA60" s="15"/>
      <c r="AB60" s="15"/>
    </row>
    <row r="61" spans="1:28">
      <c r="A61" s="30" t="s">
        <v>945</v>
      </c>
      <c r="B61" s="30" t="s">
        <v>934</v>
      </c>
      <c r="C61" s="30" t="s">
        <v>946</v>
      </c>
      <c r="D61" s="15" t="s">
        <v>179</v>
      </c>
      <c r="E61" s="15" t="s">
        <v>179</v>
      </c>
      <c r="F61" s="15" t="s">
        <v>180</v>
      </c>
      <c r="G61" s="15">
        <v>5</v>
      </c>
      <c r="H61" s="15">
        <v>4</v>
      </c>
      <c r="I61" s="15" t="s">
        <v>181</v>
      </c>
      <c r="J61" s="15" t="s">
        <v>50</v>
      </c>
      <c r="K61" s="15" t="s">
        <v>182</v>
      </c>
      <c r="L61" s="15" t="s">
        <v>57</v>
      </c>
      <c r="M61" s="15"/>
      <c r="N61" s="19" t="s">
        <v>183</v>
      </c>
      <c r="O61" s="15"/>
      <c r="P61" s="18">
        <v>0.05</v>
      </c>
      <c r="Q61" s="15" t="s">
        <v>184</v>
      </c>
      <c r="R61" s="15" t="s">
        <v>65</v>
      </c>
      <c r="S61" s="15" t="s">
        <v>934</v>
      </c>
      <c r="T61" s="15" t="s">
        <v>947</v>
      </c>
      <c r="U61" s="15" t="s">
        <v>948</v>
      </c>
      <c r="V61" s="15" t="s">
        <v>80</v>
      </c>
      <c r="W61" s="15" t="s">
        <v>70</v>
      </c>
      <c r="X61" s="19" t="s">
        <v>192</v>
      </c>
      <c r="Y61" s="15"/>
      <c r="Z61" s="15"/>
      <c r="AA61" s="15"/>
      <c r="AB61" s="15"/>
    </row>
    <row r="62" spans="1:28">
      <c r="A62" s="30" t="s">
        <v>949</v>
      </c>
      <c r="B62" s="30" t="s">
        <v>934</v>
      </c>
      <c r="C62" s="30" t="s">
        <v>946</v>
      </c>
      <c r="D62" s="15" t="s">
        <v>179</v>
      </c>
      <c r="E62" s="15" t="s">
        <v>179</v>
      </c>
      <c r="F62" s="15" t="s">
        <v>180</v>
      </c>
      <c r="G62" s="15">
        <v>5</v>
      </c>
      <c r="H62" s="15">
        <v>4</v>
      </c>
      <c r="I62" s="15" t="s">
        <v>181</v>
      </c>
      <c r="J62" s="15" t="s">
        <v>50</v>
      </c>
      <c r="K62" s="15" t="s">
        <v>182</v>
      </c>
      <c r="L62" s="15" t="s">
        <v>57</v>
      </c>
      <c r="M62" s="15"/>
      <c r="N62" s="19" t="s">
        <v>183</v>
      </c>
      <c r="O62" s="15"/>
      <c r="P62" s="18">
        <v>0.05</v>
      </c>
      <c r="Q62" s="15" t="s">
        <v>184</v>
      </c>
      <c r="R62" s="15" t="s">
        <v>65</v>
      </c>
      <c r="S62" s="15" t="s">
        <v>934</v>
      </c>
      <c r="T62" s="15" t="s">
        <v>947</v>
      </c>
      <c r="U62" s="15" t="s">
        <v>948</v>
      </c>
      <c r="V62" s="15" t="s">
        <v>59</v>
      </c>
      <c r="W62" s="15" t="s">
        <v>70</v>
      </c>
      <c r="X62" s="19" t="s">
        <v>192</v>
      </c>
      <c r="Y62" s="15"/>
      <c r="Z62" s="15"/>
      <c r="AA62" s="15"/>
      <c r="AB62" s="15"/>
    </row>
    <row r="63" spans="1:28">
      <c r="A63" s="30" t="s">
        <v>950</v>
      </c>
      <c r="B63" s="30" t="s">
        <v>931</v>
      </c>
      <c r="C63" s="30" t="s">
        <v>932</v>
      </c>
      <c r="D63" s="15" t="s">
        <v>179</v>
      </c>
      <c r="E63" s="15" t="s">
        <v>179</v>
      </c>
      <c r="F63" s="15" t="s">
        <v>180</v>
      </c>
      <c r="G63" s="15">
        <v>7</v>
      </c>
      <c r="H63" s="15">
        <v>4</v>
      </c>
      <c r="I63" s="15" t="s">
        <v>181</v>
      </c>
      <c r="J63" s="15" t="s">
        <v>50</v>
      </c>
      <c r="K63" s="15" t="s">
        <v>182</v>
      </c>
      <c r="L63" s="15" t="s">
        <v>57</v>
      </c>
      <c r="M63" s="15"/>
      <c r="N63" s="19" t="s">
        <v>183</v>
      </c>
      <c r="O63" s="15"/>
      <c r="P63" s="18">
        <v>0.05</v>
      </c>
      <c r="Q63" s="15" t="s">
        <v>184</v>
      </c>
      <c r="R63" s="15" t="s">
        <v>65</v>
      </c>
      <c r="S63" s="15" t="s">
        <v>931</v>
      </c>
      <c r="T63" s="15" t="s">
        <v>959</v>
      </c>
      <c r="U63" s="15" t="s">
        <v>960</v>
      </c>
      <c r="V63" s="15" t="s">
        <v>59</v>
      </c>
      <c r="W63" s="15" t="s">
        <v>70</v>
      </c>
      <c r="X63" s="19" t="s">
        <v>474</v>
      </c>
      <c r="Y63" s="15"/>
      <c r="Z63" s="15"/>
      <c r="AA63" s="15"/>
      <c r="AB63" s="15"/>
    </row>
    <row r="64" spans="1:28">
      <c r="A64" s="30" t="s">
        <v>952</v>
      </c>
      <c r="B64" s="30" t="s">
        <v>931</v>
      </c>
      <c r="C64" s="30" t="s">
        <v>932</v>
      </c>
      <c r="D64" s="15" t="s">
        <v>179</v>
      </c>
      <c r="E64" s="15" t="s">
        <v>179</v>
      </c>
      <c r="F64" s="15" t="s">
        <v>180</v>
      </c>
      <c r="G64" s="15">
        <v>7</v>
      </c>
      <c r="H64" s="15">
        <v>4</v>
      </c>
      <c r="I64" s="15" t="s">
        <v>181</v>
      </c>
      <c r="J64" s="15" t="s">
        <v>50</v>
      </c>
      <c r="K64" s="15" t="s">
        <v>182</v>
      </c>
      <c r="L64" s="15" t="s">
        <v>57</v>
      </c>
      <c r="M64" s="15"/>
      <c r="N64" s="19" t="s">
        <v>183</v>
      </c>
      <c r="O64" s="15"/>
      <c r="P64" s="18">
        <v>0.05</v>
      </c>
      <c r="Q64" s="15" t="s">
        <v>184</v>
      </c>
      <c r="R64" s="15" t="s">
        <v>65</v>
      </c>
      <c r="S64" s="15" t="s">
        <v>931</v>
      </c>
      <c r="T64" s="15" t="s">
        <v>959</v>
      </c>
      <c r="U64" s="15" t="s">
        <v>960</v>
      </c>
      <c r="V64" s="15"/>
      <c r="W64" s="15" t="s">
        <v>70</v>
      </c>
      <c r="X64" s="19" t="s">
        <v>474</v>
      </c>
      <c r="Y64" s="15"/>
      <c r="Z64" s="15"/>
      <c r="AA64" s="15"/>
      <c r="AB64" s="15"/>
    </row>
    <row r="65" spans="1:28">
      <c r="A65" s="30" t="s">
        <v>930</v>
      </c>
      <c r="B65" s="30" t="s">
        <v>931</v>
      </c>
      <c r="C65" s="30" t="s">
        <v>932</v>
      </c>
      <c r="D65" s="15" t="s">
        <v>179</v>
      </c>
      <c r="E65" s="15" t="s">
        <v>179</v>
      </c>
      <c r="F65" s="15" t="s">
        <v>180</v>
      </c>
      <c r="G65" s="15">
        <v>7</v>
      </c>
      <c r="H65" s="15">
        <v>4</v>
      </c>
      <c r="I65" s="15" t="s">
        <v>181</v>
      </c>
      <c r="J65" s="15" t="s">
        <v>50</v>
      </c>
      <c r="K65" s="15" t="s">
        <v>182</v>
      </c>
      <c r="L65" s="15" t="s">
        <v>57</v>
      </c>
      <c r="M65" s="15"/>
      <c r="N65" s="19" t="s">
        <v>183</v>
      </c>
      <c r="O65" s="15"/>
      <c r="P65" s="18">
        <v>0.05</v>
      </c>
      <c r="Q65" s="15" t="s">
        <v>184</v>
      </c>
      <c r="R65" s="15" t="s">
        <v>65</v>
      </c>
      <c r="S65" s="15" t="s">
        <v>931</v>
      </c>
      <c r="T65" s="15" t="s">
        <v>959</v>
      </c>
      <c r="U65" s="15" t="s">
        <v>960</v>
      </c>
      <c r="V65" s="15"/>
      <c r="W65" s="15" t="s">
        <v>70</v>
      </c>
      <c r="X65" s="19" t="s">
        <v>474</v>
      </c>
      <c r="Y65" s="15"/>
      <c r="Z65" s="15"/>
      <c r="AA65" s="15"/>
      <c r="AB65" s="15"/>
    </row>
    <row r="66" spans="1:28">
      <c r="A66" s="30" t="s">
        <v>961</v>
      </c>
      <c r="B66" s="30" t="s">
        <v>600</v>
      </c>
      <c r="C66" s="30" t="s">
        <v>962</v>
      </c>
      <c r="D66" s="15" t="s">
        <v>531</v>
      </c>
      <c r="E66" s="15" t="s">
        <v>963</v>
      </c>
      <c r="F66" s="15" t="s">
        <v>105</v>
      </c>
      <c r="G66" s="15">
        <v>5</v>
      </c>
      <c r="H66" s="15">
        <v>4</v>
      </c>
      <c r="I66" s="15" t="s">
        <v>181</v>
      </c>
      <c r="J66" s="15" t="s">
        <v>658</v>
      </c>
      <c r="K66" s="15" t="s">
        <v>964</v>
      </c>
      <c r="L66" s="15" t="s">
        <v>57</v>
      </c>
      <c r="M66" s="15">
        <v>1498</v>
      </c>
      <c r="N66" s="15"/>
      <c r="O66" s="15"/>
      <c r="P66" s="18">
        <v>0.18</v>
      </c>
      <c r="Q66" s="15" t="s">
        <v>184</v>
      </c>
      <c r="R66" s="15" t="s">
        <v>533</v>
      </c>
      <c r="S66" s="15" t="s">
        <v>600</v>
      </c>
      <c r="T66" s="15" t="s">
        <v>962</v>
      </c>
      <c r="U66" s="15" t="s">
        <v>965</v>
      </c>
      <c r="V66" s="15" t="s">
        <v>132</v>
      </c>
      <c r="W66" s="15" t="s">
        <v>70</v>
      </c>
      <c r="X66" s="15"/>
      <c r="Y66" s="15"/>
      <c r="Z66" s="15"/>
      <c r="AA66" s="15"/>
      <c r="AB66" s="15"/>
    </row>
    <row r="67" spans="1:28">
      <c r="A67" s="30" t="s">
        <v>966</v>
      </c>
      <c r="B67" s="30" t="s">
        <v>600</v>
      </c>
      <c r="C67" s="30" t="s">
        <v>962</v>
      </c>
      <c r="D67" s="15" t="s">
        <v>531</v>
      </c>
      <c r="E67" s="15" t="s">
        <v>963</v>
      </c>
      <c r="F67" s="15" t="s">
        <v>105</v>
      </c>
      <c r="G67" s="15">
        <v>5</v>
      </c>
      <c r="H67" s="15">
        <v>4</v>
      </c>
      <c r="I67" s="15" t="s">
        <v>181</v>
      </c>
      <c r="J67" s="15" t="s">
        <v>658</v>
      </c>
      <c r="K67" s="15" t="s">
        <v>964</v>
      </c>
      <c r="L67" s="15" t="s">
        <v>57</v>
      </c>
      <c r="M67" s="15">
        <v>1498</v>
      </c>
      <c r="N67" s="15"/>
      <c r="O67" s="15"/>
      <c r="P67" s="18">
        <v>0.18</v>
      </c>
      <c r="Q67" s="15" t="s">
        <v>184</v>
      </c>
      <c r="R67" s="15" t="s">
        <v>533</v>
      </c>
      <c r="S67" s="15" t="s">
        <v>600</v>
      </c>
      <c r="T67" s="15" t="s">
        <v>962</v>
      </c>
      <c r="U67" s="15" t="s">
        <v>965</v>
      </c>
      <c r="V67" s="15" t="s">
        <v>94</v>
      </c>
      <c r="W67" s="15" t="s">
        <v>70</v>
      </c>
      <c r="X67" s="15"/>
      <c r="Y67" s="15"/>
      <c r="Z67" s="15"/>
      <c r="AA67" s="15"/>
      <c r="AB67" s="15"/>
    </row>
    <row r="68" spans="1:28">
      <c r="A68" s="30" t="s">
        <v>967</v>
      </c>
      <c r="B68" s="30" t="s">
        <v>600</v>
      </c>
      <c r="C68" s="30" t="s">
        <v>962</v>
      </c>
      <c r="D68" s="15" t="s">
        <v>531</v>
      </c>
      <c r="E68" s="15" t="s">
        <v>963</v>
      </c>
      <c r="F68" s="15" t="s">
        <v>105</v>
      </c>
      <c r="G68" s="15">
        <v>5</v>
      </c>
      <c r="H68" s="15">
        <v>4</v>
      </c>
      <c r="I68" s="15" t="s">
        <v>181</v>
      </c>
      <c r="J68" s="15" t="s">
        <v>658</v>
      </c>
      <c r="K68" s="15" t="s">
        <v>964</v>
      </c>
      <c r="L68" s="15" t="s">
        <v>57</v>
      </c>
      <c r="M68" s="15">
        <v>1498</v>
      </c>
      <c r="N68" s="15"/>
      <c r="O68" s="15"/>
      <c r="P68" s="18">
        <v>0.18</v>
      </c>
      <c r="Q68" s="15" t="s">
        <v>184</v>
      </c>
      <c r="R68" s="15" t="s">
        <v>533</v>
      </c>
      <c r="S68" s="15" t="s">
        <v>600</v>
      </c>
      <c r="T68" s="15" t="s">
        <v>962</v>
      </c>
      <c r="U68" s="15" t="s">
        <v>965</v>
      </c>
      <c r="V68" s="15" t="s">
        <v>59</v>
      </c>
      <c r="W68" s="15" t="s">
        <v>70</v>
      </c>
      <c r="X68" s="15"/>
      <c r="Y68" s="15"/>
      <c r="Z68" s="15"/>
      <c r="AA68" s="15"/>
      <c r="AB68" s="15"/>
    </row>
    <row r="69" spans="1:28">
      <c r="A69" s="30" t="s">
        <v>1015</v>
      </c>
      <c r="B69" s="30" t="s">
        <v>1003</v>
      </c>
      <c r="C69" s="30" t="s">
        <v>1011</v>
      </c>
      <c r="D69" s="15" t="s">
        <v>531</v>
      </c>
      <c r="E69" s="15" t="s">
        <v>963</v>
      </c>
      <c r="F69" s="15" t="s">
        <v>180</v>
      </c>
      <c r="G69" s="15">
        <v>5</v>
      </c>
      <c r="H69" s="15">
        <v>4</v>
      </c>
      <c r="I69" s="15" t="s">
        <v>181</v>
      </c>
      <c r="J69" s="15" t="s">
        <v>658</v>
      </c>
      <c r="K69" s="15" t="s">
        <v>964</v>
      </c>
      <c r="L69" s="15" t="s">
        <v>57</v>
      </c>
      <c r="M69" s="15"/>
      <c r="N69" s="19" t="s">
        <v>183</v>
      </c>
      <c r="O69" s="15"/>
      <c r="P69" s="18">
        <v>0.05</v>
      </c>
      <c r="Q69" s="15" t="s">
        <v>184</v>
      </c>
      <c r="R69" s="15" t="s">
        <v>533</v>
      </c>
      <c r="S69" s="15" t="s">
        <v>1003</v>
      </c>
      <c r="T69" s="15" t="s">
        <v>1011</v>
      </c>
      <c r="U69" s="15" t="s">
        <v>1012</v>
      </c>
      <c r="V69" s="15" t="s">
        <v>80</v>
      </c>
      <c r="W69" s="15" t="s">
        <v>70</v>
      </c>
      <c r="X69" s="15"/>
      <c r="Y69" s="15"/>
      <c r="Z69" s="15"/>
      <c r="AA69" s="15"/>
      <c r="AB69" s="15"/>
    </row>
    <row r="70" spans="1:28">
      <c r="A70" s="30" t="s">
        <v>1016</v>
      </c>
      <c r="B70" s="30" t="s">
        <v>1003</v>
      </c>
      <c r="C70" s="30" t="s">
        <v>1011</v>
      </c>
      <c r="D70" s="15" t="s">
        <v>531</v>
      </c>
      <c r="E70" s="15" t="s">
        <v>963</v>
      </c>
      <c r="F70" s="15" t="s">
        <v>180</v>
      </c>
      <c r="G70" s="15">
        <v>5</v>
      </c>
      <c r="H70" s="15">
        <v>4</v>
      </c>
      <c r="I70" s="15" t="s">
        <v>181</v>
      </c>
      <c r="J70" s="15" t="s">
        <v>658</v>
      </c>
      <c r="K70" s="15" t="s">
        <v>964</v>
      </c>
      <c r="L70" s="15" t="s">
        <v>57</v>
      </c>
      <c r="M70" s="15"/>
      <c r="N70" s="19" t="s">
        <v>183</v>
      </c>
      <c r="O70" s="15"/>
      <c r="P70" s="18">
        <v>0.05</v>
      </c>
      <c r="Q70" s="15" t="s">
        <v>184</v>
      </c>
      <c r="R70" s="15" t="s">
        <v>533</v>
      </c>
      <c r="S70" s="15" t="s">
        <v>1003</v>
      </c>
      <c r="T70" s="15" t="s">
        <v>1011</v>
      </c>
      <c r="U70" s="15" t="s">
        <v>1012</v>
      </c>
      <c r="V70" s="15" t="s">
        <v>94</v>
      </c>
      <c r="W70" s="15" t="s">
        <v>70</v>
      </c>
      <c r="X70" s="15"/>
      <c r="Y70" s="15"/>
      <c r="Z70" s="15"/>
      <c r="AA70" s="15"/>
      <c r="AB70" s="15"/>
    </row>
    <row r="71" spans="1:28">
      <c r="A71" s="30" t="s">
        <v>1017</v>
      </c>
      <c r="B71" s="30" t="s">
        <v>1003</v>
      </c>
      <c r="C71" s="30" t="s">
        <v>1011</v>
      </c>
      <c r="D71" s="15" t="s">
        <v>531</v>
      </c>
      <c r="E71" s="15" t="s">
        <v>963</v>
      </c>
      <c r="F71" s="15" t="s">
        <v>180</v>
      </c>
      <c r="G71" s="15">
        <v>5</v>
      </c>
      <c r="H71" s="15">
        <v>4</v>
      </c>
      <c r="I71" s="15" t="s">
        <v>181</v>
      </c>
      <c r="J71" s="15" t="s">
        <v>658</v>
      </c>
      <c r="K71" s="15" t="s">
        <v>964</v>
      </c>
      <c r="L71" s="15" t="s">
        <v>57</v>
      </c>
      <c r="M71" s="15"/>
      <c r="N71" s="19" t="s">
        <v>183</v>
      </c>
      <c r="O71" s="15"/>
      <c r="P71" s="18">
        <v>0.05</v>
      </c>
      <c r="Q71" s="15" t="s">
        <v>184</v>
      </c>
      <c r="R71" s="15" t="s">
        <v>533</v>
      </c>
      <c r="S71" s="15" t="s">
        <v>1003</v>
      </c>
      <c r="T71" s="15" t="s">
        <v>1011</v>
      </c>
      <c r="U71" s="15" t="s">
        <v>1012</v>
      </c>
      <c r="V71" s="15" t="s">
        <v>59</v>
      </c>
      <c r="W71" s="15" t="s">
        <v>70</v>
      </c>
      <c r="X71" s="15"/>
      <c r="Y71" s="15"/>
      <c r="Z71" s="15"/>
      <c r="AA71" s="15"/>
      <c r="AB71" s="15"/>
    </row>
    <row r="72" spans="1:28">
      <c r="A72" s="30" t="s">
        <v>127</v>
      </c>
      <c r="B72" s="30" t="s">
        <v>115</v>
      </c>
      <c r="C72" s="30" t="s">
        <v>128</v>
      </c>
      <c r="D72" s="15" t="s">
        <v>531</v>
      </c>
      <c r="E72" s="15" t="s">
        <v>963</v>
      </c>
      <c r="F72" s="15" t="s">
        <v>180</v>
      </c>
      <c r="G72" s="15">
        <v>5</v>
      </c>
      <c r="H72" s="15">
        <v>4</v>
      </c>
      <c r="I72" s="15" t="s">
        <v>181</v>
      </c>
      <c r="J72" s="15" t="s">
        <v>658</v>
      </c>
      <c r="K72" s="15" t="s">
        <v>964</v>
      </c>
      <c r="L72" s="15" t="s">
        <v>57</v>
      </c>
      <c r="M72" s="15"/>
      <c r="N72" s="19" t="s">
        <v>183</v>
      </c>
      <c r="O72" s="15"/>
      <c r="P72" s="18">
        <v>0.05</v>
      </c>
      <c r="Q72" s="15" t="s">
        <v>184</v>
      </c>
      <c r="R72" s="15" t="s">
        <v>533</v>
      </c>
      <c r="S72" s="15" t="s">
        <v>115</v>
      </c>
      <c r="T72" s="15" t="s">
        <v>1018</v>
      </c>
      <c r="U72" s="15" t="s">
        <v>1019</v>
      </c>
      <c r="V72" s="15" t="s">
        <v>94</v>
      </c>
      <c r="W72" s="15" t="s">
        <v>70</v>
      </c>
      <c r="X72" s="15"/>
      <c r="Y72" s="15"/>
      <c r="Z72" s="15"/>
      <c r="AA72" s="15"/>
      <c r="AB72" s="15"/>
    </row>
    <row r="73" spans="1:28">
      <c r="A73" s="30" t="s">
        <v>130</v>
      </c>
      <c r="B73" s="30" t="s">
        <v>115</v>
      </c>
      <c r="C73" s="30" t="s">
        <v>128</v>
      </c>
      <c r="D73" s="15" t="s">
        <v>531</v>
      </c>
      <c r="E73" s="15" t="s">
        <v>963</v>
      </c>
      <c r="F73" s="15" t="s">
        <v>180</v>
      </c>
      <c r="G73" s="15">
        <v>5</v>
      </c>
      <c r="H73" s="15">
        <v>4</v>
      </c>
      <c r="I73" s="15" t="s">
        <v>181</v>
      </c>
      <c r="J73" s="15" t="s">
        <v>658</v>
      </c>
      <c r="K73" s="15" t="s">
        <v>964</v>
      </c>
      <c r="L73" s="15" t="s">
        <v>57</v>
      </c>
      <c r="M73" s="15"/>
      <c r="N73" s="19" t="s">
        <v>183</v>
      </c>
      <c r="O73" s="15"/>
      <c r="P73" s="18">
        <v>0.05</v>
      </c>
      <c r="Q73" s="15" t="s">
        <v>184</v>
      </c>
      <c r="R73" s="15" t="s">
        <v>533</v>
      </c>
      <c r="S73" s="15" t="s">
        <v>115</v>
      </c>
      <c r="T73" s="15" t="s">
        <v>1018</v>
      </c>
      <c r="U73" s="15" t="s">
        <v>1019</v>
      </c>
      <c r="V73" s="15" t="s">
        <v>132</v>
      </c>
      <c r="W73" s="15" t="s">
        <v>70</v>
      </c>
      <c r="X73" s="15"/>
      <c r="Y73" s="15"/>
      <c r="Z73" s="15"/>
      <c r="AA73" s="15"/>
      <c r="AB73" s="15"/>
    </row>
    <row r="74" spans="1:28">
      <c r="A74" s="30" t="s">
        <v>972</v>
      </c>
      <c r="B74" s="30" t="s">
        <v>528</v>
      </c>
      <c r="C74" s="30" t="s">
        <v>781</v>
      </c>
      <c r="D74" s="15" t="s">
        <v>531</v>
      </c>
      <c r="E74" s="15" t="s">
        <v>963</v>
      </c>
      <c r="F74" s="15" t="s">
        <v>644</v>
      </c>
      <c r="G74" s="15">
        <v>7</v>
      </c>
      <c r="H74" s="15">
        <v>4</v>
      </c>
      <c r="I74" s="15" t="s">
        <v>48</v>
      </c>
      <c r="J74" s="15" t="s">
        <v>658</v>
      </c>
      <c r="K74" s="15" t="s">
        <v>182</v>
      </c>
      <c r="L74" s="15" t="s">
        <v>57</v>
      </c>
      <c r="M74" s="15">
        <v>1999</v>
      </c>
      <c r="N74" s="15"/>
      <c r="O74" s="15"/>
      <c r="P74" s="18">
        <v>0.4</v>
      </c>
      <c r="Q74" s="15" t="s">
        <v>184</v>
      </c>
      <c r="R74" s="15" t="s">
        <v>533</v>
      </c>
      <c r="S74" s="15" t="s">
        <v>528</v>
      </c>
      <c r="T74" s="15" t="s">
        <v>1093</v>
      </c>
      <c r="U74" s="15" t="s">
        <v>1094</v>
      </c>
      <c r="V74" s="15" t="s">
        <v>94</v>
      </c>
      <c r="W74" s="15" t="s">
        <v>70</v>
      </c>
      <c r="X74" s="15"/>
      <c r="Y74" s="15"/>
      <c r="Z74" s="15"/>
      <c r="AA74" s="15"/>
      <c r="AB74" s="15"/>
    </row>
    <row r="75" spans="1:28">
      <c r="A75" s="30" t="s">
        <v>973</v>
      </c>
      <c r="B75" s="30" t="s">
        <v>528</v>
      </c>
      <c r="C75" s="30" t="s">
        <v>781</v>
      </c>
      <c r="D75" s="15" t="s">
        <v>531</v>
      </c>
      <c r="E75" s="15" t="s">
        <v>963</v>
      </c>
      <c r="F75" s="15" t="s">
        <v>644</v>
      </c>
      <c r="G75" s="15">
        <v>7</v>
      </c>
      <c r="H75" s="15">
        <v>4</v>
      </c>
      <c r="I75" s="15" t="s">
        <v>48</v>
      </c>
      <c r="J75" s="15" t="s">
        <v>658</v>
      </c>
      <c r="K75" s="15" t="s">
        <v>182</v>
      </c>
      <c r="L75" s="15" t="s">
        <v>57</v>
      </c>
      <c r="M75" s="15">
        <v>1999</v>
      </c>
      <c r="N75" s="15"/>
      <c r="O75" s="15"/>
      <c r="P75" s="18">
        <v>0.4</v>
      </c>
      <c r="Q75" s="15" t="s">
        <v>184</v>
      </c>
      <c r="R75" s="15" t="s">
        <v>533</v>
      </c>
      <c r="S75" s="15" t="s">
        <v>528</v>
      </c>
      <c r="T75" s="15" t="s">
        <v>1093</v>
      </c>
      <c r="U75" s="15" t="s">
        <v>1094</v>
      </c>
      <c r="V75" s="15" t="s">
        <v>59</v>
      </c>
      <c r="W75" s="15" t="s">
        <v>70</v>
      </c>
      <c r="X75" s="15"/>
      <c r="Y75" s="15"/>
      <c r="Z75" s="15"/>
      <c r="AA75" s="15"/>
      <c r="AB75" s="15"/>
    </row>
    <row r="76" spans="1:28">
      <c r="A76" s="30" t="s">
        <v>1076</v>
      </c>
      <c r="B76" s="30" t="s">
        <v>528</v>
      </c>
      <c r="C76" s="30" t="s">
        <v>781</v>
      </c>
      <c r="D76" s="15" t="s">
        <v>531</v>
      </c>
      <c r="E76" s="15" t="s">
        <v>963</v>
      </c>
      <c r="F76" s="15" t="s">
        <v>644</v>
      </c>
      <c r="G76" s="15">
        <v>7</v>
      </c>
      <c r="H76" s="15">
        <v>4</v>
      </c>
      <c r="I76" s="15" t="s">
        <v>48</v>
      </c>
      <c r="J76" s="15" t="s">
        <v>658</v>
      </c>
      <c r="K76" s="15" t="s">
        <v>182</v>
      </c>
      <c r="L76" s="15" t="s">
        <v>57</v>
      </c>
      <c r="M76" s="15">
        <v>1999</v>
      </c>
      <c r="N76" s="15"/>
      <c r="O76" s="15"/>
      <c r="P76" s="18">
        <v>0.4</v>
      </c>
      <c r="Q76" s="15" t="s">
        <v>184</v>
      </c>
      <c r="R76" s="15" t="s">
        <v>533</v>
      </c>
      <c r="S76" s="15" t="s">
        <v>528</v>
      </c>
      <c r="T76" s="15" t="s">
        <v>1093</v>
      </c>
      <c r="U76" s="15" t="s">
        <v>1094</v>
      </c>
      <c r="V76" s="15" t="s">
        <v>712</v>
      </c>
      <c r="W76" s="15" t="s">
        <v>70</v>
      </c>
      <c r="X76" s="15"/>
      <c r="Y76" s="15"/>
      <c r="Z76" s="15"/>
      <c r="AA76" s="15"/>
      <c r="AB76" s="15"/>
    </row>
    <row r="77" spans="1:28">
      <c r="A77" s="30" t="s">
        <v>1077</v>
      </c>
      <c r="B77" s="30" t="s">
        <v>528</v>
      </c>
      <c r="C77" s="30" t="s">
        <v>781</v>
      </c>
      <c r="D77" s="15" t="s">
        <v>531</v>
      </c>
      <c r="E77" s="15" t="s">
        <v>963</v>
      </c>
      <c r="F77" s="15" t="s">
        <v>644</v>
      </c>
      <c r="G77" s="15">
        <v>7</v>
      </c>
      <c r="H77" s="15">
        <v>4</v>
      </c>
      <c r="I77" s="15" t="s">
        <v>48</v>
      </c>
      <c r="J77" s="15" t="s">
        <v>658</v>
      </c>
      <c r="K77" s="15" t="s">
        <v>182</v>
      </c>
      <c r="L77" s="15" t="s">
        <v>57</v>
      </c>
      <c r="M77" s="15">
        <v>1999</v>
      </c>
      <c r="N77" s="15"/>
      <c r="O77" s="15"/>
      <c r="P77" s="18">
        <v>0.4</v>
      </c>
      <c r="Q77" s="15" t="s">
        <v>184</v>
      </c>
      <c r="R77" s="15" t="s">
        <v>533</v>
      </c>
      <c r="S77" s="15" t="s">
        <v>528</v>
      </c>
      <c r="T77" s="15" t="s">
        <v>1093</v>
      </c>
      <c r="U77" s="15" t="s">
        <v>1094</v>
      </c>
      <c r="V77" s="15" t="s">
        <v>124</v>
      </c>
      <c r="W77" s="15" t="s">
        <v>70</v>
      </c>
      <c r="X77" s="15"/>
      <c r="Y77" s="15"/>
      <c r="Z77" s="15"/>
      <c r="AA77" s="15"/>
      <c r="AB77" s="15"/>
    </row>
    <row r="78" spans="1:28">
      <c r="A78" s="30" t="s">
        <v>1095</v>
      </c>
      <c r="B78" s="30" t="s">
        <v>528</v>
      </c>
      <c r="C78" s="30" t="s">
        <v>781</v>
      </c>
      <c r="D78" s="15" t="s">
        <v>531</v>
      </c>
      <c r="E78" s="15" t="s">
        <v>963</v>
      </c>
      <c r="F78" s="15" t="s">
        <v>644</v>
      </c>
      <c r="G78" s="15">
        <v>7</v>
      </c>
      <c r="H78" s="15">
        <v>4</v>
      </c>
      <c r="I78" s="15" t="s">
        <v>48</v>
      </c>
      <c r="J78" s="15" t="s">
        <v>658</v>
      </c>
      <c r="K78" s="15" t="s">
        <v>182</v>
      </c>
      <c r="L78" s="15" t="s">
        <v>57</v>
      </c>
      <c r="M78" s="15">
        <v>1999</v>
      </c>
      <c r="N78" s="15"/>
      <c r="O78" s="15"/>
      <c r="P78" s="18">
        <v>0.4</v>
      </c>
      <c r="Q78" s="15" t="s">
        <v>184</v>
      </c>
      <c r="R78" s="15" t="s">
        <v>533</v>
      </c>
      <c r="S78" s="15" t="s">
        <v>528</v>
      </c>
      <c r="T78" s="15" t="s">
        <v>1093</v>
      </c>
      <c r="U78" s="15" t="s">
        <v>1094</v>
      </c>
      <c r="V78" s="15" t="s">
        <v>239</v>
      </c>
      <c r="W78" s="15" t="s">
        <v>70</v>
      </c>
      <c r="X78" s="15"/>
      <c r="Y78" s="15"/>
      <c r="Z78" s="15"/>
      <c r="AA78" s="15"/>
      <c r="AB78" s="15"/>
    </row>
    <row r="79" spans="1:28">
      <c r="A79" s="30" t="s">
        <v>648</v>
      </c>
      <c r="B79" s="30" t="s">
        <v>208</v>
      </c>
      <c r="C79" s="30" t="s">
        <v>649</v>
      </c>
      <c r="D79" s="15" t="s">
        <v>531</v>
      </c>
      <c r="E79" s="15" t="s">
        <v>963</v>
      </c>
      <c r="F79" s="15" t="s">
        <v>105</v>
      </c>
      <c r="G79" s="15">
        <v>7</v>
      </c>
      <c r="H79" s="15">
        <v>4</v>
      </c>
      <c r="I79" s="15" t="s">
        <v>48</v>
      </c>
      <c r="J79" s="15" t="s">
        <v>658</v>
      </c>
      <c r="K79" s="15" t="s">
        <v>182</v>
      </c>
      <c r="L79" s="15" t="s">
        <v>57</v>
      </c>
      <c r="M79" s="15">
        <v>2184</v>
      </c>
      <c r="N79" s="15"/>
      <c r="O79" s="15"/>
      <c r="P79" s="18">
        <v>0.4</v>
      </c>
      <c r="Q79" s="15" t="s">
        <v>184</v>
      </c>
      <c r="R79" s="15" t="s">
        <v>533</v>
      </c>
      <c r="S79" s="15" t="s">
        <v>208</v>
      </c>
      <c r="T79" s="15" t="s">
        <v>649</v>
      </c>
      <c r="U79" s="15" t="s">
        <v>1096</v>
      </c>
      <c r="V79" s="15" t="s">
        <v>137</v>
      </c>
      <c r="W79" s="15" t="s">
        <v>70</v>
      </c>
      <c r="X79" s="15"/>
      <c r="Y79" s="15"/>
      <c r="Z79" s="15"/>
      <c r="AA79" s="15"/>
      <c r="AB79" s="15"/>
    </row>
    <row r="80" spans="1:28">
      <c r="A80" s="30" t="s">
        <v>651</v>
      </c>
      <c r="B80" s="30" t="s">
        <v>208</v>
      </c>
      <c r="C80" s="30" t="s">
        <v>649</v>
      </c>
      <c r="D80" s="15" t="s">
        <v>531</v>
      </c>
      <c r="E80" s="15" t="s">
        <v>963</v>
      </c>
      <c r="F80" s="15" t="s">
        <v>105</v>
      </c>
      <c r="G80" s="15">
        <v>7</v>
      </c>
      <c r="H80" s="15">
        <v>4</v>
      </c>
      <c r="I80" s="15" t="s">
        <v>48</v>
      </c>
      <c r="J80" s="15" t="s">
        <v>658</v>
      </c>
      <c r="K80" s="15" t="s">
        <v>182</v>
      </c>
      <c r="L80" s="15" t="s">
        <v>57</v>
      </c>
      <c r="M80" s="15">
        <v>2184</v>
      </c>
      <c r="N80" s="15"/>
      <c r="O80" s="15"/>
      <c r="P80" s="18">
        <v>0.4</v>
      </c>
      <c r="Q80" s="15" t="s">
        <v>184</v>
      </c>
      <c r="R80" s="15" t="s">
        <v>533</v>
      </c>
      <c r="S80" s="15" t="s">
        <v>208</v>
      </c>
      <c r="T80" s="15" t="s">
        <v>649</v>
      </c>
      <c r="U80" s="15" t="s">
        <v>1096</v>
      </c>
      <c r="V80" s="15" t="s">
        <v>231</v>
      </c>
      <c r="W80" s="15" t="s">
        <v>70</v>
      </c>
      <c r="X80" s="15"/>
      <c r="Y80" s="15"/>
      <c r="Z80" s="15"/>
      <c r="AA80" s="15"/>
      <c r="AB80" s="15"/>
    </row>
    <row r="81" spans="1:28">
      <c r="A81" s="30" t="s">
        <v>652</v>
      </c>
      <c r="B81" s="30" t="s">
        <v>208</v>
      </c>
      <c r="C81" s="30" t="s">
        <v>649</v>
      </c>
      <c r="D81" s="15" t="s">
        <v>531</v>
      </c>
      <c r="E81" s="15" t="s">
        <v>963</v>
      </c>
      <c r="F81" s="15" t="s">
        <v>105</v>
      </c>
      <c r="G81" s="15">
        <v>7</v>
      </c>
      <c r="H81" s="15">
        <v>4</v>
      </c>
      <c r="I81" s="15" t="s">
        <v>48</v>
      </c>
      <c r="J81" s="15" t="s">
        <v>658</v>
      </c>
      <c r="K81" s="15" t="s">
        <v>182</v>
      </c>
      <c r="L81" s="15" t="s">
        <v>57</v>
      </c>
      <c r="M81" s="15">
        <v>2184</v>
      </c>
      <c r="N81" s="15"/>
      <c r="O81" s="15"/>
      <c r="P81" s="18">
        <v>0.4</v>
      </c>
      <c r="Q81" s="15" t="s">
        <v>184</v>
      </c>
      <c r="R81" s="15" t="s">
        <v>533</v>
      </c>
      <c r="S81" s="15" t="s">
        <v>208</v>
      </c>
      <c r="T81" s="15" t="s">
        <v>649</v>
      </c>
      <c r="U81" s="15" t="s">
        <v>1096</v>
      </c>
      <c r="V81" s="15" t="s">
        <v>132</v>
      </c>
      <c r="W81" s="15" t="s">
        <v>70</v>
      </c>
      <c r="X81" s="15"/>
      <c r="Y81" s="15"/>
      <c r="Z81" s="15"/>
      <c r="AA81" s="15"/>
      <c r="AB81" s="15"/>
    </row>
    <row r="82" spans="1:28">
      <c r="A82" s="30" t="s">
        <v>653</v>
      </c>
      <c r="B82" s="30" t="s">
        <v>208</v>
      </c>
      <c r="C82" s="30" t="s">
        <v>649</v>
      </c>
      <c r="D82" s="15" t="s">
        <v>531</v>
      </c>
      <c r="E82" s="15" t="s">
        <v>963</v>
      </c>
      <c r="F82" s="15" t="s">
        <v>105</v>
      </c>
      <c r="G82" s="15">
        <v>7</v>
      </c>
      <c r="H82" s="15">
        <v>4</v>
      </c>
      <c r="I82" s="15" t="s">
        <v>48</v>
      </c>
      <c r="J82" s="15" t="s">
        <v>658</v>
      </c>
      <c r="K82" s="15" t="s">
        <v>182</v>
      </c>
      <c r="L82" s="15" t="s">
        <v>57</v>
      </c>
      <c r="M82" s="15">
        <v>2184</v>
      </c>
      <c r="N82" s="15"/>
      <c r="O82" s="15"/>
      <c r="P82" s="18">
        <v>0.4</v>
      </c>
      <c r="Q82" s="15" t="s">
        <v>184</v>
      </c>
      <c r="R82" s="15" t="s">
        <v>533</v>
      </c>
      <c r="S82" s="15" t="s">
        <v>208</v>
      </c>
      <c r="T82" s="15" t="s">
        <v>649</v>
      </c>
      <c r="U82" s="15" t="s">
        <v>1096</v>
      </c>
      <c r="V82" s="15" t="s">
        <v>94</v>
      </c>
      <c r="W82" s="15" t="s">
        <v>70</v>
      </c>
      <c r="X82" s="15"/>
      <c r="Y82" s="15"/>
      <c r="Z82" s="15"/>
      <c r="AA82" s="15"/>
      <c r="AB82" s="15"/>
    </row>
    <row r="83" spans="1:28">
      <c r="A83" s="30" t="s">
        <v>654</v>
      </c>
      <c r="B83" s="30" t="s">
        <v>208</v>
      </c>
      <c r="C83" s="30" t="s">
        <v>649</v>
      </c>
      <c r="D83" s="15" t="s">
        <v>531</v>
      </c>
      <c r="E83" s="15" t="s">
        <v>963</v>
      </c>
      <c r="F83" s="15" t="s">
        <v>105</v>
      </c>
      <c r="G83" s="15">
        <v>7</v>
      </c>
      <c r="H83" s="15">
        <v>4</v>
      </c>
      <c r="I83" s="15" t="s">
        <v>48</v>
      </c>
      <c r="J83" s="15" t="s">
        <v>658</v>
      </c>
      <c r="K83" s="15" t="s">
        <v>182</v>
      </c>
      <c r="L83" s="15" t="s">
        <v>57</v>
      </c>
      <c r="M83" s="15">
        <v>2184</v>
      </c>
      <c r="N83" s="15"/>
      <c r="O83" s="15"/>
      <c r="P83" s="18">
        <v>0.4</v>
      </c>
      <c r="Q83" s="15" t="s">
        <v>184</v>
      </c>
      <c r="R83" s="15" t="s">
        <v>533</v>
      </c>
      <c r="S83" s="15" t="s">
        <v>208</v>
      </c>
      <c r="T83" s="15" t="s">
        <v>649</v>
      </c>
      <c r="U83" s="15" t="s">
        <v>1096</v>
      </c>
      <c r="V83" s="15" t="s">
        <v>59</v>
      </c>
      <c r="W83" s="15" t="s">
        <v>70</v>
      </c>
      <c r="X83" s="15"/>
      <c r="Y83" s="15"/>
      <c r="Z83" s="15"/>
      <c r="AA83" s="15"/>
      <c r="AB83" s="15"/>
    </row>
    <row r="84" spans="1:28">
      <c r="A84" s="30" t="s">
        <v>1121</v>
      </c>
      <c r="B84" s="30" t="s">
        <v>1102</v>
      </c>
      <c r="C84" s="30" t="s">
        <v>1120</v>
      </c>
      <c r="D84" s="15" t="s">
        <v>41</v>
      </c>
      <c r="E84" s="15" t="s">
        <v>41</v>
      </c>
      <c r="F84" s="15" t="s">
        <v>180</v>
      </c>
      <c r="G84" s="15">
        <v>2</v>
      </c>
      <c r="H84" s="15">
        <v>4</v>
      </c>
      <c r="I84" s="15" t="s">
        <v>181</v>
      </c>
      <c r="J84" s="15" t="s">
        <v>50</v>
      </c>
      <c r="K84" s="15" t="s">
        <v>54</v>
      </c>
      <c r="L84" s="15" t="s">
        <v>57</v>
      </c>
      <c r="M84" s="15"/>
      <c r="N84" s="15"/>
      <c r="O84" s="15">
        <v>1675</v>
      </c>
      <c r="P84" s="18">
        <v>0.05</v>
      </c>
      <c r="Q84" s="15" t="s">
        <v>64</v>
      </c>
      <c r="R84" s="15" t="s">
        <v>65</v>
      </c>
      <c r="S84" s="15" t="s">
        <v>1102</v>
      </c>
      <c r="T84" s="15" t="s">
        <v>1223</v>
      </c>
      <c r="U84" s="15" t="s">
        <v>1224</v>
      </c>
      <c r="V84" s="15" t="s">
        <v>62</v>
      </c>
      <c r="W84" s="15" t="s">
        <v>70</v>
      </c>
      <c r="X84" s="15"/>
      <c r="Y84" s="15"/>
      <c r="Z84" s="15"/>
      <c r="AA84" s="15"/>
      <c r="AB84" s="15"/>
    </row>
    <row r="85" spans="1:28">
      <c r="A85" s="30" t="s">
        <v>1129</v>
      </c>
      <c r="B85" s="30" t="s">
        <v>1102</v>
      </c>
      <c r="C85" s="30" t="s">
        <v>1128</v>
      </c>
      <c r="D85" s="15" t="s">
        <v>41</v>
      </c>
      <c r="E85" s="15" t="s">
        <v>41</v>
      </c>
      <c r="F85" s="15" t="s">
        <v>180</v>
      </c>
      <c r="G85" s="15">
        <v>2</v>
      </c>
      <c r="H85" s="15">
        <v>4</v>
      </c>
      <c r="I85" s="15" t="s">
        <v>181</v>
      </c>
      <c r="J85" s="15" t="s">
        <v>50</v>
      </c>
      <c r="K85" s="15" t="s">
        <v>54</v>
      </c>
      <c r="L85" s="15" t="s">
        <v>57</v>
      </c>
      <c r="M85" s="15"/>
      <c r="N85" s="15"/>
      <c r="O85" s="15">
        <v>1675</v>
      </c>
      <c r="P85" s="18">
        <v>0.05</v>
      </c>
      <c r="Q85" s="15" t="s">
        <v>64</v>
      </c>
      <c r="R85" s="15" t="s">
        <v>65</v>
      </c>
      <c r="S85" s="15" t="s">
        <v>1102</v>
      </c>
      <c r="T85" s="15" t="s">
        <v>1225</v>
      </c>
      <c r="U85" s="15" t="s">
        <v>1226</v>
      </c>
      <c r="V85" s="15" t="s">
        <v>62</v>
      </c>
      <c r="W85" s="15" t="s">
        <v>647</v>
      </c>
      <c r="X85" s="15"/>
      <c r="Y85" s="15"/>
      <c r="Z85" s="15"/>
      <c r="AA85" s="15"/>
      <c r="AB85" s="15"/>
    </row>
    <row r="86" spans="1:28">
      <c r="A86" s="30" t="s">
        <v>1116</v>
      </c>
      <c r="B86" s="30" t="s">
        <v>1102</v>
      </c>
      <c r="C86" s="30" t="s">
        <v>1115</v>
      </c>
      <c r="D86" s="15" t="s">
        <v>41</v>
      </c>
      <c r="E86" s="15" t="s">
        <v>41</v>
      </c>
      <c r="F86" s="15" t="s">
        <v>180</v>
      </c>
      <c r="G86" s="15">
        <v>2</v>
      </c>
      <c r="H86" s="15">
        <v>4</v>
      </c>
      <c r="I86" s="15" t="s">
        <v>181</v>
      </c>
      <c r="J86" s="15" t="s">
        <v>50</v>
      </c>
      <c r="K86" s="15" t="s">
        <v>54</v>
      </c>
      <c r="L86" s="15" t="s">
        <v>57</v>
      </c>
      <c r="M86" s="15"/>
      <c r="N86" s="15"/>
      <c r="O86" s="15">
        <v>1675</v>
      </c>
      <c r="P86" s="18">
        <v>0.05</v>
      </c>
      <c r="Q86" s="15" t="s">
        <v>64</v>
      </c>
      <c r="R86" s="15" t="s">
        <v>65</v>
      </c>
      <c r="S86" s="15" t="s">
        <v>1102</v>
      </c>
      <c r="T86" s="15" t="s">
        <v>1227</v>
      </c>
      <c r="U86" s="15" t="s">
        <v>1228</v>
      </c>
      <c r="V86" s="15" t="s">
        <v>62</v>
      </c>
      <c r="W86" s="15" t="s">
        <v>647</v>
      </c>
      <c r="X86" s="15"/>
      <c r="Y86" s="15"/>
      <c r="Z86" s="15"/>
      <c r="AA86" s="15"/>
      <c r="AB86" s="15"/>
    </row>
    <row r="87" spans="1:28">
      <c r="A87" s="30" t="s">
        <v>1229</v>
      </c>
      <c r="B87" s="30" t="s">
        <v>1230</v>
      </c>
      <c r="C87" s="30" t="s">
        <v>1231</v>
      </c>
      <c r="D87" s="15" t="s">
        <v>41</v>
      </c>
      <c r="E87" s="15" t="s">
        <v>41</v>
      </c>
      <c r="F87" s="15" t="s">
        <v>180</v>
      </c>
      <c r="G87" s="15">
        <v>1</v>
      </c>
      <c r="H87" s="15">
        <v>3</v>
      </c>
      <c r="I87" s="15" t="s">
        <v>181</v>
      </c>
      <c r="J87" s="15" t="s">
        <v>50</v>
      </c>
      <c r="K87" s="15" t="s">
        <v>54</v>
      </c>
      <c r="L87" s="15" t="s">
        <v>57</v>
      </c>
      <c r="M87" s="15"/>
      <c r="N87" s="15"/>
      <c r="O87" s="15">
        <v>998</v>
      </c>
      <c r="P87" s="18">
        <v>0.05</v>
      </c>
      <c r="Q87" s="15" t="s">
        <v>64</v>
      </c>
      <c r="R87" s="15" t="s">
        <v>65</v>
      </c>
      <c r="S87" s="15" t="s">
        <v>1230</v>
      </c>
      <c r="T87" s="15" t="s">
        <v>915</v>
      </c>
      <c r="U87" s="15" t="s">
        <v>1232</v>
      </c>
      <c r="V87" s="15" t="s">
        <v>62</v>
      </c>
      <c r="W87" s="15" t="s">
        <v>70</v>
      </c>
      <c r="X87" s="15"/>
      <c r="Y87" s="15"/>
      <c r="Z87" s="15"/>
      <c r="AA87" s="15"/>
      <c r="AB87" s="15"/>
    </row>
    <row r="88" spans="1:28">
      <c r="A88" s="30" t="s">
        <v>1233</v>
      </c>
      <c r="B88" s="30" t="s">
        <v>1230</v>
      </c>
      <c r="C88" s="30" t="s">
        <v>1234</v>
      </c>
      <c r="D88" s="15" t="s">
        <v>41</v>
      </c>
      <c r="E88" s="15" t="s">
        <v>41</v>
      </c>
      <c r="F88" s="15" t="s">
        <v>180</v>
      </c>
      <c r="G88" s="15">
        <v>1</v>
      </c>
      <c r="H88" s="15">
        <v>3</v>
      </c>
      <c r="I88" s="15" t="s">
        <v>181</v>
      </c>
      <c r="J88" s="15" t="s">
        <v>50</v>
      </c>
      <c r="K88" s="15" t="s">
        <v>54</v>
      </c>
      <c r="L88" s="15" t="s">
        <v>57</v>
      </c>
      <c r="M88" s="15"/>
      <c r="N88" s="15"/>
      <c r="O88" s="15">
        <v>998</v>
      </c>
      <c r="P88" s="18">
        <v>0.05</v>
      </c>
      <c r="Q88" s="15" t="s">
        <v>64</v>
      </c>
      <c r="R88" s="15" t="s">
        <v>65</v>
      </c>
      <c r="S88" s="15" t="s">
        <v>1230</v>
      </c>
      <c r="T88" s="15" t="s">
        <v>1235</v>
      </c>
      <c r="U88" s="15" t="s">
        <v>1236</v>
      </c>
      <c r="V88" s="15" t="s">
        <v>62</v>
      </c>
      <c r="W88" s="15" t="s">
        <v>70</v>
      </c>
      <c r="X88" s="15"/>
      <c r="Y88" s="15"/>
      <c r="Z88" s="15"/>
      <c r="AA88" s="15"/>
      <c r="AB88" s="15"/>
    </row>
    <row r="89" spans="1:28">
      <c r="A89" s="30" t="s">
        <v>1238</v>
      </c>
      <c r="B89" s="30" t="s">
        <v>1237</v>
      </c>
      <c r="C89" s="30" t="s">
        <v>1239</v>
      </c>
      <c r="D89" s="15" t="s">
        <v>41</v>
      </c>
      <c r="E89" s="15" t="s">
        <v>41</v>
      </c>
      <c r="F89" s="15" t="s">
        <v>180</v>
      </c>
      <c r="G89" s="15">
        <v>1</v>
      </c>
      <c r="H89" s="15">
        <v>3</v>
      </c>
      <c r="I89" s="15" t="s">
        <v>181</v>
      </c>
      <c r="J89" s="15" t="s">
        <v>50</v>
      </c>
      <c r="K89" s="15" t="s">
        <v>54</v>
      </c>
      <c r="L89" s="15" t="s">
        <v>57</v>
      </c>
      <c r="M89" s="15"/>
      <c r="N89" s="15"/>
      <c r="O89" s="15">
        <v>998</v>
      </c>
      <c r="P89" s="18">
        <v>0.05</v>
      </c>
      <c r="Q89" s="15" t="s">
        <v>64</v>
      </c>
      <c r="R89" s="15" t="s">
        <v>65</v>
      </c>
      <c r="S89" s="15" t="s">
        <v>1237</v>
      </c>
      <c r="T89" s="15" t="s">
        <v>919</v>
      </c>
      <c r="U89" s="15" t="s">
        <v>1240</v>
      </c>
      <c r="V89" s="15" t="s">
        <v>62</v>
      </c>
      <c r="W89" s="15" t="s">
        <v>70</v>
      </c>
      <c r="X89" s="15"/>
      <c r="Y89" s="15"/>
      <c r="Z89" s="15"/>
      <c r="AA89" s="15"/>
      <c r="AB89" s="15"/>
    </row>
    <row r="90" spans="1:28">
      <c r="A90" s="30" t="s">
        <v>1241</v>
      </c>
      <c r="B90" s="30" t="s">
        <v>1237</v>
      </c>
      <c r="C90" s="30" t="s">
        <v>1242</v>
      </c>
      <c r="D90" s="15" t="s">
        <v>41</v>
      </c>
      <c r="E90" s="15" t="s">
        <v>41</v>
      </c>
      <c r="F90" s="15" t="s">
        <v>180</v>
      </c>
      <c r="G90" s="15">
        <v>1</v>
      </c>
      <c r="H90" s="15">
        <v>3</v>
      </c>
      <c r="I90" s="15" t="s">
        <v>181</v>
      </c>
      <c r="J90" s="15" t="s">
        <v>50</v>
      </c>
      <c r="K90" s="15" t="s">
        <v>54</v>
      </c>
      <c r="L90" s="15" t="s">
        <v>57</v>
      </c>
      <c r="M90" s="15"/>
      <c r="N90" s="15"/>
      <c r="O90" s="15">
        <v>998</v>
      </c>
      <c r="P90" s="18">
        <v>0.05</v>
      </c>
      <c r="Q90" s="15" t="s">
        <v>64</v>
      </c>
      <c r="R90" s="15" t="s">
        <v>65</v>
      </c>
      <c r="S90" s="15" t="s">
        <v>1237</v>
      </c>
      <c r="T90" s="15" t="s">
        <v>911</v>
      </c>
      <c r="U90" s="15" t="s">
        <v>1243</v>
      </c>
      <c r="V90" s="15" t="s">
        <v>62</v>
      </c>
      <c r="W90" s="15" t="s">
        <v>70</v>
      </c>
      <c r="X90" s="15"/>
      <c r="Y90" s="15"/>
      <c r="Z90" s="15"/>
      <c r="AA90" s="15"/>
      <c r="AB90" s="15"/>
    </row>
    <row r="91" spans="1:28">
      <c r="A91" s="30" t="s">
        <v>1244</v>
      </c>
      <c r="B91" s="30" t="s">
        <v>1245</v>
      </c>
      <c r="C91" s="30" t="s">
        <v>1246</v>
      </c>
      <c r="D91" s="15" t="s">
        <v>41</v>
      </c>
      <c r="E91" s="15" t="s">
        <v>41</v>
      </c>
      <c r="F91" s="15" t="s">
        <v>180</v>
      </c>
      <c r="G91" s="15">
        <v>1</v>
      </c>
      <c r="H91" s="15">
        <v>3</v>
      </c>
      <c r="I91" s="15" t="s">
        <v>181</v>
      </c>
      <c r="J91" s="15" t="s">
        <v>50</v>
      </c>
      <c r="K91" s="15" t="s">
        <v>54</v>
      </c>
      <c r="L91" s="15" t="s">
        <v>57</v>
      </c>
      <c r="M91" s="15"/>
      <c r="N91" s="15"/>
      <c r="O91" s="15">
        <v>998</v>
      </c>
      <c r="P91" s="18">
        <v>0.05</v>
      </c>
      <c r="Q91" s="15" t="s">
        <v>64</v>
      </c>
      <c r="R91" s="15" t="s">
        <v>65</v>
      </c>
      <c r="S91" s="15" t="s">
        <v>1245</v>
      </c>
      <c r="T91" s="15" t="s">
        <v>1235</v>
      </c>
      <c r="U91" s="15" t="s">
        <v>1247</v>
      </c>
      <c r="V91" s="15" t="s">
        <v>617</v>
      </c>
      <c r="W91" s="15" t="s">
        <v>70</v>
      </c>
      <c r="X91" s="15"/>
      <c r="Y91" s="15"/>
      <c r="Z91" s="15"/>
      <c r="AA91" s="15"/>
      <c r="AB91" s="15"/>
    </row>
    <row r="92" spans="1:28">
      <c r="A92" s="30" t="s">
        <v>1248</v>
      </c>
      <c r="B92" s="30" t="s">
        <v>1245</v>
      </c>
      <c r="C92" s="30" t="s">
        <v>1249</v>
      </c>
      <c r="D92" s="15" t="s">
        <v>41</v>
      </c>
      <c r="E92" s="15" t="s">
        <v>41</v>
      </c>
      <c r="F92" s="15" t="s">
        <v>180</v>
      </c>
      <c r="G92" s="15">
        <v>1</v>
      </c>
      <c r="H92" s="15">
        <v>3</v>
      </c>
      <c r="I92" s="15" t="s">
        <v>181</v>
      </c>
      <c r="J92" s="15" t="s">
        <v>50</v>
      </c>
      <c r="K92" s="15" t="s">
        <v>54</v>
      </c>
      <c r="L92" s="15" t="s">
        <v>57</v>
      </c>
      <c r="M92" s="15"/>
      <c r="N92" s="15"/>
      <c r="O92" s="15">
        <v>998</v>
      </c>
      <c r="P92" s="18">
        <v>0.05</v>
      </c>
      <c r="Q92" s="15" t="s">
        <v>64</v>
      </c>
      <c r="R92" s="15" t="s">
        <v>65</v>
      </c>
      <c r="S92" s="15" t="s">
        <v>1245</v>
      </c>
      <c r="T92" s="15" t="s">
        <v>915</v>
      </c>
      <c r="U92" s="15" t="s">
        <v>1250</v>
      </c>
      <c r="V92" s="15" t="s">
        <v>617</v>
      </c>
      <c r="W92" s="15" t="s">
        <v>70</v>
      </c>
      <c r="X92" s="15"/>
      <c r="Y92" s="15"/>
      <c r="Z92" s="15"/>
      <c r="AA92" s="15"/>
      <c r="AB92" s="15"/>
    </row>
    <row r="93" spans="1:28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15"/>
      <c r="Z93" s="15"/>
      <c r="AA93" s="15"/>
      <c r="AB93" s="15"/>
    </row>
    <row r="94" spans="1:28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15"/>
      <c r="Z94" s="15"/>
      <c r="AA94" s="15"/>
      <c r="AB94" s="15"/>
    </row>
    <row r="95" spans="1:28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15"/>
      <c r="Z95" s="15"/>
      <c r="AA95" s="15"/>
      <c r="AB95" s="15"/>
    </row>
    <row r="96" spans="1:28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15"/>
      <c r="Z96" s="15"/>
      <c r="AA96" s="15"/>
      <c r="AB96" s="15"/>
    </row>
    <row r="97" spans="1:28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15"/>
      <c r="Z97" s="15"/>
      <c r="AA97" s="15"/>
      <c r="AB97" s="15"/>
    </row>
    <row r="98" spans="1:2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15"/>
      <c r="Z98" s="15"/>
      <c r="AA98" s="15"/>
      <c r="AB98" s="15"/>
    </row>
    <row r="99" spans="1:28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15"/>
      <c r="Z99" s="15"/>
      <c r="AA99" s="15"/>
      <c r="AB99" s="15"/>
    </row>
    <row r="100" spans="1:28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15"/>
      <c r="Z100" s="15"/>
      <c r="AA100" s="15"/>
      <c r="AB100" s="15"/>
    </row>
    <row r="101" spans="1:28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15"/>
      <c r="Z101" s="15"/>
      <c r="AA101" s="15"/>
      <c r="AB101" s="15"/>
    </row>
    <row r="102" spans="1:28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15"/>
      <c r="Z102" s="15"/>
      <c r="AA102" s="15"/>
      <c r="AB102" s="15"/>
    </row>
    <row r="103" spans="1:28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15"/>
      <c r="Z103" s="15"/>
      <c r="AA103" s="15"/>
      <c r="AB103" s="15"/>
    </row>
    <row r="104" spans="1:28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15"/>
      <c r="Z104" s="15"/>
      <c r="AA104" s="15"/>
      <c r="AB104" s="15"/>
    </row>
    <row r="105" spans="1:28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15"/>
      <c r="Z105" s="15"/>
      <c r="AA105" s="15"/>
      <c r="AB105" s="15"/>
    </row>
    <row r="106" spans="1:28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15"/>
      <c r="Z106" s="15"/>
      <c r="AA106" s="15"/>
      <c r="AB106" s="15"/>
    </row>
    <row r="107" spans="1:28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15"/>
      <c r="Z107" s="15"/>
      <c r="AA107" s="15"/>
      <c r="AB107" s="15"/>
    </row>
    <row r="108" spans="1:2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15"/>
      <c r="Z108" s="15"/>
      <c r="AA108" s="15"/>
      <c r="AB108" s="15"/>
    </row>
    <row r="109" spans="1:28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15"/>
      <c r="Z109" s="15"/>
      <c r="AA109" s="15"/>
      <c r="AB109" s="15"/>
    </row>
    <row r="110" spans="1:28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15"/>
      <c r="Z110" s="15"/>
      <c r="AA110" s="15"/>
      <c r="AB110" s="15"/>
    </row>
    <row r="111" spans="1:28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15"/>
      <c r="Z111" s="15"/>
      <c r="AA111" s="15"/>
      <c r="AB111" s="15"/>
    </row>
    <row r="112" spans="1:28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15"/>
      <c r="Z112" s="15"/>
      <c r="AA112" s="15"/>
      <c r="AB112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43"/>
  <sheetViews>
    <sheetView topLeftCell="A234" workbookViewId="0">
      <selection activeCell="C252" sqref="C252"/>
    </sheetView>
  </sheetViews>
  <sheetFormatPr defaultColWidth="12.6640625" defaultRowHeight="15.75" customHeight="1"/>
  <cols>
    <col min="1" max="1" width="20.21875" customWidth="1"/>
    <col min="2" max="2" width="12.6640625" customWidth="1"/>
    <col min="3" max="3" width="40.6640625" customWidth="1"/>
    <col min="4" max="4" width="24.21875" customWidth="1"/>
    <col min="5" max="5" width="13.33203125" customWidth="1"/>
    <col min="6" max="6" width="9.109375" customWidth="1"/>
    <col min="7" max="7" width="11.6640625" customWidth="1"/>
  </cols>
  <sheetData>
    <row r="1" spans="1:21" ht="15.75" customHeight="1">
      <c r="A1" s="3" t="s">
        <v>0</v>
      </c>
      <c r="B1" s="7" t="s">
        <v>2</v>
      </c>
      <c r="C1" s="3" t="s">
        <v>3</v>
      </c>
      <c r="D1" s="3" t="s">
        <v>19</v>
      </c>
      <c r="E1" s="3" t="s">
        <v>11</v>
      </c>
      <c r="F1" s="3" t="s">
        <v>9</v>
      </c>
      <c r="G1" s="11" t="s">
        <v>27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.75" customHeight="1">
      <c r="A2" s="16" t="s">
        <v>47</v>
      </c>
      <c r="B2" s="16" t="s">
        <v>51</v>
      </c>
      <c r="C2" s="16" t="s">
        <v>55</v>
      </c>
      <c r="D2" s="17" t="s">
        <v>59</v>
      </c>
      <c r="E2" s="17" t="s">
        <v>61</v>
      </c>
      <c r="F2" s="17">
        <v>7</v>
      </c>
      <c r="G2" s="17" t="s">
        <v>63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15.75" customHeight="1">
      <c r="A3" s="16" t="s">
        <v>68</v>
      </c>
      <c r="B3" s="16" t="s">
        <v>51</v>
      </c>
      <c r="C3" s="16" t="s">
        <v>55</v>
      </c>
      <c r="D3" s="17" t="s">
        <v>59</v>
      </c>
      <c r="E3" s="17" t="s">
        <v>61</v>
      </c>
      <c r="F3" s="17">
        <v>7</v>
      </c>
      <c r="G3" s="17" t="s">
        <v>63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15.75" customHeight="1">
      <c r="A4" s="16" t="s">
        <v>75</v>
      </c>
      <c r="B4" s="16" t="s">
        <v>77</v>
      </c>
      <c r="C4" s="16" t="s">
        <v>79</v>
      </c>
      <c r="D4" s="17" t="s">
        <v>80</v>
      </c>
      <c r="E4" s="17" t="s">
        <v>81</v>
      </c>
      <c r="F4" s="17">
        <v>5</v>
      </c>
      <c r="G4" s="17" t="s">
        <v>63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15.75" customHeight="1">
      <c r="A5" s="16" t="s">
        <v>85</v>
      </c>
      <c r="B5" s="16" t="s">
        <v>77</v>
      </c>
      <c r="C5" s="16" t="s">
        <v>79</v>
      </c>
      <c r="D5" s="17" t="s">
        <v>59</v>
      </c>
      <c r="E5" s="17" t="s">
        <v>81</v>
      </c>
      <c r="F5" s="17">
        <v>5</v>
      </c>
      <c r="G5" s="17" t="s">
        <v>63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.75" customHeight="1">
      <c r="A6" s="16" t="s">
        <v>89</v>
      </c>
      <c r="B6" s="16" t="s">
        <v>77</v>
      </c>
      <c r="C6" s="16" t="s">
        <v>79</v>
      </c>
      <c r="D6" s="17" t="s">
        <v>90</v>
      </c>
      <c r="E6" s="17" t="s">
        <v>81</v>
      </c>
      <c r="F6" s="17">
        <v>5</v>
      </c>
      <c r="G6" s="17" t="s">
        <v>63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5.75" customHeight="1">
      <c r="A7" s="16" t="s">
        <v>92</v>
      </c>
      <c r="B7" s="16" t="s">
        <v>77</v>
      </c>
      <c r="C7" s="16" t="s">
        <v>79</v>
      </c>
      <c r="D7" s="17" t="s">
        <v>94</v>
      </c>
      <c r="E7" s="17" t="s">
        <v>81</v>
      </c>
      <c r="F7" s="17">
        <v>5</v>
      </c>
      <c r="G7" s="17" t="s">
        <v>63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15.75" customHeight="1">
      <c r="A8" s="16" t="s">
        <v>95</v>
      </c>
      <c r="B8" s="16" t="s">
        <v>77</v>
      </c>
      <c r="C8" s="16" t="s">
        <v>96</v>
      </c>
      <c r="D8" s="17" t="s">
        <v>80</v>
      </c>
      <c r="E8" s="17" t="s">
        <v>81</v>
      </c>
      <c r="F8" s="17">
        <v>5</v>
      </c>
      <c r="G8" s="17" t="s">
        <v>63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ht="15.75" customHeight="1">
      <c r="A9" s="16" t="s">
        <v>99</v>
      </c>
      <c r="B9" s="16" t="s">
        <v>77</v>
      </c>
      <c r="C9" s="16" t="s">
        <v>96</v>
      </c>
      <c r="D9" s="17" t="s">
        <v>59</v>
      </c>
      <c r="E9" s="17" t="s">
        <v>81</v>
      </c>
      <c r="F9" s="17">
        <v>5</v>
      </c>
      <c r="G9" s="17" t="s">
        <v>63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ht="14.4">
      <c r="A10" s="16" t="s">
        <v>191</v>
      </c>
      <c r="B10" s="16" t="s">
        <v>115</v>
      </c>
      <c r="C10" s="16" t="s">
        <v>123</v>
      </c>
      <c r="D10" s="17" t="s">
        <v>135</v>
      </c>
      <c r="E10" s="17" t="s">
        <v>81</v>
      </c>
      <c r="F10" s="17">
        <v>5</v>
      </c>
      <c r="G10" s="17" t="s">
        <v>63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14.4">
      <c r="A11" s="16" t="s">
        <v>194</v>
      </c>
      <c r="B11" s="16" t="s">
        <v>115</v>
      </c>
      <c r="C11" s="16" t="s">
        <v>123</v>
      </c>
      <c r="D11" s="17" t="s">
        <v>132</v>
      </c>
      <c r="E11" s="17" t="s">
        <v>81</v>
      </c>
      <c r="F11" s="17">
        <v>5</v>
      </c>
      <c r="G11" s="17" t="s">
        <v>63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ht="14.4">
      <c r="A12" s="16" t="s">
        <v>196</v>
      </c>
      <c r="B12" s="16" t="s">
        <v>115</v>
      </c>
      <c r="C12" s="16" t="s">
        <v>123</v>
      </c>
      <c r="D12" s="17" t="s">
        <v>137</v>
      </c>
      <c r="E12" s="17" t="s">
        <v>81</v>
      </c>
      <c r="F12" s="17">
        <v>5</v>
      </c>
      <c r="G12" s="17" t="s">
        <v>63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14.4">
      <c r="A13" s="16" t="s">
        <v>200</v>
      </c>
      <c r="B13" s="16" t="s">
        <v>115</v>
      </c>
      <c r="C13" s="16" t="s">
        <v>123</v>
      </c>
      <c r="D13" s="17" t="s">
        <v>94</v>
      </c>
      <c r="E13" s="17" t="s">
        <v>81</v>
      </c>
      <c r="F13" s="17">
        <v>5</v>
      </c>
      <c r="G13" s="17" t="s">
        <v>63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ht="14.4">
      <c r="A14" s="16" t="s">
        <v>203</v>
      </c>
      <c r="B14" s="16" t="s">
        <v>115</v>
      </c>
      <c r="C14" s="16" t="s">
        <v>123</v>
      </c>
      <c r="D14" s="17" t="s">
        <v>59</v>
      </c>
      <c r="E14" s="17" t="s">
        <v>81</v>
      </c>
      <c r="F14" s="17">
        <v>5</v>
      </c>
      <c r="G14" s="17" t="s">
        <v>63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ht="14.4">
      <c r="A15" s="16" t="s">
        <v>204</v>
      </c>
      <c r="B15" s="16" t="s">
        <v>115</v>
      </c>
      <c r="C15" s="16" t="s">
        <v>120</v>
      </c>
      <c r="D15" s="17" t="s">
        <v>94</v>
      </c>
      <c r="E15" s="17" t="s">
        <v>81</v>
      </c>
      <c r="F15" s="17">
        <v>5</v>
      </c>
      <c r="G15" s="17" t="s">
        <v>63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14.4">
      <c r="A16" s="16" t="s">
        <v>207</v>
      </c>
      <c r="B16" s="16" t="s">
        <v>208</v>
      </c>
      <c r="C16" s="16" t="s">
        <v>209</v>
      </c>
      <c r="D16" s="17" t="s">
        <v>198</v>
      </c>
      <c r="E16" s="17" t="s">
        <v>81</v>
      </c>
      <c r="F16" s="17">
        <v>7</v>
      </c>
      <c r="G16" s="17" t="s">
        <v>63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1:21" ht="14.4">
      <c r="A17" s="16" t="s">
        <v>212</v>
      </c>
      <c r="B17" s="16" t="s">
        <v>208</v>
      </c>
      <c r="C17" s="16" t="s">
        <v>213</v>
      </c>
      <c r="D17" s="17" t="s">
        <v>214</v>
      </c>
      <c r="E17" s="17" t="s">
        <v>81</v>
      </c>
      <c r="F17" s="17">
        <v>7</v>
      </c>
      <c r="G17" s="17" t="s">
        <v>63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 ht="14.4">
      <c r="A18" s="16" t="s">
        <v>217</v>
      </c>
      <c r="B18" s="16" t="s">
        <v>208</v>
      </c>
      <c r="C18" s="16" t="s">
        <v>209</v>
      </c>
      <c r="D18" s="17" t="s">
        <v>132</v>
      </c>
      <c r="E18" s="17" t="s">
        <v>81</v>
      </c>
      <c r="F18" s="17">
        <v>7</v>
      </c>
      <c r="G18" s="17" t="s">
        <v>63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 ht="14.4">
      <c r="A19" s="16" t="s">
        <v>218</v>
      </c>
      <c r="B19" s="16" t="s">
        <v>208</v>
      </c>
      <c r="C19" s="16" t="s">
        <v>209</v>
      </c>
      <c r="D19" s="17" t="s">
        <v>220</v>
      </c>
      <c r="E19" s="17" t="s">
        <v>81</v>
      </c>
      <c r="F19" s="17">
        <v>7</v>
      </c>
      <c r="G19" s="17" t="s">
        <v>63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ht="14.4">
      <c r="A20" s="16" t="s">
        <v>222</v>
      </c>
      <c r="B20" s="16" t="s">
        <v>208</v>
      </c>
      <c r="C20" s="16" t="s">
        <v>209</v>
      </c>
      <c r="D20" s="17" t="s">
        <v>94</v>
      </c>
      <c r="E20" s="17" t="s">
        <v>81</v>
      </c>
      <c r="F20" s="17">
        <v>7</v>
      </c>
      <c r="G20" s="17" t="s">
        <v>63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14.4">
      <c r="A21" s="16" t="s">
        <v>223</v>
      </c>
      <c r="B21" s="16" t="s">
        <v>208</v>
      </c>
      <c r="C21" s="16" t="s">
        <v>213</v>
      </c>
      <c r="D21" s="17" t="s">
        <v>225</v>
      </c>
      <c r="E21" s="17" t="s">
        <v>81</v>
      </c>
      <c r="F21" s="17">
        <v>7</v>
      </c>
      <c r="G21" s="17" t="s">
        <v>63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ht="14.4">
      <c r="A22" s="16" t="s">
        <v>226</v>
      </c>
      <c r="B22" s="16" t="s">
        <v>208</v>
      </c>
      <c r="C22" s="16" t="s">
        <v>209</v>
      </c>
      <c r="D22" s="17" t="s">
        <v>59</v>
      </c>
      <c r="E22" s="17" t="s">
        <v>81</v>
      </c>
      <c r="F22" s="17">
        <v>7</v>
      </c>
      <c r="G22" s="17" t="s">
        <v>63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1" ht="14.4">
      <c r="A23" s="16" t="s">
        <v>570</v>
      </c>
      <c r="B23" s="16" t="s">
        <v>77</v>
      </c>
      <c r="C23" s="16" t="s">
        <v>569</v>
      </c>
      <c r="D23" s="17" t="s">
        <v>563</v>
      </c>
      <c r="E23" s="17" t="s">
        <v>61</v>
      </c>
      <c r="F23" s="17">
        <v>5</v>
      </c>
      <c r="G23" s="17" t="s">
        <v>63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14.4">
      <c r="A24" s="16" t="s">
        <v>571</v>
      </c>
      <c r="B24" s="16" t="s">
        <v>77</v>
      </c>
      <c r="C24" s="16" t="s">
        <v>569</v>
      </c>
      <c r="D24" s="17" t="s">
        <v>137</v>
      </c>
      <c r="E24" s="17" t="s">
        <v>61</v>
      </c>
      <c r="F24" s="17">
        <v>5</v>
      </c>
      <c r="G24" s="17" t="s">
        <v>63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pans="1:21" ht="14.4">
      <c r="A25" s="16" t="s">
        <v>572</v>
      </c>
      <c r="B25" s="16" t="s">
        <v>77</v>
      </c>
      <c r="C25" s="16" t="s">
        <v>569</v>
      </c>
      <c r="D25" s="17" t="s">
        <v>80</v>
      </c>
      <c r="E25" s="17" t="s">
        <v>61</v>
      </c>
      <c r="F25" s="17">
        <v>5</v>
      </c>
      <c r="G25" s="17" t="s">
        <v>63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1:21" ht="14.4">
      <c r="A26" s="16" t="s">
        <v>576</v>
      </c>
      <c r="B26" s="16" t="s">
        <v>77</v>
      </c>
      <c r="C26" s="16" t="s">
        <v>569</v>
      </c>
      <c r="D26" s="17" t="s">
        <v>59</v>
      </c>
      <c r="E26" s="17" t="s">
        <v>61</v>
      </c>
      <c r="F26" s="17">
        <v>5</v>
      </c>
      <c r="G26" s="17" t="s">
        <v>63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 ht="14.4">
      <c r="A27" s="16" t="s">
        <v>578</v>
      </c>
      <c r="B27" s="16" t="s">
        <v>77</v>
      </c>
      <c r="C27" s="16" t="s">
        <v>580</v>
      </c>
      <c r="D27" s="17" t="s">
        <v>94</v>
      </c>
      <c r="E27" s="17" t="s">
        <v>81</v>
      </c>
      <c r="F27" s="17">
        <v>5</v>
      </c>
      <c r="G27" s="17" t="s">
        <v>63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1:21" ht="14.4">
      <c r="A28" s="16" t="s">
        <v>581</v>
      </c>
      <c r="B28" s="16" t="s">
        <v>77</v>
      </c>
      <c r="C28" s="16" t="s">
        <v>580</v>
      </c>
      <c r="D28" s="17" t="s">
        <v>562</v>
      </c>
      <c r="E28" s="17" t="s">
        <v>81</v>
      </c>
      <c r="F28" s="17">
        <v>5</v>
      </c>
      <c r="G28" s="17" t="s">
        <v>63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1:21" ht="14.4">
      <c r="A29" s="16" t="s">
        <v>583</v>
      </c>
      <c r="B29" s="16" t="s">
        <v>77</v>
      </c>
      <c r="C29" s="16" t="s">
        <v>580</v>
      </c>
      <c r="D29" s="17" t="s">
        <v>239</v>
      </c>
      <c r="E29" s="17" t="s">
        <v>81</v>
      </c>
      <c r="F29" s="17">
        <v>5</v>
      </c>
      <c r="G29" s="17" t="s">
        <v>63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1:21" ht="14.4">
      <c r="A30" s="16" t="s">
        <v>585</v>
      </c>
      <c r="B30" s="16" t="s">
        <v>77</v>
      </c>
      <c r="C30" s="16" t="s">
        <v>580</v>
      </c>
      <c r="D30" s="17" t="s">
        <v>563</v>
      </c>
      <c r="E30" s="17" t="s">
        <v>81</v>
      </c>
      <c r="F30" s="17">
        <v>5</v>
      </c>
      <c r="G30" s="17" t="s">
        <v>63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1:21" ht="14.4">
      <c r="A31" s="16" t="s">
        <v>588</v>
      </c>
      <c r="B31" s="16" t="s">
        <v>77</v>
      </c>
      <c r="C31" s="16" t="s">
        <v>580</v>
      </c>
      <c r="D31" s="17" t="s">
        <v>137</v>
      </c>
      <c r="E31" s="17" t="s">
        <v>81</v>
      </c>
      <c r="F31" s="17">
        <v>5</v>
      </c>
      <c r="G31" s="17" t="s">
        <v>63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1:21" ht="14.4">
      <c r="A32" s="16" t="s">
        <v>590</v>
      </c>
      <c r="B32" s="16" t="s">
        <v>77</v>
      </c>
      <c r="C32" s="16" t="s">
        <v>580</v>
      </c>
      <c r="D32" s="17" t="s">
        <v>80</v>
      </c>
      <c r="E32" s="17" t="s">
        <v>81</v>
      </c>
      <c r="F32" s="17">
        <v>5</v>
      </c>
      <c r="G32" s="17" t="s">
        <v>63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pans="1:21" ht="14.4">
      <c r="A33" s="16" t="s">
        <v>591</v>
      </c>
      <c r="B33" s="16" t="s">
        <v>77</v>
      </c>
      <c r="C33" s="16" t="s">
        <v>580</v>
      </c>
      <c r="D33" s="17" t="s">
        <v>59</v>
      </c>
      <c r="E33" s="17" t="s">
        <v>81</v>
      </c>
      <c r="F33" s="17">
        <v>5</v>
      </c>
      <c r="G33" s="17" t="s">
        <v>63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pans="1:21" ht="14.4">
      <c r="A34" s="16" t="s">
        <v>592</v>
      </c>
      <c r="B34" s="16" t="s">
        <v>593</v>
      </c>
      <c r="C34" s="16" t="s">
        <v>594</v>
      </c>
      <c r="D34" s="17" t="s">
        <v>94</v>
      </c>
      <c r="E34" s="17" t="s">
        <v>61</v>
      </c>
      <c r="F34" s="17">
        <v>4</v>
      </c>
      <c r="G34" s="17" t="s">
        <v>165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pans="1:21" ht="14.4">
      <c r="A35" s="16" t="s">
        <v>595</v>
      </c>
      <c r="B35" s="16" t="s">
        <v>593</v>
      </c>
      <c r="C35" s="16" t="s">
        <v>594</v>
      </c>
      <c r="D35" s="17" t="s">
        <v>59</v>
      </c>
      <c r="E35" s="17" t="s">
        <v>61</v>
      </c>
      <c r="F35" s="17">
        <v>4</v>
      </c>
      <c r="G35" s="17" t="s">
        <v>165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pans="1:21" ht="14.4">
      <c r="A36" s="16" t="s">
        <v>596</v>
      </c>
      <c r="B36" s="16" t="s">
        <v>593</v>
      </c>
      <c r="C36" s="16" t="s">
        <v>597</v>
      </c>
      <c r="D36" s="17" t="s">
        <v>239</v>
      </c>
      <c r="E36" s="17" t="s">
        <v>81</v>
      </c>
      <c r="F36" s="17">
        <v>4</v>
      </c>
      <c r="G36" s="17" t="s">
        <v>165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ht="14.4">
      <c r="A37" s="16" t="s">
        <v>599</v>
      </c>
      <c r="B37" s="16" t="s">
        <v>600</v>
      </c>
      <c r="C37" s="16" t="s">
        <v>601</v>
      </c>
      <c r="D37" s="17" t="s">
        <v>602</v>
      </c>
      <c r="E37" s="17" t="s">
        <v>61</v>
      </c>
      <c r="F37" s="17">
        <v>5</v>
      </c>
      <c r="G37" s="17" t="s">
        <v>63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14.4">
      <c r="A38" s="16" t="s">
        <v>603</v>
      </c>
      <c r="B38" s="16" t="s">
        <v>600</v>
      </c>
      <c r="C38" s="16" t="s">
        <v>601</v>
      </c>
      <c r="D38" s="17" t="s">
        <v>604</v>
      </c>
      <c r="E38" s="17" t="s">
        <v>61</v>
      </c>
      <c r="F38" s="17">
        <v>5</v>
      </c>
      <c r="G38" s="17" t="s">
        <v>63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14.4">
      <c r="A39" s="16" t="s">
        <v>606</v>
      </c>
      <c r="B39" s="16" t="s">
        <v>600</v>
      </c>
      <c r="C39" s="16" t="s">
        <v>601</v>
      </c>
      <c r="D39" s="17" t="s">
        <v>607</v>
      </c>
      <c r="E39" s="17" t="s">
        <v>61</v>
      </c>
      <c r="F39" s="17">
        <v>5</v>
      </c>
      <c r="G39" s="17" t="s">
        <v>63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14.4">
      <c r="A40" s="16" t="s">
        <v>608</v>
      </c>
      <c r="B40" s="16" t="s">
        <v>600</v>
      </c>
      <c r="C40" s="16" t="s">
        <v>601</v>
      </c>
      <c r="D40" s="17" t="s">
        <v>609</v>
      </c>
      <c r="E40" s="17" t="s">
        <v>61</v>
      </c>
      <c r="F40" s="17">
        <v>5</v>
      </c>
      <c r="G40" s="17" t="s">
        <v>63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14.4">
      <c r="A41" s="16" t="s">
        <v>636</v>
      </c>
      <c r="B41" s="16" t="s">
        <v>328</v>
      </c>
      <c r="C41" s="16" t="s">
        <v>635</v>
      </c>
      <c r="D41" s="17" t="s">
        <v>239</v>
      </c>
      <c r="E41" s="17" t="s">
        <v>81</v>
      </c>
      <c r="F41" s="17">
        <v>7</v>
      </c>
      <c r="G41" s="17" t="s">
        <v>63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14.4">
      <c r="A42" s="16" t="s">
        <v>637</v>
      </c>
      <c r="B42" s="16" t="s">
        <v>328</v>
      </c>
      <c r="C42" s="16" t="s">
        <v>390</v>
      </c>
      <c r="D42" s="17" t="s">
        <v>94</v>
      </c>
      <c r="E42" s="17" t="s">
        <v>61</v>
      </c>
      <c r="F42" s="17">
        <v>7</v>
      </c>
      <c r="G42" s="17" t="s">
        <v>63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4.4">
      <c r="A43" s="16" t="s">
        <v>639</v>
      </c>
      <c r="B43" s="16" t="s">
        <v>328</v>
      </c>
      <c r="C43" s="16" t="s">
        <v>390</v>
      </c>
      <c r="D43" s="17" t="s">
        <v>59</v>
      </c>
      <c r="E43" s="17" t="s">
        <v>61</v>
      </c>
      <c r="F43" s="17">
        <v>7</v>
      </c>
      <c r="G43" s="17" t="s">
        <v>63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14.4">
      <c r="A44" s="16" t="s">
        <v>641</v>
      </c>
      <c r="B44" s="16" t="s">
        <v>208</v>
      </c>
      <c r="C44" s="16" t="s">
        <v>561</v>
      </c>
      <c r="D44" s="17" t="s">
        <v>231</v>
      </c>
      <c r="E44" s="17" t="s">
        <v>61</v>
      </c>
      <c r="F44" s="17">
        <v>7</v>
      </c>
      <c r="G44" s="17" t="s">
        <v>63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1:21" ht="14.4">
      <c r="A45" s="16" t="s">
        <v>645</v>
      </c>
      <c r="B45" s="16" t="s">
        <v>208</v>
      </c>
      <c r="C45" s="16" t="s">
        <v>561</v>
      </c>
      <c r="D45" s="17" t="s">
        <v>132</v>
      </c>
      <c r="E45" s="17" t="s">
        <v>61</v>
      </c>
      <c r="F45" s="17">
        <v>7</v>
      </c>
      <c r="G45" s="17" t="s">
        <v>63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1:21" ht="14.4">
      <c r="A46" s="16" t="s">
        <v>664</v>
      </c>
      <c r="B46" s="16" t="s">
        <v>51</v>
      </c>
      <c r="C46" s="16" t="s">
        <v>55</v>
      </c>
      <c r="D46" s="17" t="s">
        <v>132</v>
      </c>
      <c r="E46" s="17" t="s">
        <v>61</v>
      </c>
      <c r="F46" s="17">
        <v>7</v>
      </c>
      <c r="G46" s="17" t="s">
        <v>63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1:21" ht="14.4">
      <c r="A47" s="16" t="s">
        <v>666</v>
      </c>
      <c r="B47" s="16" t="s">
        <v>51</v>
      </c>
      <c r="C47" s="16" t="s">
        <v>55</v>
      </c>
      <c r="D47" s="17" t="s">
        <v>94</v>
      </c>
      <c r="E47" s="17" t="s">
        <v>61</v>
      </c>
      <c r="F47" s="17">
        <v>7</v>
      </c>
      <c r="G47" s="17" t="s">
        <v>63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14.4">
      <c r="A48" s="16" t="s">
        <v>671</v>
      </c>
      <c r="B48" s="16" t="s">
        <v>328</v>
      </c>
      <c r="C48" s="16" t="s">
        <v>462</v>
      </c>
      <c r="D48" s="17" t="s">
        <v>59</v>
      </c>
      <c r="E48" s="17" t="s">
        <v>61</v>
      </c>
      <c r="F48" s="17">
        <v>7</v>
      </c>
      <c r="G48" s="17" t="s">
        <v>63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pans="1:21" ht="14.4">
      <c r="A49" s="16" t="s">
        <v>673</v>
      </c>
      <c r="B49" s="16" t="s">
        <v>328</v>
      </c>
      <c r="C49" s="16" t="s">
        <v>674</v>
      </c>
      <c r="D49" s="17" t="s">
        <v>231</v>
      </c>
      <c r="E49" s="17" t="s">
        <v>61</v>
      </c>
      <c r="F49" s="17">
        <v>6</v>
      </c>
      <c r="G49" s="17" t="s">
        <v>63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spans="1:21" ht="14.4">
      <c r="A50" s="16" t="s">
        <v>605</v>
      </c>
      <c r="B50" s="16" t="s">
        <v>528</v>
      </c>
      <c r="C50" s="16" t="s">
        <v>589</v>
      </c>
      <c r="D50" s="17" t="s">
        <v>59</v>
      </c>
      <c r="E50" s="17" t="s">
        <v>81</v>
      </c>
      <c r="F50" s="17">
        <v>7</v>
      </c>
      <c r="G50" s="17" t="s">
        <v>165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pans="1:21" ht="14.4">
      <c r="A51" s="16" t="s">
        <v>610</v>
      </c>
      <c r="B51" s="16" t="s">
        <v>528</v>
      </c>
      <c r="C51" s="16" t="s">
        <v>611</v>
      </c>
      <c r="D51" s="17" t="s">
        <v>736</v>
      </c>
      <c r="E51" s="17" t="s">
        <v>61</v>
      </c>
      <c r="F51" s="17">
        <v>7</v>
      </c>
      <c r="G51" s="17" t="s">
        <v>165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1:21" ht="14.4">
      <c r="A52" s="16" t="s">
        <v>614</v>
      </c>
      <c r="B52" s="16" t="s">
        <v>528</v>
      </c>
      <c r="C52" s="16" t="s">
        <v>611</v>
      </c>
      <c r="D52" s="17" t="s">
        <v>231</v>
      </c>
      <c r="E52" s="17" t="s">
        <v>61</v>
      </c>
      <c r="F52" s="17">
        <v>7</v>
      </c>
      <c r="G52" s="17" t="s">
        <v>165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1:21" ht="14.4">
      <c r="A53" s="16" t="s">
        <v>564</v>
      </c>
      <c r="B53" s="16" t="s">
        <v>556</v>
      </c>
      <c r="C53" s="16" t="s">
        <v>565</v>
      </c>
      <c r="D53" s="17" t="s">
        <v>103</v>
      </c>
      <c r="E53" s="17" t="s">
        <v>61</v>
      </c>
      <c r="F53" s="17">
        <v>7</v>
      </c>
      <c r="G53" s="17" t="s">
        <v>63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1:21" ht="14.4">
      <c r="A54" s="16" t="s">
        <v>566</v>
      </c>
      <c r="B54" s="16" t="s">
        <v>556</v>
      </c>
      <c r="C54" s="16" t="s">
        <v>565</v>
      </c>
      <c r="D54" s="17" t="s">
        <v>78</v>
      </c>
      <c r="E54" s="17" t="s">
        <v>61</v>
      </c>
      <c r="F54" s="17">
        <v>7</v>
      </c>
      <c r="G54" s="17" t="s">
        <v>63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1:21" ht="14.4">
      <c r="A55" s="16" t="s">
        <v>567</v>
      </c>
      <c r="B55" s="16" t="s">
        <v>556</v>
      </c>
      <c r="C55" s="16" t="s">
        <v>565</v>
      </c>
      <c r="D55" s="17" t="s">
        <v>536</v>
      </c>
      <c r="E55" s="17" t="s">
        <v>61</v>
      </c>
      <c r="F55" s="17">
        <v>7</v>
      </c>
      <c r="G55" s="17" t="s">
        <v>63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21" ht="14.4">
      <c r="A56" s="16" t="s">
        <v>538</v>
      </c>
      <c r="B56" s="16" t="s">
        <v>529</v>
      </c>
      <c r="C56" s="16" t="s">
        <v>530</v>
      </c>
      <c r="D56" s="17" t="s">
        <v>59</v>
      </c>
      <c r="E56" s="17" t="s">
        <v>61</v>
      </c>
      <c r="F56" s="17">
        <v>7</v>
      </c>
      <c r="G56" s="17" t="s">
        <v>63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21" ht="14.4">
      <c r="A57" s="16" t="s">
        <v>539</v>
      </c>
      <c r="B57" s="16" t="s">
        <v>529</v>
      </c>
      <c r="C57" s="16" t="s">
        <v>541</v>
      </c>
      <c r="D57" s="17" t="s">
        <v>535</v>
      </c>
      <c r="E57" s="17" t="s">
        <v>61</v>
      </c>
      <c r="F57" s="17">
        <v>7</v>
      </c>
      <c r="G57" s="17" t="s">
        <v>63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21" ht="14.4">
      <c r="A58" s="16" t="s">
        <v>638</v>
      </c>
      <c r="B58" s="16" t="s">
        <v>528</v>
      </c>
      <c r="C58" s="16" t="s">
        <v>611</v>
      </c>
      <c r="D58" s="17" t="s">
        <v>563</v>
      </c>
      <c r="E58" s="17" t="s">
        <v>61</v>
      </c>
      <c r="F58" s="17">
        <v>7</v>
      </c>
      <c r="G58" s="17" t="s">
        <v>165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21" ht="14.4">
      <c r="A59" s="16" t="s">
        <v>640</v>
      </c>
      <c r="B59" s="16" t="s">
        <v>528</v>
      </c>
      <c r="C59" s="16" t="s">
        <v>611</v>
      </c>
      <c r="D59" s="17" t="s">
        <v>239</v>
      </c>
      <c r="E59" s="17" t="s">
        <v>61</v>
      </c>
      <c r="F59" s="17">
        <v>7</v>
      </c>
      <c r="G59" s="17" t="s">
        <v>165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1:21" ht="14.4">
      <c r="A60" s="16" t="s">
        <v>642</v>
      </c>
      <c r="B60" s="16" t="s">
        <v>528</v>
      </c>
      <c r="C60" s="16" t="s">
        <v>611</v>
      </c>
      <c r="D60" s="17" t="s">
        <v>717</v>
      </c>
      <c r="E60" s="17" t="s">
        <v>61</v>
      </c>
      <c r="F60" s="17">
        <v>7</v>
      </c>
      <c r="G60" s="17" t="s">
        <v>165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1:21" ht="14.4">
      <c r="A61" s="16" t="s">
        <v>770</v>
      </c>
      <c r="B61" s="16" t="s">
        <v>764</v>
      </c>
      <c r="C61" s="16" t="s">
        <v>769</v>
      </c>
      <c r="D61" s="17" t="s">
        <v>94</v>
      </c>
      <c r="E61" s="17" t="s">
        <v>81</v>
      </c>
      <c r="F61" s="17">
        <v>4</v>
      </c>
      <c r="G61" s="17" t="s">
        <v>165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1:21" ht="14.4">
      <c r="A62" s="16" t="s">
        <v>771</v>
      </c>
      <c r="B62" s="16" t="s">
        <v>764</v>
      </c>
      <c r="C62" s="16" t="s">
        <v>769</v>
      </c>
      <c r="D62" s="17" t="s">
        <v>124</v>
      </c>
      <c r="E62" s="17" t="s">
        <v>81</v>
      </c>
      <c r="F62" s="17">
        <v>4</v>
      </c>
      <c r="G62" s="17" t="s">
        <v>165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1:21" ht="14.4">
      <c r="A63" s="16" t="s">
        <v>551</v>
      </c>
      <c r="B63" s="16" t="s">
        <v>529</v>
      </c>
      <c r="C63" s="16" t="s">
        <v>550</v>
      </c>
      <c r="D63" s="17" t="s">
        <v>108</v>
      </c>
      <c r="E63" s="17" t="s">
        <v>61</v>
      </c>
      <c r="F63" s="17">
        <v>7</v>
      </c>
      <c r="G63" s="17" t="s">
        <v>63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1:21" ht="14.4">
      <c r="A64" s="16" t="s">
        <v>552</v>
      </c>
      <c r="B64" s="16" t="s">
        <v>529</v>
      </c>
      <c r="C64" s="16" t="s">
        <v>550</v>
      </c>
      <c r="D64" s="17" t="s">
        <v>537</v>
      </c>
      <c r="E64" s="17" t="s">
        <v>61</v>
      </c>
      <c r="F64" s="17">
        <v>7</v>
      </c>
      <c r="G64" s="17" t="s">
        <v>63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spans="1:21" ht="14.4">
      <c r="A65" s="16" t="s">
        <v>777</v>
      </c>
      <c r="B65" s="16" t="s">
        <v>593</v>
      </c>
      <c r="C65" s="16" t="s">
        <v>597</v>
      </c>
      <c r="D65" s="17" t="s">
        <v>132</v>
      </c>
      <c r="E65" s="17" t="s">
        <v>81</v>
      </c>
      <c r="F65" s="17">
        <v>4</v>
      </c>
      <c r="G65" s="17" t="s">
        <v>165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spans="1:21" ht="14.4">
      <c r="A66" s="16" t="s">
        <v>778</v>
      </c>
      <c r="B66" s="16" t="s">
        <v>593</v>
      </c>
      <c r="C66" s="16" t="s">
        <v>597</v>
      </c>
      <c r="D66" s="17" t="s">
        <v>562</v>
      </c>
      <c r="E66" s="17" t="s">
        <v>81</v>
      </c>
      <c r="F66" s="17">
        <v>4</v>
      </c>
      <c r="G66" s="17" t="s">
        <v>165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1:21" ht="14.4">
      <c r="A67" s="16" t="s">
        <v>779</v>
      </c>
      <c r="B67" s="16" t="s">
        <v>593</v>
      </c>
      <c r="C67" s="16" t="s">
        <v>597</v>
      </c>
      <c r="D67" s="17" t="s">
        <v>94</v>
      </c>
      <c r="E67" s="17" t="s">
        <v>81</v>
      </c>
      <c r="F67" s="17">
        <v>4</v>
      </c>
      <c r="G67" s="17" t="s">
        <v>165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spans="1:21" ht="14.4">
      <c r="A68" s="16" t="s">
        <v>725</v>
      </c>
      <c r="B68" s="16" t="s">
        <v>593</v>
      </c>
      <c r="C68" s="16" t="s">
        <v>726</v>
      </c>
      <c r="D68" s="17" t="s">
        <v>239</v>
      </c>
      <c r="E68" s="17" t="s">
        <v>61</v>
      </c>
      <c r="F68" s="17">
        <v>4</v>
      </c>
      <c r="G68" s="17" t="s">
        <v>63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spans="1:21" ht="14.4">
      <c r="A69" s="16" t="s">
        <v>727</v>
      </c>
      <c r="B69" s="16" t="s">
        <v>593</v>
      </c>
      <c r="C69" s="16" t="s">
        <v>726</v>
      </c>
      <c r="D69" s="17" t="s">
        <v>80</v>
      </c>
      <c r="E69" s="17" t="s">
        <v>61</v>
      </c>
      <c r="F69" s="17">
        <v>4</v>
      </c>
      <c r="G69" s="17" t="s">
        <v>63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spans="1:21" ht="14.4">
      <c r="A70" s="16" t="s">
        <v>728</v>
      </c>
      <c r="B70" s="16" t="s">
        <v>593</v>
      </c>
      <c r="C70" s="16" t="s">
        <v>726</v>
      </c>
      <c r="D70" s="17" t="s">
        <v>59</v>
      </c>
      <c r="E70" s="17" t="s">
        <v>61</v>
      </c>
      <c r="F70" s="17">
        <v>4</v>
      </c>
      <c r="G70" s="17" t="s">
        <v>63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spans="1:21" ht="14.4">
      <c r="A71" s="16" t="s">
        <v>553</v>
      </c>
      <c r="B71" s="16" t="s">
        <v>529</v>
      </c>
      <c r="C71" s="16" t="s">
        <v>550</v>
      </c>
      <c r="D71" s="17" t="s">
        <v>62</v>
      </c>
      <c r="E71" s="17" t="s">
        <v>61</v>
      </c>
      <c r="F71" s="17">
        <v>7</v>
      </c>
      <c r="G71" s="17" t="s">
        <v>63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spans="1:21" ht="14.4">
      <c r="A72" s="16" t="s">
        <v>554</v>
      </c>
      <c r="B72" s="16" t="s">
        <v>529</v>
      </c>
      <c r="C72" s="16" t="s">
        <v>550</v>
      </c>
      <c r="D72" s="17" t="s">
        <v>59</v>
      </c>
      <c r="E72" s="17" t="s">
        <v>61</v>
      </c>
      <c r="F72" s="17">
        <v>7</v>
      </c>
      <c r="G72" s="17" t="s">
        <v>63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spans="1:21" ht="14.4">
      <c r="A73" s="16" t="s">
        <v>740</v>
      </c>
      <c r="B73" s="16" t="s">
        <v>556</v>
      </c>
      <c r="C73" s="16" t="s">
        <v>738</v>
      </c>
      <c r="D73" s="17" t="s">
        <v>537</v>
      </c>
      <c r="E73" s="17" t="s">
        <v>61</v>
      </c>
      <c r="F73" s="17">
        <v>7</v>
      </c>
      <c r="G73" s="17" t="s">
        <v>165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spans="1:21" ht="14.4">
      <c r="A74" s="16" t="s">
        <v>741</v>
      </c>
      <c r="B74" s="16" t="s">
        <v>556</v>
      </c>
      <c r="C74" s="16" t="s">
        <v>738</v>
      </c>
      <c r="D74" s="17" t="s">
        <v>536</v>
      </c>
      <c r="E74" s="17" t="s">
        <v>61</v>
      </c>
      <c r="F74" s="17">
        <v>7</v>
      </c>
      <c r="G74" s="17" t="s">
        <v>165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spans="1:21" ht="14.4">
      <c r="A75" s="16" t="s">
        <v>742</v>
      </c>
      <c r="B75" s="16" t="s">
        <v>556</v>
      </c>
      <c r="C75" s="16" t="s">
        <v>737</v>
      </c>
      <c r="D75" s="17" t="s">
        <v>124</v>
      </c>
      <c r="E75" s="17" t="s">
        <v>61</v>
      </c>
      <c r="F75" s="17">
        <v>7</v>
      </c>
      <c r="G75" s="17" t="s">
        <v>165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 ht="14.4">
      <c r="A76" s="16" t="s">
        <v>743</v>
      </c>
      <c r="B76" s="16" t="s">
        <v>556</v>
      </c>
      <c r="C76" s="16" t="s">
        <v>737</v>
      </c>
      <c r="D76" s="17" t="s">
        <v>536</v>
      </c>
      <c r="E76" s="17" t="s">
        <v>61</v>
      </c>
      <c r="F76" s="17">
        <v>7</v>
      </c>
      <c r="G76" s="17" t="s">
        <v>165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1:21" ht="14.4">
      <c r="A77" s="16" t="s">
        <v>744</v>
      </c>
      <c r="B77" s="16" t="s">
        <v>529</v>
      </c>
      <c r="C77" s="16" t="s">
        <v>729</v>
      </c>
      <c r="D77" s="17" t="s">
        <v>535</v>
      </c>
      <c r="E77" s="17" t="s">
        <v>61</v>
      </c>
      <c r="F77" s="17">
        <v>7</v>
      </c>
      <c r="G77" s="17" t="s">
        <v>165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spans="1:21" ht="14.4">
      <c r="A78" s="16" t="s">
        <v>745</v>
      </c>
      <c r="B78" s="16" t="s">
        <v>529</v>
      </c>
      <c r="C78" s="16" t="s">
        <v>729</v>
      </c>
      <c r="D78" s="17" t="s">
        <v>803</v>
      </c>
      <c r="E78" s="17" t="s">
        <v>61</v>
      </c>
      <c r="F78" s="17">
        <v>7</v>
      </c>
      <c r="G78" s="17" t="s">
        <v>165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spans="1:21" ht="14.4">
      <c r="A79" s="16" t="s">
        <v>746</v>
      </c>
      <c r="B79" s="16" t="s">
        <v>529</v>
      </c>
      <c r="C79" s="16" t="s">
        <v>729</v>
      </c>
      <c r="D79" s="17" t="s">
        <v>108</v>
      </c>
      <c r="E79" s="17" t="s">
        <v>61</v>
      </c>
      <c r="F79" s="17">
        <v>7</v>
      </c>
      <c r="G79" s="17" t="s">
        <v>165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1:21" ht="14.4">
      <c r="A80" s="16" t="s">
        <v>749</v>
      </c>
      <c r="B80" s="16" t="s">
        <v>556</v>
      </c>
      <c r="C80" s="16" t="s">
        <v>739</v>
      </c>
      <c r="D80" s="17" t="s">
        <v>108</v>
      </c>
      <c r="E80" s="17" t="s">
        <v>61</v>
      </c>
      <c r="F80" s="17">
        <v>7</v>
      </c>
      <c r="G80" s="17" t="s">
        <v>165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spans="1:21" ht="14.4">
      <c r="A81" s="16" t="s">
        <v>750</v>
      </c>
      <c r="B81" s="16" t="s">
        <v>556</v>
      </c>
      <c r="C81" s="16" t="s">
        <v>739</v>
      </c>
      <c r="D81" s="17" t="s">
        <v>537</v>
      </c>
      <c r="E81" s="17" t="s">
        <v>61</v>
      </c>
      <c r="F81" s="17">
        <v>7</v>
      </c>
      <c r="G81" s="17" t="s">
        <v>165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spans="1:21" ht="14.4">
      <c r="A82" s="16" t="s">
        <v>751</v>
      </c>
      <c r="B82" s="16" t="s">
        <v>556</v>
      </c>
      <c r="C82" s="16" t="s">
        <v>739</v>
      </c>
      <c r="D82" s="17" t="s">
        <v>124</v>
      </c>
      <c r="E82" s="17" t="s">
        <v>61</v>
      </c>
      <c r="F82" s="17">
        <v>7</v>
      </c>
      <c r="G82" s="17" t="s">
        <v>165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1:21" ht="14.4">
      <c r="A83" s="16" t="s">
        <v>752</v>
      </c>
      <c r="B83" s="16" t="s">
        <v>529</v>
      </c>
      <c r="C83" s="16" t="s">
        <v>731</v>
      </c>
      <c r="D83" s="17" t="s">
        <v>537</v>
      </c>
      <c r="E83" s="17" t="s">
        <v>61</v>
      </c>
      <c r="F83" s="17">
        <v>7</v>
      </c>
      <c r="G83" s="17" t="s">
        <v>165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1:21" ht="14.4">
      <c r="A84" s="16" t="s">
        <v>753</v>
      </c>
      <c r="B84" s="16" t="s">
        <v>529</v>
      </c>
      <c r="C84" s="16" t="s">
        <v>731</v>
      </c>
      <c r="D84" s="17" t="s">
        <v>62</v>
      </c>
      <c r="E84" s="17" t="s">
        <v>61</v>
      </c>
      <c r="F84" s="17">
        <v>7</v>
      </c>
      <c r="G84" s="17" t="s">
        <v>165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1:21" ht="14.4">
      <c r="A85" s="16" t="s">
        <v>754</v>
      </c>
      <c r="B85" s="16" t="s">
        <v>529</v>
      </c>
      <c r="C85" s="16" t="s">
        <v>730</v>
      </c>
      <c r="D85" s="17" t="s">
        <v>62</v>
      </c>
      <c r="E85" s="17" t="s">
        <v>61</v>
      </c>
      <c r="F85" s="17">
        <v>7</v>
      </c>
      <c r="G85" s="17" t="s">
        <v>165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spans="1:21" ht="14.4">
      <c r="A86" s="16" t="s">
        <v>755</v>
      </c>
      <c r="B86" s="16" t="s">
        <v>529</v>
      </c>
      <c r="C86" s="16" t="s">
        <v>729</v>
      </c>
      <c r="D86" s="17" t="s">
        <v>62</v>
      </c>
      <c r="E86" s="17" t="s">
        <v>61</v>
      </c>
      <c r="F86" s="17">
        <v>7</v>
      </c>
      <c r="G86" s="17" t="s">
        <v>165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1:21" ht="14.4">
      <c r="A87" s="16" t="s">
        <v>756</v>
      </c>
      <c r="B87" s="16" t="s">
        <v>556</v>
      </c>
      <c r="C87" s="16" t="s">
        <v>739</v>
      </c>
      <c r="D87" s="17" t="s">
        <v>124</v>
      </c>
      <c r="E87" s="17" t="s">
        <v>61</v>
      </c>
      <c r="F87" s="17">
        <v>7</v>
      </c>
      <c r="G87" s="17" t="s">
        <v>165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spans="1:21" ht="14.4">
      <c r="A88" s="16" t="s">
        <v>757</v>
      </c>
      <c r="B88" s="16" t="s">
        <v>556</v>
      </c>
      <c r="C88" s="16" t="s">
        <v>739</v>
      </c>
      <c r="D88" s="17" t="s">
        <v>559</v>
      </c>
      <c r="E88" s="17" t="s">
        <v>61</v>
      </c>
      <c r="F88" s="17">
        <v>7</v>
      </c>
      <c r="G88" s="17" t="s">
        <v>165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spans="1:21" ht="14.4">
      <c r="A89" s="16" t="s">
        <v>747</v>
      </c>
      <c r="B89" s="16" t="s">
        <v>328</v>
      </c>
      <c r="C89" s="16" t="s">
        <v>521</v>
      </c>
      <c r="D89" s="17" t="s">
        <v>94</v>
      </c>
      <c r="E89" s="17" t="s">
        <v>61</v>
      </c>
      <c r="F89" s="17">
        <v>7</v>
      </c>
      <c r="G89" s="17" t="s">
        <v>63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14.4">
      <c r="A90" s="16" t="s">
        <v>748</v>
      </c>
      <c r="B90" s="16" t="s">
        <v>328</v>
      </c>
      <c r="C90" s="16" t="s">
        <v>521</v>
      </c>
      <c r="D90" s="17" t="s">
        <v>59</v>
      </c>
      <c r="E90" s="17" t="s">
        <v>61</v>
      </c>
      <c r="F90" s="17">
        <v>7</v>
      </c>
      <c r="G90" s="17" t="s">
        <v>63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1:21" ht="14.4">
      <c r="A91" s="16" t="s">
        <v>758</v>
      </c>
      <c r="B91" s="16" t="s">
        <v>328</v>
      </c>
      <c r="C91" s="16" t="s">
        <v>759</v>
      </c>
      <c r="D91" s="17" t="s">
        <v>231</v>
      </c>
      <c r="E91" s="17" t="s">
        <v>61</v>
      </c>
      <c r="F91" s="17">
        <v>7</v>
      </c>
      <c r="G91" s="17" t="s">
        <v>165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1:21" ht="14.4">
      <c r="A92" s="16" t="s">
        <v>797</v>
      </c>
      <c r="B92" s="16" t="s">
        <v>528</v>
      </c>
      <c r="C92" s="16" t="s">
        <v>786</v>
      </c>
      <c r="D92" s="17" t="s">
        <v>94</v>
      </c>
      <c r="E92" s="17" t="s">
        <v>61</v>
      </c>
      <c r="F92" s="17">
        <v>7</v>
      </c>
      <c r="G92" s="17" t="s">
        <v>165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1:21" ht="14.4">
      <c r="A93" s="16" t="s">
        <v>798</v>
      </c>
      <c r="B93" s="16" t="s">
        <v>528</v>
      </c>
      <c r="C93" s="16" t="s">
        <v>786</v>
      </c>
      <c r="D93" s="17" t="s">
        <v>231</v>
      </c>
      <c r="E93" s="17" t="s">
        <v>61</v>
      </c>
      <c r="F93" s="17">
        <v>7</v>
      </c>
      <c r="G93" s="17" t="s">
        <v>165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1:21" ht="14.4">
      <c r="A94" s="16" t="s">
        <v>799</v>
      </c>
      <c r="B94" s="16" t="s">
        <v>328</v>
      </c>
      <c r="C94" s="16" t="s">
        <v>763</v>
      </c>
      <c r="D94" s="17" t="s">
        <v>231</v>
      </c>
      <c r="E94" s="17" t="s">
        <v>61</v>
      </c>
      <c r="F94" s="17">
        <v>6</v>
      </c>
      <c r="G94" s="17" t="s">
        <v>165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1:21" ht="14.4">
      <c r="A95" s="16" t="s">
        <v>800</v>
      </c>
      <c r="B95" s="16" t="s">
        <v>328</v>
      </c>
      <c r="C95" s="16" t="s">
        <v>763</v>
      </c>
      <c r="D95" s="17" t="s">
        <v>239</v>
      </c>
      <c r="E95" s="17" t="s">
        <v>61</v>
      </c>
      <c r="F95" s="17">
        <v>6</v>
      </c>
      <c r="G95" s="17" t="s">
        <v>165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1:21" ht="14.4">
      <c r="A96" s="16" t="s">
        <v>813</v>
      </c>
      <c r="B96" s="16" t="s">
        <v>77</v>
      </c>
      <c r="C96" s="16" t="s">
        <v>812</v>
      </c>
      <c r="D96" s="17" t="s">
        <v>137</v>
      </c>
      <c r="E96" s="17" t="s">
        <v>81</v>
      </c>
      <c r="F96" s="17">
        <v>5</v>
      </c>
      <c r="G96" s="17" t="s">
        <v>63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 ht="14.4">
      <c r="A97" s="16" t="s">
        <v>814</v>
      </c>
      <c r="B97" s="16" t="s">
        <v>77</v>
      </c>
      <c r="C97" s="16" t="s">
        <v>812</v>
      </c>
      <c r="D97" s="17" t="s">
        <v>80</v>
      </c>
      <c r="E97" s="17" t="s">
        <v>81</v>
      </c>
      <c r="F97" s="17">
        <v>5</v>
      </c>
      <c r="G97" s="17" t="s">
        <v>63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4.4">
      <c r="A98" s="16" t="s">
        <v>815</v>
      </c>
      <c r="B98" s="16" t="s">
        <v>77</v>
      </c>
      <c r="C98" s="16" t="s">
        <v>812</v>
      </c>
      <c r="D98" s="17" t="s">
        <v>59</v>
      </c>
      <c r="E98" s="17" t="s">
        <v>81</v>
      </c>
      <c r="F98" s="17">
        <v>5</v>
      </c>
      <c r="G98" s="17" t="s">
        <v>63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 ht="14.4">
      <c r="A99" s="16" t="s">
        <v>816</v>
      </c>
      <c r="B99" s="16" t="s">
        <v>77</v>
      </c>
      <c r="C99" s="16" t="s">
        <v>812</v>
      </c>
      <c r="D99" s="17" t="s">
        <v>562</v>
      </c>
      <c r="E99" s="17" t="s">
        <v>81</v>
      </c>
      <c r="F99" s="17">
        <v>5</v>
      </c>
      <c r="G99" s="17" t="s">
        <v>63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 ht="14.4">
      <c r="A100" s="16" t="s">
        <v>817</v>
      </c>
      <c r="B100" s="16" t="s">
        <v>77</v>
      </c>
      <c r="C100" s="16" t="s">
        <v>812</v>
      </c>
      <c r="D100" s="17" t="s">
        <v>94</v>
      </c>
      <c r="E100" s="17" t="s">
        <v>81</v>
      </c>
      <c r="F100" s="17">
        <v>5</v>
      </c>
      <c r="G100" s="17" t="s">
        <v>63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4.4">
      <c r="A101" s="16" t="s">
        <v>577</v>
      </c>
      <c r="B101" s="16" t="s">
        <v>573</v>
      </c>
      <c r="C101" s="16" t="s">
        <v>574</v>
      </c>
      <c r="D101" s="17" t="s">
        <v>537</v>
      </c>
      <c r="E101" s="17" t="s">
        <v>61</v>
      </c>
      <c r="F101" s="17">
        <v>9</v>
      </c>
      <c r="G101" s="17" t="s">
        <v>63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4.4">
      <c r="A102" s="16" t="s">
        <v>579</v>
      </c>
      <c r="B102" s="16" t="s">
        <v>573</v>
      </c>
      <c r="C102" s="16" t="s">
        <v>574</v>
      </c>
      <c r="D102" s="17" t="s">
        <v>124</v>
      </c>
      <c r="E102" s="17" t="s">
        <v>61</v>
      </c>
      <c r="F102" s="17">
        <v>9</v>
      </c>
      <c r="G102" s="17" t="s">
        <v>63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 ht="14.4">
      <c r="A103" s="16" t="s">
        <v>862</v>
      </c>
      <c r="B103" s="16" t="s">
        <v>764</v>
      </c>
      <c r="C103" s="16" t="s">
        <v>774</v>
      </c>
      <c r="D103" s="17" t="s">
        <v>132</v>
      </c>
      <c r="E103" s="17" t="s">
        <v>61</v>
      </c>
      <c r="F103" s="17">
        <v>4</v>
      </c>
      <c r="G103" s="17" t="s">
        <v>165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 ht="14.4">
      <c r="A104" s="16" t="s">
        <v>865</v>
      </c>
      <c r="B104" s="16" t="s">
        <v>51</v>
      </c>
      <c r="C104" s="16" t="s">
        <v>866</v>
      </c>
      <c r="D104" s="17" t="s">
        <v>59</v>
      </c>
      <c r="E104" s="17" t="s">
        <v>61</v>
      </c>
      <c r="F104" s="17">
        <v>7</v>
      </c>
      <c r="G104" s="17" t="s">
        <v>165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 ht="14.4">
      <c r="A105" s="16" t="s">
        <v>981</v>
      </c>
      <c r="B105" s="16" t="s">
        <v>528</v>
      </c>
      <c r="C105" s="16" t="s">
        <v>776</v>
      </c>
      <c r="D105" s="17" t="s">
        <v>820</v>
      </c>
      <c r="E105" s="17" t="s">
        <v>81</v>
      </c>
      <c r="F105" s="17">
        <v>7</v>
      </c>
      <c r="G105" s="17" t="s">
        <v>165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 ht="14.4">
      <c r="A106" s="16" t="s">
        <v>982</v>
      </c>
      <c r="B106" s="16" t="s">
        <v>528</v>
      </c>
      <c r="C106" s="16" t="s">
        <v>776</v>
      </c>
      <c r="D106" s="17" t="s">
        <v>951</v>
      </c>
      <c r="E106" s="17" t="s">
        <v>81</v>
      </c>
      <c r="F106" s="17">
        <v>7</v>
      </c>
      <c r="G106" s="17" t="s">
        <v>165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 ht="14.4">
      <c r="A107" s="16" t="s">
        <v>983</v>
      </c>
      <c r="B107" s="16" t="s">
        <v>528</v>
      </c>
      <c r="C107" s="16" t="s">
        <v>796</v>
      </c>
      <c r="D107" s="17" t="s">
        <v>94</v>
      </c>
      <c r="E107" s="17" t="s">
        <v>81</v>
      </c>
      <c r="F107" s="17">
        <v>7</v>
      </c>
      <c r="G107" s="17" t="s">
        <v>165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4.4">
      <c r="A108" s="16" t="s">
        <v>984</v>
      </c>
      <c r="B108" s="16" t="s">
        <v>528</v>
      </c>
      <c r="C108" s="16" t="s">
        <v>776</v>
      </c>
      <c r="D108" s="17" t="s">
        <v>225</v>
      </c>
      <c r="E108" s="17" t="s">
        <v>81</v>
      </c>
      <c r="F108" s="17">
        <v>7</v>
      </c>
      <c r="G108" s="17" t="s">
        <v>165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 ht="14.4">
      <c r="A109" s="16" t="s">
        <v>826</v>
      </c>
      <c r="B109" s="16" t="s">
        <v>77</v>
      </c>
      <c r="C109" s="16" t="s">
        <v>827</v>
      </c>
      <c r="D109" s="17" t="s">
        <v>80</v>
      </c>
      <c r="E109" s="17" t="s">
        <v>61</v>
      </c>
      <c r="F109" s="17">
        <v>5</v>
      </c>
      <c r="G109" s="17" t="s">
        <v>63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 ht="14.4">
      <c r="A110" s="16" t="s">
        <v>828</v>
      </c>
      <c r="B110" s="16" t="s">
        <v>77</v>
      </c>
      <c r="C110" s="16" t="s">
        <v>827</v>
      </c>
      <c r="D110" s="17" t="s">
        <v>59</v>
      </c>
      <c r="E110" s="17" t="s">
        <v>61</v>
      </c>
      <c r="F110" s="17">
        <v>5</v>
      </c>
      <c r="G110" s="17" t="s">
        <v>63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 ht="14.4">
      <c r="A111" s="16" t="s">
        <v>1021</v>
      </c>
      <c r="B111" s="16" t="s">
        <v>528</v>
      </c>
      <c r="C111" s="16" t="s">
        <v>1020</v>
      </c>
      <c r="D111" s="17" t="s">
        <v>231</v>
      </c>
      <c r="E111" s="17" t="s">
        <v>61</v>
      </c>
      <c r="F111" s="17">
        <v>5</v>
      </c>
      <c r="G111" s="17" t="s">
        <v>165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1:21" ht="14.4">
      <c r="A112" s="16" t="s">
        <v>1022</v>
      </c>
      <c r="B112" s="16" t="s">
        <v>528</v>
      </c>
      <c r="C112" s="16" t="s">
        <v>762</v>
      </c>
      <c r="D112" s="17" t="s">
        <v>717</v>
      </c>
      <c r="E112" s="17" t="s">
        <v>61</v>
      </c>
      <c r="F112" s="17">
        <v>7</v>
      </c>
      <c r="G112" s="17" t="s">
        <v>165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1:21" ht="14.4">
      <c r="A113" s="16" t="s">
        <v>1023</v>
      </c>
      <c r="B113" s="16" t="s">
        <v>528</v>
      </c>
      <c r="C113" s="16" t="s">
        <v>761</v>
      </c>
      <c r="D113" s="17" t="s">
        <v>712</v>
      </c>
      <c r="E113" s="17" t="s">
        <v>61</v>
      </c>
      <c r="F113" s="17">
        <v>5</v>
      </c>
      <c r="G113" s="17" t="s">
        <v>165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1:21" ht="14.4">
      <c r="A114" s="16" t="s">
        <v>1024</v>
      </c>
      <c r="B114" s="16" t="s">
        <v>528</v>
      </c>
      <c r="C114" s="16" t="s">
        <v>1020</v>
      </c>
      <c r="D114" s="17" t="s">
        <v>124</v>
      </c>
      <c r="E114" s="17" t="s">
        <v>61</v>
      </c>
      <c r="F114" s="17">
        <v>5</v>
      </c>
      <c r="G114" s="17" t="s">
        <v>165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1:21" ht="14.4">
      <c r="A115" s="16" t="s">
        <v>1025</v>
      </c>
      <c r="B115" s="16" t="s">
        <v>51</v>
      </c>
      <c r="C115" s="16" t="s">
        <v>866</v>
      </c>
      <c r="D115" s="17" t="s">
        <v>59</v>
      </c>
      <c r="E115" s="17" t="s">
        <v>61</v>
      </c>
      <c r="F115" s="17">
        <v>7</v>
      </c>
      <c r="G115" s="17" t="s">
        <v>165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1:21" ht="14.4">
      <c r="A116" s="16" t="s">
        <v>1026</v>
      </c>
      <c r="B116" s="16" t="s">
        <v>51</v>
      </c>
      <c r="C116" s="16" t="s">
        <v>867</v>
      </c>
      <c r="D116" s="17" t="s">
        <v>59</v>
      </c>
      <c r="E116" s="17" t="s">
        <v>61</v>
      </c>
      <c r="F116" s="17">
        <v>9</v>
      </c>
      <c r="G116" s="17" t="s">
        <v>165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spans="1:21" ht="14.4">
      <c r="A117" s="16" t="s">
        <v>1027</v>
      </c>
      <c r="B117" s="16" t="s">
        <v>51</v>
      </c>
      <c r="C117" s="16" t="s">
        <v>870</v>
      </c>
      <c r="D117" s="17" t="s">
        <v>59</v>
      </c>
      <c r="E117" s="17" t="s">
        <v>61</v>
      </c>
      <c r="F117" s="17">
        <v>7</v>
      </c>
      <c r="G117" s="17" t="s">
        <v>165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spans="1:21" ht="14.4">
      <c r="A118" s="16" t="s">
        <v>1028</v>
      </c>
      <c r="B118" s="16" t="s">
        <v>51</v>
      </c>
      <c r="C118" s="16" t="s">
        <v>870</v>
      </c>
      <c r="D118" s="17" t="s">
        <v>59</v>
      </c>
      <c r="E118" s="17" t="s">
        <v>61</v>
      </c>
      <c r="F118" s="17">
        <v>7</v>
      </c>
      <c r="G118" s="17" t="s">
        <v>165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1:21" ht="14.4">
      <c r="A119" s="16" t="s">
        <v>1029</v>
      </c>
      <c r="B119" s="16" t="s">
        <v>51</v>
      </c>
      <c r="C119" s="16" t="s">
        <v>1030</v>
      </c>
      <c r="D119" s="17" t="s">
        <v>124</v>
      </c>
      <c r="E119" s="17" t="s">
        <v>61</v>
      </c>
      <c r="F119" s="17">
        <v>7</v>
      </c>
      <c r="G119" s="17" t="s">
        <v>165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4.4">
      <c r="A120" s="16" t="s">
        <v>1031</v>
      </c>
      <c r="B120" s="16" t="s">
        <v>51</v>
      </c>
      <c r="C120" s="16" t="s">
        <v>1030</v>
      </c>
      <c r="D120" s="17" t="s">
        <v>132</v>
      </c>
      <c r="E120" s="17" t="s">
        <v>61</v>
      </c>
      <c r="F120" s="17">
        <v>7</v>
      </c>
      <c r="G120" s="17" t="s">
        <v>165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 ht="14.4">
      <c r="A121" s="16" t="s">
        <v>655</v>
      </c>
      <c r="B121" s="16" t="s">
        <v>656</v>
      </c>
      <c r="C121" s="16" t="s">
        <v>657</v>
      </c>
      <c r="D121" s="17" t="s">
        <v>660</v>
      </c>
      <c r="E121" s="17" t="s">
        <v>61</v>
      </c>
      <c r="F121" s="17">
        <v>7</v>
      </c>
      <c r="G121" s="17" t="s">
        <v>63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spans="1:21" ht="14.4">
      <c r="A122" s="16" t="s">
        <v>1032</v>
      </c>
      <c r="B122" s="16" t="s">
        <v>528</v>
      </c>
      <c r="C122" s="16" t="s">
        <v>1033</v>
      </c>
      <c r="D122" s="17" t="s">
        <v>736</v>
      </c>
      <c r="E122" s="17" t="s">
        <v>81</v>
      </c>
      <c r="F122" s="17">
        <v>7</v>
      </c>
      <c r="G122" s="17" t="s">
        <v>165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spans="1:21" ht="14.4">
      <c r="A123" s="16" t="s">
        <v>1034</v>
      </c>
      <c r="B123" s="16" t="s">
        <v>528</v>
      </c>
      <c r="C123" s="16" t="s">
        <v>1033</v>
      </c>
      <c r="D123" s="17" t="s">
        <v>231</v>
      </c>
      <c r="E123" s="17" t="s">
        <v>81</v>
      </c>
      <c r="F123" s="17">
        <v>7</v>
      </c>
      <c r="G123" s="17" t="s">
        <v>165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1:21" ht="14.4">
      <c r="A124" s="16" t="s">
        <v>1035</v>
      </c>
      <c r="B124" s="16" t="s">
        <v>528</v>
      </c>
      <c r="C124" s="16" t="s">
        <v>1033</v>
      </c>
      <c r="D124" s="17" t="s">
        <v>712</v>
      </c>
      <c r="E124" s="17" t="s">
        <v>81</v>
      </c>
      <c r="F124" s="17">
        <v>7</v>
      </c>
      <c r="G124" s="17" t="s">
        <v>165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1:21" ht="14.4">
      <c r="A125" s="16" t="s">
        <v>1036</v>
      </c>
      <c r="B125" s="16" t="s">
        <v>528</v>
      </c>
      <c r="C125" s="16" t="s">
        <v>1033</v>
      </c>
      <c r="D125" s="17" t="s">
        <v>94</v>
      </c>
      <c r="E125" s="17" t="s">
        <v>81</v>
      </c>
      <c r="F125" s="17">
        <v>7</v>
      </c>
      <c r="G125" s="17" t="s">
        <v>165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1:21" ht="14.4">
      <c r="A126" s="16" t="s">
        <v>1037</v>
      </c>
      <c r="B126" s="16" t="s">
        <v>51</v>
      </c>
      <c r="C126" s="16" t="s">
        <v>866</v>
      </c>
      <c r="D126" s="17" t="s">
        <v>103</v>
      </c>
      <c r="E126" s="17" t="s">
        <v>61</v>
      </c>
      <c r="F126" s="17">
        <v>7</v>
      </c>
      <c r="G126" s="17" t="s">
        <v>165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1:21" ht="14.4">
      <c r="A127" s="16" t="s">
        <v>1038</v>
      </c>
      <c r="B127" s="16" t="s">
        <v>51</v>
      </c>
      <c r="C127" s="16" t="s">
        <v>866</v>
      </c>
      <c r="D127" s="17" t="s">
        <v>124</v>
      </c>
      <c r="E127" s="17" t="s">
        <v>61</v>
      </c>
      <c r="F127" s="17">
        <v>7</v>
      </c>
      <c r="G127" s="17" t="s">
        <v>165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 spans="1:21" ht="14.4">
      <c r="A128" s="16" t="s">
        <v>1039</v>
      </c>
      <c r="B128" s="16" t="s">
        <v>51</v>
      </c>
      <c r="C128" s="16" t="s">
        <v>867</v>
      </c>
      <c r="D128" s="17" t="s">
        <v>132</v>
      </c>
      <c r="E128" s="17" t="s">
        <v>61</v>
      </c>
      <c r="F128" s="17">
        <v>9</v>
      </c>
      <c r="G128" s="17" t="s">
        <v>165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spans="1:21" ht="14.4">
      <c r="A129" s="16" t="s">
        <v>1040</v>
      </c>
      <c r="B129" s="16" t="s">
        <v>51</v>
      </c>
      <c r="C129" s="16" t="s">
        <v>867</v>
      </c>
      <c r="D129" s="17" t="s">
        <v>103</v>
      </c>
      <c r="E129" s="17" t="s">
        <v>61</v>
      </c>
      <c r="F129" s="17">
        <v>9</v>
      </c>
      <c r="G129" s="17" t="s">
        <v>165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spans="1:21" ht="14.4">
      <c r="A130" s="16" t="s">
        <v>732</v>
      </c>
      <c r="B130" s="16" t="s">
        <v>328</v>
      </c>
      <c r="C130" s="16" t="s">
        <v>634</v>
      </c>
      <c r="D130" s="17" t="s">
        <v>124</v>
      </c>
      <c r="E130" s="17" t="s">
        <v>61</v>
      </c>
      <c r="F130" s="17">
        <v>7</v>
      </c>
      <c r="G130" s="17" t="s">
        <v>63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 ht="14.4">
      <c r="A131" s="16" t="s">
        <v>733</v>
      </c>
      <c r="B131" s="16" t="s">
        <v>328</v>
      </c>
      <c r="C131" s="16" t="s">
        <v>634</v>
      </c>
      <c r="D131" s="17" t="s">
        <v>712</v>
      </c>
      <c r="E131" s="17" t="s">
        <v>61</v>
      </c>
      <c r="F131" s="17">
        <v>7</v>
      </c>
      <c r="G131" s="17" t="s">
        <v>63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spans="1:21" ht="14.4">
      <c r="A132" s="16" t="s">
        <v>734</v>
      </c>
      <c r="B132" s="16" t="s">
        <v>328</v>
      </c>
      <c r="C132" s="16" t="s">
        <v>634</v>
      </c>
      <c r="D132" s="17" t="s">
        <v>239</v>
      </c>
      <c r="E132" s="17" t="s">
        <v>61</v>
      </c>
      <c r="F132" s="17">
        <v>7</v>
      </c>
      <c r="G132" s="17" t="s">
        <v>63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spans="1:21" ht="14.4">
      <c r="A133" s="16" t="s">
        <v>1044</v>
      </c>
      <c r="B133" s="16" t="s">
        <v>528</v>
      </c>
      <c r="C133" s="16" t="s">
        <v>780</v>
      </c>
      <c r="D133" s="17" t="s">
        <v>717</v>
      </c>
      <c r="E133" s="17" t="s">
        <v>61</v>
      </c>
      <c r="F133" s="17">
        <v>5</v>
      </c>
      <c r="G133" s="17" t="s">
        <v>165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spans="1:21" ht="14.4">
      <c r="A134" s="16" t="s">
        <v>1045</v>
      </c>
      <c r="B134" s="16" t="s">
        <v>528</v>
      </c>
      <c r="C134" s="16" t="s">
        <v>780</v>
      </c>
      <c r="D134" s="17" t="s">
        <v>712</v>
      </c>
      <c r="E134" s="17" t="s">
        <v>61</v>
      </c>
      <c r="F134" s="17">
        <v>5</v>
      </c>
      <c r="G134" s="17" t="s">
        <v>165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spans="1:21" ht="14.4">
      <c r="A135" s="16" t="s">
        <v>1046</v>
      </c>
      <c r="B135" s="16" t="s">
        <v>528</v>
      </c>
      <c r="C135" s="16" t="s">
        <v>780</v>
      </c>
      <c r="D135" s="17" t="s">
        <v>94</v>
      </c>
      <c r="E135" s="17" t="s">
        <v>61</v>
      </c>
      <c r="F135" s="17">
        <v>5</v>
      </c>
      <c r="G135" s="17" t="s">
        <v>165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spans="1:21" ht="14.4">
      <c r="A136" s="16" t="s">
        <v>1047</v>
      </c>
      <c r="B136" s="16" t="s">
        <v>528</v>
      </c>
      <c r="C136" s="16" t="s">
        <v>796</v>
      </c>
      <c r="D136" s="17" t="s">
        <v>231</v>
      </c>
      <c r="E136" s="17" t="s">
        <v>81</v>
      </c>
      <c r="F136" s="17">
        <v>7</v>
      </c>
      <c r="G136" s="17" t="s">
        <v>165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spans="1:21" ht="14.4">
      <c r="A137" s="16" t="s">
        <v>1048</v>
      </c>
      <c r="B137" s="16" t="s">
        <v>528</v>
      </c>
      <c r="C137" s="16" t="s">
        <v>796</v>
      </c>
      <c r="D137" s="17" t="s">
        <v>717</v>
      </c>
      <c r="E137" s="17" t="s">
        <v>81</v>
      </c>
      <c r="F137" s="17">
        <v>7</v>
      </c>
      <c r="G137" s="17" t="s">
        <v>165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spans="1:21" ht="14.4">
      <c r="A138" s="16" t="s">
        <v>1049</v>
      </c>
      <c r="B138" s="16" t="s">
        <v>528</v>
      </c>
      <c r="C138" s="16" t="s">
        <v>796</v>
      </c>
      <c r="D138" s="17" t="s">
        <v>712</v>
      </c>
      <c r="E138" s="17" t="s">
        <v>81</v>
      </c>
      <c r="F138" s="17">
        <v>7</v>
      </c>
      <c r="G138" s="17" t="s">
        <v>165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spans="1:21" ht="14.4">
      <c r="A139" s="16" t="s">
        <v>1050</v>
      </c>
      <c r="B139" s="16" t="s">
        <v>51</v>
      </c>
      <c r="C139" s="16" t="s">
        <v>867</v>
      </c>
      <c r="D139" s="17" t="s">
        <v>94</v>
      </c>
      <c r="E139" s="17" t="s">
        <v>61</v>
      </c>
      <c r="F139" s="17">
        <v>9</v>
      </c>
      <c r="G139" s="17" t="s">
        <v>165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spans="1:21" ht="14.4">
      <c r="A140" s="16" t="s">
        <v>1051</v>
      </c>
      <c r="B140" s="16" t="s">
        <v>51</v>
      </c>
      <c r="C140" s="16" t="s">
        <v>870</v>
      </c>
      <c r="D140" s="17" t="s">
        <v>94</v>
      </c>
      <c r="E140" s="17" t="s">
        <v>61</v>
      </c>
      <c r="F140" s="17">
        <v>7</v>
      </c>
      <c r="G140" s="17" t="s">
        <v>165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spans="1:21" ht="14.4">
      <c r="A141" s="16" t="s">
        <v>1052</v>
      </c>
      <c r="B141" s="16" t="s">
        <v>51</v>
      </c>
      <c r="C141" s="16" t="s">
        <v>870</v>
      </c>
      <c r="D141" s="17" t="s">
        <v>94</v>
      </c>
      <c r="E141" s="17" t="s">
        <v>61</v>
      </c>
      <c r="F141" s="17">
        <v>7</v>
      </c>
      <c r="G141" s="17" t="s">
        <v>165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spans="1:21" ht="14.4">
      <c r="A142" s="16" t="s">
        <v>661</v>
      </c>
      <c r="B142" s="16" t="s">
        <v>656</v>
      </c>
      <c r="C142" s="16" t="s">
        <v>662</v>
      </c>
      <c r="D142" s="17" t="s">
        <v>537</v>
      </c>
      <c r="E142" s="17" t="s">
        <v>61</v>
      </c>
      <c r="F142" s="17">
        <v>8</v>
      </c>
      <c r="G142" s="17" t="s">
        <v>63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spans="1:21" ht="14.4">
      <c r="A143" s="16" t="s">
        <v>669</v>
      </c>
      <c r="B143" s="16" t="s">
        <v>656</v>
      </c>
      <c r="C143" s="16" t="s">
        <v>670</v>
      </c>
      <c r="D143" s="17" t="s">
        <v>660</v>
      </c>
      <c r="E143" s="17" t="s">
        <v>61</v>
      </c>
      <c r="F143" s="17">
        <v>7</v>
      </c>
      <c r="G143" s="17" t="s">
        <v>63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spans="1:21" ht="14.4">
      <c r="A144" s="16" t="s">
        <v>675</v>
      </c>
      <c r="B144" s="16" t="s">
        <v>656</v>
      </c>
      <c r="C144" s="16" t="s">
        <v>676</v>
      </c>
      <c r="D144" s="17" t="s">
        <v>660</v>
      </c>
      <c r="E144" s="17" t="s">
        <v>61</v>
      </c>
      <c r="F144" s="17">
        <v>8</v>
      </c>
      <c r="G144" s="17" t="s">
        <v>63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 ht="14.4">
      <c r="A145" s="16" t="s">
        <v>1053</v>
      </c>
      <c r="B145" s="16" t="s">
        <v>528</v>
      </c>
      <c r="C145" s="16" t="s">
        <v>1054</v>
      </c>
      <c r="D145" s="17" t="s">
        <v>736</v>
      </c>
      <c r="E145" s="17" t="s">
        <v>61</v>
      </c>
      <c r="F145" s="17">
        <v>7</v>
      </c>
      <c r="G145" s="17" t="s">
        <v>165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 ht="14.4">
      <c r="A146" s="16" t="s">
        <v>1055</v>
      </c>
      <c r="B146" s="16" t="s">
        <v>528</v>
      </c>
      <c r="C146" s="16" t="s">
        <v>1054</v>
      </c>
      <c r="D146" s="17" t="s">
        <v>231</v>
      </c>
      <c r="E146" s="17" t="s">
        <v>61</v>
      </c>
      <c r="F146" s="17">
        <v>7</v>
      </c>
      <c r="G146" s="17" t="s">
        <v>165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1:21" ht="14.4">
      <c r="A147" s="16" t="s">
        <v>1056</v>
      </c>
      <c r="B147" s="16" t="s">
        <v>528</v>
      </c>
      <c r="C147" s="16" t="s">
        <v>1054</v>
      </c>
      <c r="D147" s="17" t="s">
        <v>712</v>
      </c>
      <c r="E147" s="17" t="s">
        <v>61</v>
      </c>
      <c r="F147" s="17">
        <v>7</v>
      </c>
      <c r="G147" s="17" t="s">
        <v>165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1:21" ht="14.4">
      <c r="A148" s="16" t="s">
        <v>1057</v>
      </c>
      <c r="B148" s="16" t="s">
        <v>328</v>
      </c>
      <c r="C148" s="16" t="s">
        <v>1058</v>
      </c>
      <c r="D148" s="17" t="s">
        <v>712</v>
      </c>
      <c r="E148" s="17" t="s">
        <v>61</v>
      </c>
      <c r="F148" s="17">
        <v>7</v>
      </c>
      <c r="G148" s="17" t="s">
        <v>165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1:21" ht="14.4">
      <c r="A149" s="16" t="s">
        <v>1059</v>
      </c>
      <c r="B149" s="16" t="s">
        <v>328</v>
      </c>
      <c r="C149" s="16" t="s">
        <v>1058</v>
      </c>
      <c r="D149" s="17" t="s">
        <v>94</v>
      </c>
      <c r="E149" s="17" t="s">
        <v>61</v>
      </c>
      <c r="F149" s="17">
        <v>7</v>
      </c>
      <c r="G149" s="17" t="s">
        <v>165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spans="1:21" ht="14.4">
      <c r="A150" s="16" t="s">
        <v>1060</v>
      </c>
      <c r="B150" s="16" t="s">
        <v>328</v>
      </c>
      <c r="C150" s="16" t="s">
        <v>1061</v>
      </c>
      <c r="D150" s="17" t="s">
        <v>1062</v>
      </c>
      <c r="E150" s="17" t="s">
        <v>81</v>
      </c>
      <c r="F150" s="17">
        <v>6</v>
      </c>
      <c r="G150" s="17" t="s">
        <v>165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1:21" ht="14.4">
      <c r="A151" s="16" t="s">
        <v>1063</v>
      </c>
      <c r="B151" s="16" t="s">
        <v>328</v>
      </c>
      <c r="C151" s="16" t="s">
        <v>1061</v>
      </c>
      <c r="D151" s="17" t="s">
        <v>717</v>
      </c>
      <c r="E151" s="17" t="s">
        <v>81</v>
      </c>
      <c r="F151" s="17">
        <v>6</v>
      </c>
      <c r="G151" s="17" t="s">
        <v>165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 ht="14.4">
      <c r="A152" s="16" t="s">
        <v>1064</v>
      </c>
      <c r="B152" s="16" t="s">
        <v>328</v>
      </c>
      <c r="C152" s="16" t="s">
        <v>1061</v>
      </c>
      <c r="D152" s="17" t="s">
        <v>94</v>
      </c>
      <c r="E152" s="17" t="s">
        <v>81</v>
      </c>
      <c r="F152" s="17">
        <v>6</v>
      </c>
      <c r="G152" s="17" t="s">
        <v>165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spans="1:21" ht="14.4">
      <c r="A153" s="16" t="s">
        <v>1065</v>
      </c>
      <c r="B153" s="16" t="s">
        <v>528</v>
      </c>
      <c r="C153" s="16" t="s">
        <v>1066</v>
      </c>
      <c r="D153" s="17" t="s">
        <v>736</v>
      </c>
      <c r="E153" s="17" t="s">
        <v>81</v>
      </c>
      <c r="F153" s="17">
        <v>5</v>
      </c>
      <c r="G153" s="17" t="s">
        <v>165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spans="1:21" ht="14.4">
      <c r="A154" s="16" t="s">
        <v>1067</v>
      </c>
      <c r="B154" s="16" t="s">
        <v>528</v>
      </c>
      <c r="C154" s="16" t="s">
        <v>1066</v>
      </c>
      <c r="D154" s="17" t="s">
        <v>712</v>
      </c>
      <c r="E154" s="17" t="s">
        <v>81</v>
      </c>
      <c r="F154" s="17">
        <v>5</v>
      </c>
      <c r="G154" s="17" t="s">
        <v>165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spans="1:21" ht="14.4">
      <c r="A155" s="16" t="s">
        <v>586</v>
      </c>
      <c r="B155" s="16" t="s">
        <v>573</v>
      </c>
      <c r="C155" s="16" t="s">
        <v>587</v>
      </c>
      <c r="D155" s="17" t="s">
        <v>103</v>
      </c>
      <c r="E155" s="17" t="s">
        <v>61</v>
      </c>
      <c r="F155" s="17">
        <v>5</v>
      </c>
      <c r="G155" s="17" t="s">
        <v>63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spans="1:21" ht="14.4">
      <c r="A156" s="16" t="s">
        <v>1068</v>
      </c>
      <c r="B156" s="16" t="s">
        <v>328</v>
      </c>
      <c r="C156" s="16" t="s">
        <v>1041</v>
      </c>
      <c r="D156" s="17" t="s">
        <v>94</v>
      </c>
      <c r="E156" s="17" t="s">
        <v>81</v>
      </c>
      <c r="F156" s="17">
        <v>7</v>
      </c>
      <c r="G156" s="17" t="s">
        <v>165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spans="1:21" ht="14.4">
      <c r="A157" s="16" t="s">
        <v>1069</v>
      </c>
      <c r="B157" s="16" t="s">
        <v>328</v>
      </c>
      <c r="C157" s="16" t="s">
        <v>1043</v>
      </c>
      <c r="D157" s="17" t="s">
        <v>94</v>
      </c>
      <c r="E157" s="17" t="s">
        <v>81</v>
      </c>
      <c r="F157" s="17">
        <v>6</v>
      </c>
      <c r="G157" s="17" t="s">
        <v>165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spans="1:21" ht="14.4">
      <c r="A158" s="16" t="s">
        <v>1070</v>
      </c>
      <c r="B158" s="16" t="s">
        <v>328</v>
      </c>
      <c r="C158" s="16" t="s">
        <v>1042</v>
      </c>
      <c r="D158" s="17" t="s">
        <v>94</v>
      </c>
      <c r="E158" s="17" t="s">
        <v>61</v>
      </c>
      <c r="F158" s="17">
        <v>7</v>
      </c>
      <c r="G158" s="17" t="s">
        <v>165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spans="1:21" ht="14.4">
      <c r="A159" s="16" t="s">
        <v>1071</v>
      </c>
      <c r="B159" s="16" t="s">
        <v>328</v>
      </c>
      <c r="C159" s="16" t="s">
        <v>811</v>
      </c>
      <c r="D159" s="17" t="s">
        <v>94</v>
      </c>
      <c r="E159" s="17" t="s">
        <v>61</v>
      </c>
      <c r="F159" s="17">
        <v>7</v>
      </c>
      <c r="G159" s="17" t="s">
        <v>165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spans="1:21" ht="14.4">
      <c r="A160" s="16" t="s">
        <v>667</v>
      </c>
      <c r="B160" s="16" t="s">
        <v>656</v>
      </c>
      <c r="C160" s="16" t="s">
        <v>668</v>
      </c>
      <c r="D160" s="17" t="s">
        <v>94</v>
      </c>
      <c r="E160" s="17" t="s">
        <v>61</v>
      </c>
      <c r="F160" s="17">
        <v>8</v>
      </c>
      <c r="G160" s="17" t="s">
        <v>63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spans="1:21" ht="14.4">
      <c r="A161" s="16" t="s">
        <v>672</v>
      </c>
      <c r="B161" s="16" t="s">
        <v>656</v>
      </c>
      <c r="C161" s="16" t="s">
        <v>670</v>
      </c>
      <c r="D161" s="17" t="s">
        <v>94</v>
      </c>
      <c r="E161" s="17" t="s">
        <v>61</v>
      </c>
      <c r="F161" s="17">
        <v>7</v>
      </c>
      <c r="G161" s="17" t="s">
        <v>63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spans="1:21" ht="14.4">
      <c r="A162" s="16" t="s">
        <v>677</v>
      </c>
      <c r="B162" s="16" t="s">
        <v>656</v>
      </c>
      <c r="C162" s="16" t="s">
        <v>676</v>
      </c>
      <c r="D162" s="17" t="s">
        <v>94</v>
      </c>
      <c r="E162" s="17" t="s">
        <v>61</v>
      </c>
      <c r="F162" s="17">
        <v>8</v>
      </c>
      <c r="G162" s="17" t="s">
        <v>63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14.4">
      <c r="A163" s="16" t="s">
        <v>1072</v>
      </c>
      <c r="B163" s="16" t="s">
        <v>528</v>
      </c>
      <c r="C163" s="16" t="s">
        <v>998</v>
      </c>
      <c r="D163" s="17" t="s">
        <v>231</v>
      </c>
      <c r="E163" s="17" t="s">
        <v>81</v>
      </c>
      <c r="F163" s="17">
        <v>5</v>
      </c>
      <c r="G163" s="17" t="s">
        <v>165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14.4">
      <c r="A164" s="16" t="s">
        <v>1073</v>
      </c>
      <c r="B164" s="16" t="s">
        <v>528</v>
      </c>
      <c r="C164" s="16" t="s">
        <v>998</v>
      </c>
      <c r="D164" s="17" t="s">
        <v>94</v>
      </c>
      <c r="E164" s="17" t="s">
        <v>81</v>
      </c>
      <c r="F164" s="17">
        <v>5</v>
      </c>
      <c r="G164" s="17" t="s">
        <v>165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spans="1:21" ht="14.4">
      <c r="A165" s="16" t="s">
        <v>582</v>
      </c>
      <c r="B165" s="16" t="s">
        <v>573</v>
      </c>
      <c r="C165" s="16" t="s">
        <v>574</v>
      </c>
      <c r="D165" s="17" t="s">
        <v>537</v>
      </c>
      <c r="E165" s="17" t="s">
        <v>61</v>
      </c>
      <c r="F165" s="17">
        <v>9</v>
      </c>
      <c r="G165" s="17" t="s">
        <v>63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spans="1:21" ht="14.4">
      <c r="A166" s="16" t="s">
        <v>584</v>
      </c>
      <c r="B166" s="16" t="s">
        <v>573</v>
      </c>
      <c r="C166" s="16" t="s">
        <v>574</v>
      </c>
      <c r="D166" s="17" t="s">
        <v>124</v>
      </c>
      <c r="E166" s="17" t="s">
        <v>61</v>
      </c>
      <c r="F166" s="17">
        <v>9</v>
      </c>
      <c r="G166" s="17" t="s">
        <v>63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spans="1:21" ht="14.4">
      <c r="A167" s="16" t="s">
        <v>969</v>
      </c>
      <c r="B167" s="16" t="s">
        <v>600</v>
      </c>
      <c r="C167" s="16" t="s">
        <v>970</v>
      </c>
      <c r="D167" s="17" t="s">
        <v>132</v>
      </c>
      <c r="E167" s="17" t="s">
        <v>61</v>
      </c>
      <c r="F167" s="17">
        <v>5</v>
      </c>
      <c r="G167" s="17" t="s">
        <v>63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spans="1:21" ht="14.4">
      <c r="A168" s="16" t="s">
        <v>961</v>
      </c>
      <c r="B168" s="16" t="s">
        <v>600</v>
      </c>
      <c r="C168" s="16" t="s">
        <v>962</v>
      </c>
      <c r="D168" s="17" t="s">
        <v>132</v>
      </c>
      <c r="E168" s="17" t="s">
        <v>1074</v>
      </c>
      <c r="F168" s="17">
        <v>5</v>
      </c>
      <c r="G168" s="17" t="s">
        <v>63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spans="1:21" ht="14.4">
      <c r="A169" s="16" t="s">
        <v>992</v>
      </c>
      <c r="B169" s="16" t="s">
        <v>600</v>
      </c>
      <c r="C169" s="16" t="s">
        <v>991</v>
      </c>
      <c r="D169" s="17" t="s">
        <v>80</v>
      </c>
      <c r="E169" s="17" t="s">
        <v>61</v>
      </c>
      <c r="F169" s="17">
        <v>5</v>
      </c>
      <c r="G169" s="17" t="s">
        <v>63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spans="1:21" ht="14.4">
      <c r="A170" s="16" t="s">
        <v>990</v>
      </c>
      <c r="B170" s="16" t="s">
        <v>600</v>
      </c>
      <c r="C170" s="16" t="s">
        <v>989</v>
      </c>
      <c r="D170" s="17" t="s">
        <v>80</v>
      </c>
      <c r="E170" s="17" t="s">
        <v>81</v>
      </c>
      <c r="F170" s="17">
        <v>5</v>
      </c>
      <c r="G170" s="17" t="s">
        <v>63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spans="1:21" ht="14.4">
      <c r="A171" s="16" t="s">
        <v>1078</v>
      </c>
      <c r="B171" s="16" t="s">
        <v>528</v>
      </c>
      <c r="C171" s="16" t="s">
        <v>780</v>
      </c>
      <c r="D171" s="17" t="s">
        <v>231</v>
      </c>
      <c r="E171" s="17" t="s">
        <v>61</v>
      </c>
      <c r="F171" s="17">
        <v>5</v>
      </c>
      <c r="G171" s="17" t="s">
        <v>165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spans="1:21" ht="14.4">
      <c r="A172" s="16" t="s">
        <v>1079</v>
      </c>
      <c r="B172" s="16" t="s">
        <v>528</v>
      </c>
      <c r="C172" s="16" t="s">
        <v>780</v>
      </c>
      <c r="D172" s="17" t="s">
        <v>717</v>
      </c>
      <c r="E172" s="17" t="s">
        <v>61</v>
      </c>
      <c r="F172" s="17">
        <v>5</v>
      </c>
      <c r="G172" s="17" t="s">
        <v>165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spans="1:21" ht="14.4">
      <c r="A173" s="16" t="s">
        <v>1080</v>
      </c>
      <c r="B173" s="16" t="s">
        <v>528</v>
      </c>
      <c r="C173" s="16" t="s">
        <v>780</v>
      </c>
      <c r="D173" s="17" t="s">
        <v>712</v>
      </c>
      <c r="E173" s="17" t="s">
        <v>61</v>
      </c>
      <c r="F173" s="17">
        <v>5</v>
      </c>
      <c r="G173" s="17" t="s">
        <v>165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spans="1:21" ht="14.4">
      <c r="A174" s="16" t="s">
        <v>1081</v>
      </c>
      <c r="B174" s="16" t="s">
        <v>528</v>
      </c>
      <c r="C174" s="16" t="s">
        <v>780</v>
      </c>
      <c r="D174" s="17" t="s">
        <v>94</v>
      </c>
      <c r="E174" s="17" t="s">
        <v>61</v>
      </c>
      <c r="F174" s="17">
        <v>5</v>
      </c>
      <c r="G174" s="17" t="s">
        <v>165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spans="1:21" ht="14.4">
      <c r="A175" s="16" t="s">
        <v>1075</v>
      </c>
      <c r="B175" s="16" t="s">
        <v>528</v>
      </c>
      <c r="C175" s="16" t="s">
        <v>796</v>
      </c>
      <c r="D175" s="17" t="s">
        <v>239</v>
      </c>
      <c r="E175" s="17" t="s">
        <v>81</v>
      </c>
      <c r="F175" s="17">
        <v>7</v>
      </c>
      <c r="G175" s="17" t="s">
        <v>165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spans="1:21" ht="14.4">
      <c r="A176" s="16" t="s">
        <v>837</v>
      </c>
      <c r="B176" s="16" t="s">
        <v>77</v>
      </c>
      <c r="C176" s="16" t="s">
        <v>836</v>
      </c>
      <c r="D176" s="17" t="s">
        <v>94</v>
      </c>
      <c r="E176" s="17" t="s">
        <v>61</v>
      </c>
      <c r="F176" s="17">
        <v>5</v>
      </c>
      <c r="G176" s="17" t="s">
        <v>63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spans="1:21" ht="14.4">
      <c r="A177" s="16" t="s">
        <v>830</v>
      </c>
      <c r="B177" s="16" t="s">
        <v>77</v>
      </c>
      <c r="C177" s="16" t="s">
        <v>829</v>
      </c>
      <c r="D177" s="17" t="s">
        <v>80</v>
      </c>
      <c r="E177" s="17" t="s">
        <v>81</v>
      </c>
      <c r="F177" s="17">
        <v>5</v>
      </c>
      <c r="G177" s="17" t="s">
        <v>63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spans="1:21" ht="14.4">
      <c r="A178" s="16" t="s">
        <v>831</v>
      </c>
      <c r="B178" s="16" t="s">
        <v>77</v>
      </c>
      <c r="C178" s="16" t="s">
        <v>829</v>
      </c>
      <c r="D178" s="17" t="s">
        <v>59</v>
      </c>
      <c r="E178" s="17" t="s">
        <v>81</v>
      </c>
      <c r="F178" s="17">
        <v>5</v>
      </c>
      <c r="G178" s="17" t="s">
        <v>63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spans="1:21" ht="14.4">
      <c r="A179" s="16" t="s">
        <v>735</v>
      </c>
      <c r="B179" s="16" t="s">
        <v>328</v>
      </c>
      <c r="C179" s="16" t="s">
        <v>634</v>
      </c>
      <c r="D179" s="17" t="s">
        <v>59</v>
      </c>
      <c r="E179" s="17" t="s">
        <v>61</v>
      </c>
      <c r="F179" s="17">
        <v>7</v>
      </c>
      <c r="G179" s="17" t="s">
        <v>63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spans="1:21" ht="14.4">
      <c r="A180" s="16" t="s">
        <v>760</v>
      </c>
      <c r="B180" s="16" t="s">
        <v>328</v>
      </c>
      <c r="C180" s="16" t="s">
        <v>462</v>
      </c>
      <c r="D180" s="17" t="s">
        <v>239</v>
      </c>
      <c r="E180" s="17" t="s">
        <v>61</v>
      </c>
      <c r="F180" s="17">
        <v>7</v>
      </c>
      <c r="G180" s="17" t="s">
        <v>63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spans="1:21" ht="14.4">
      <c r="A181" s="16" t="s">
        <v>1098</v>
      </c>
      <c r="B181" s="16" t="s">
        <v>764</v>
      </c>
      <c r="C181" s="16" t="s">
        <v>774</v>
      </c>
      <c r="D181" s="17" t="s">
        <v>717</v>
      </c>
      <c r="E181" s="17" t="s">
        <v>61</v>
      </c>
      <c r="F181" s="17">
        <v>4</v>
      </c>
      <c r="G181" s="17" t="s">
        <v>165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spans="1:21" ht="14.4">
      <c r="A182" s="16" t="s">
        <v>1099</v>
      </c>
      <c r="B182" s="16" t="s">
        <v>764</v>
      </c>
      <c r="C182" s="16" t="s">
        <v>774</v>
      </c>
      <c r="D182" s="17" t="s">
        <v>94</v>
      </c>
      <c r="E182" s="17" t="s">
        <v>61</v>
      </c>
      <c r="F182" s="17">
        <v>4</v>
      </c>
      <c r="G182" s="17" t="s">
        <v>165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1:21" ht="14.4">
      <c r="A183" s="16" t="s">
        <v>1100</v>
      </c>
      <c r="B183" s="16" t="s">
        <v>764</v>
      </c>
      <c r="C183" s="16" t="s">
        <v>765</v>
      </c>
      <c r="D183" s="17" t="s">
        <v>132</v>
      </c>
      <c r="E183" s="17" t="s">
        <v>61</v>
      </c>
      <c r="F183" s="17">
        <v>4</v>
      </c>
      <c r="G183" s="17" t="s">
        <v>165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spans="1:21" ht="14.4">
      <c r="A184" s="16" t="s">
        <v>1101</v>
      </c>
      <c r="B184" s="16" t="s">
        <v>764</v>
      </c>
      <c r="C184" s="16" t="s">
        <v>765</v>
      </c>
      <c r="D184" s="17" t="s">
        <v>717</v>
      </c>
      <c r="E184" s="17" t="s">
        <v>61</v>
      </c>
      <c r="F184" s="17">
        <v>4</v>
      </c>
      <c r="G184" s="17" t="s">
        <v>165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spans="1:21" ht="14.4">
      <c r="A185" s="16" t="s">
        <v>1103</v>
      </c>
      <c r="B185" s="16" t="s">
        <v>764</v>
      </c>
      <c r="C185" s="16" t="s">
        <v>765</v>
      </c>
      <c r="D185" s="17" t="s">
        <v>94</v>
      </c>
      <c r="E185" s="17" t="s">
        <v>61</v>
      </c>
      <c r="F185" s="17">
        <v>4</v>
      </c>
      <c r="G185" s="17" t="s">
        <v>165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spans="1:21" ht="14.4">
      <c r="A186" s="16" t="s">
        <v>1104</v>
      </c>
      <c r="B186" s="16" t="s">
        <v>764</v>
      </c>
      <c r="C186" s="16" t="s">
        <v>767</v>
      </c>
      <c r="D186" s="17" t="s">
        <v>132</v>
      </c>
      <c r="E186" s="17" t="s">
        <v>81</v>
      </c>
      <c r="F186" s="17">
        <v>4</v>
      </c>
      <c r="G186" s="17" t="s">
        <v>165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spans="1:21" ht="14.4">
      <c r="A187" s="16" t="s">
        <v>1105</v>
      </c>
      <c r="B187" s="16" t="s">
        <v>764</v>
      </c>
      <c r="C187" s="16" t="s">
        <v>767</v>
      </c>
      <c r="D187" s="17" t="s">
        <v>717</v>
      </c>
      <c r="E187" s="17" t="s">
        <v>81</v>
      </c>
      <c r="F187" s="17">
        <v>4</v>
      </c>
      <c r="G187" s="17" t="s">
        <v>165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ht="14.4">
      <c r="A188" s="16" t="s">
        <v>1106</v>
      </c>
      <c r="B188" s="16" t="s">
        <v>764</v>
      </c>
      <c r="C188" s="16" t="s">
        <v>767</v>
      </c>
      <c r="D188" s="17" t="s">
        <v>94</v>
      </c>
      <c r="E188" s="17" t="s">
        <v>81</v>
      </c>
      <c r="F188" s="17">
        <v>4</v>
      </c>
      <c r="G188" s="17" t="s">
        <v>165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spans="1:21" ht="14.4">
      <c r="A189" s="16" t="s">
        <v>1107</v>
      </c>
      <c r="B189" s="16" t="s">
        <v>764</v>
      </c>
      <c r="C189" s="16" t="s">
        <v>775</v>
      </c>
      <c r="D189" s="17" t="s">
        <v>132</v>
      </c>
      <c r="E189" s="17" t="s">
        <v>81</v>
      </c>
      <c r="F189" s="17">
        <v>4</v>
      </c>
      <c r="G189" s="17" t="s">
        <v>165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spans="1:21" ht="14.4">
      <c r="A190" s="16" t="s">
        <v>1111</v>
      </c>
      <c r="B190" s="16" t="s">
        <v>764</v>
      </c>
      <c r="C190" s="16" t="s">
        <v>775</v>
      </c>
      <c r="D190" s="17" t="s">
        <v>717</v>
      </c>
      <c r="E190" s="17" t="s">
        <v>81</v>
      </c>
      <c r="F190" s="17">
        <v>4</v>
      </c>
      <c r="G190" s="17" t="s">
        <v>165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spans="1:21" ht="14.4">
      <c r="A191" s="16" t="s">
        <v>1114</v>
      </c>
      <c r="B191" s="16" t="s">
        <v>764</v>
      </c>
      <c r="C191" s="16" t="s">
        <v>775</v>
      </c>
      <c r="D191" s="17" t="s">
        <v>94</v>
      </c>
      <c r="E191" s="17" t="s">
        <v>81</v>
      </c>
      <c r="F191" s="17">
        <v>4</v>
      </c>
      <c r="G191" s="17" t="s">
        <v>165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spans="1:21" ht="14.4">
      <c r="A192" s="16" t="s">
        <v>1117</v>
      </c>
      <c r="B192" s="16" t="s">
        <v>764</v>
      </c>
      <c r="C192" s="16" t="s">
        <v>768</v>
      </c>
      <c r="D192" s="17" t="s">
        <v>132</v>
      </c>
      <c r="E192" s="17" t="s">
        <v>61</v>
      </c>
      <c r="F192" s="17">
        <v>4</v>
      </c>
      <c r="G192" s="17" t="s">
        <v>165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spans="1:21" ht="14.4">
      <c r="A193" s="16" t="s">
        <v>1118</v>
      </c>
      <c r="B193" s="16" t="s">
        <v>764</v>
      </c>
      <c r="C193" s="16" t="s">
        <v>768</v>
      </c>
      <c r="D193" s="17" t="s">
        <v>717</v>
      </c>
      <c r="E193" s="17" t="s">
        <v>61</v>
      </c>
      <c r="F193" s="17">
        <v>4</v>
      </c>
      <c r="G193" s="17" t="s">
        <v>165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spans="1:21" ht="14.4">
      <c r="A194" s="16" t="s">
        <v>1122</v>
      </c>
      <c r="B194" s="16" t="s">
        <v>764</v>
      </c>
      <c r="C194" s="16" t="s">
        <v>768</v>
      </c>
      <c r="D194" s="17" t="s">
        <v>94</v>
      </c>
      <c r="E194" s="17" t="s">
        <v>61</v>
      </c>
      <c r="F194" s="17">
        <v>4</v>
      </c>
      <c r="G194" s="17" t="s">
        <v>165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spans="1:21" ht="14.4">
      <c r="A195" s="16" t="s">
        <v>1125</v>
      </c>
      <c r="B195" s="16" t="s">
        <v>764</v>
      </c>
      <c r="C195" s="16" t="s">
        <v>769</v>
      </c>
      <c r="D195" s="17" t="s">
        <v>132</v>
      </c>
      <c r="E195" s="17" t="s">
        <v>81</v>
      </c>
      <c r="F195" s="17">
        <v>4</v>
      </c>
      <c r="G195" s="17" t="s">
        <v>165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spans="1:21" ht="14.4">
      <c r="A196" s="16" t="s">
        <v>1127</v>
      </c>
      <c r="B196" s="16" t="s">
        <v>764</v>
      </c>
      <c r="C196" s="16" t="s">
        <v>769</v>
      </c>
      <c r="D196" s="17" t="s">
        <v>717</v>
      </c>
      <c r="E196" s="17" t="s">
        <v>81</v>
      </c>
      <c r="F196" s="17">
        <v>4</v>
      </c>
      <c r="G196" s="17" t="s">
        <v>165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spans="1:21" ht="14.4">
      <c r="A197" s="16" t="s">
        <v>1130</v>
      </c>
      <c r="B197" s="16" t="s">
        <v>764</v>
      </c>
      <c r="C197" s="16" t="s">
        <v>769</v>
      </c>
      <c r="D197" s="17" t="s">
        <v>94</v>
      </c>
      <c r="E197" s="17" t="s">
        <v>81</v>
      </c>
      <c r="F197" s="17">
        <v>4</v>
      </c>
      <c r="G197" s="17" t="s">
        <v>165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spans="1:21" ht="14.4">
      <c r="A198" s="16" t="s">
        <v>1131</v>
      </c>
      <c r="B198" s="16" t="s">
        <v>593</v>
      </c>
      <c r="C198" s="16" t="s">
        <v>772</v>
      </c>
      <c r="D198" s="17" t="s">
        <v>132</v>
      </c>
      <c r="E198" s="17" t="s">
        <v>61</v>
      </c>
      <c r="F198" s="17">
        <v>4</v>
      </c>
      <c r="G198" s="17" t="s">
        <v>165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spans="1:21" ht="14.4">
      <c r="A199" s="16" t="s">
        <v>1132</v>
      </c>
      <c r="B199" s="16" t="s">
        <v>593</v>
      </c>
      <c r="C199" s="16" t="s">
        <v>772</v>
      </c>
      <c r="D199" s="17" t="s">
        <v>717</v>
      </c>
      <c r="E199" s="17" t="s">
        <v>61</v>
      </c>
      <c r="F199" s="17">
        <v>4</v>
      </c>
      <c r="G199" s="17" t="s">
        <v>165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spans="1:21" ht="14.4">
      <c r="A200" s="16" t="s">
        <v>1133</v>
      </c>
      <c r="B200" s="16" t="s">
        <v>593</v>
      </c>
      <c r="C200" s="16" t="s">
        <v>772</v>
      </c>
      <c r="D200" s="17" t="s">
        <v>94</v>
      </c>
      <c r="E200" s="17" t="s">
        <v>61</v>
      </c>
      <c r="F200" s="17">
        <v>4</v>
      </c>
      <c r="G200" s="17" t="s">
        <v>165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spans="1:21" ht="14.4">
      <c r="A201" s="16" t="s">
        <v>1134</v>
      </c>
      <c r="B201" s="16" t="s">
        <v>593</v>
      </c>
      <c r="C201" s="16" t="s">
        <v>773</v>
      </c>
      <c r="D201" s="17" t="s">
        <v>717</v>
      </c>
      <c r="E201" s="17" t="s">
        <v>81</v>
      </c>
      <c r="F201" s="17">
        <v>4</v>
      </c>
      <c r="G201" s="17" t="s">
        <v>165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spans="1:21" ht="14.4">
      <c r="A202" s="16" t="s">
        <v>1135</v>
      </c>
      <c r="B202" s="16" t="s">
        <v>593</v>
      </c>
      <c r="C202" s="16" t="s">
        <v>773</v>
      </c>
      <c r="D202" s="17" t="s">
        <v>132</v>
      </c>
      <c r="E202" s="17" t="s">
        <v>81</v>
      </c>
      <c r="F202" s="17">
        <v>4</v>
      </c>
      <c r="G202" s="17" t="s">
        <v>165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spans="1:21" ht="14.4">
      <c r="A203" s="16" t="s">
        <v>1136</v>
      </c>
      <c r="B203" s="16" t="s">
        <v>593</v>
      </c>
      <c r="C203" s="16" t="s">
        <v>773</v>
      </c>
      <c r="D203" s="17" t="s">
        <v>94</v>
      </c>
      <c r="E203" s="17" t="s">
        <v>81</v>
      </c>
      <c r="F203" s="17">
        <v>4</v>
      </c>
      <c r="G203" s="17" t="s">
        <v>165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spans="1:21" ht="14.4">
      <c r="A204" s="16" t="s">
        <v>1137</v>
      </c>
      <c r="B204" s="16" t="s">
        <v>593</v>
      </c>
      <c r="C204" s="16" t="s">
        <v>772</v>
      </c>
      <c r="D204" s="17" t="s">
        <v>59</v>
      </c>
      <c r="E204" s="17" t="s">
        <v>61</v>
      </c>
      <c r="F204" s="17">
        <v>4</v>
      </c>
      <c r="G204" s="17" t="s">
        <v>165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spans="1:21" ht="14.4">
      <c r="A205" s="16" t="s">
        <v>1138</v>
      </c>
      <c r="B205" s="16" t="s">
        <v>593</v>
      </c>
      <c r="C205" s="16" t="s">
        <v>773</v>
      </c>
      <c r="D205" s="17" t="s">
        <v>59</v>
      </c>
      <c r="E205" s="17" t="s">
        <v>81</v>
      </c>
      <c r="F205" s="17">
        <v>4</v>
      </c>
      <c r="G205" s="17" t="s">
        <v>165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 spans="1:21" ht="14.4">
      <c r="A206" s="16" t="s">
        <v>1139</v>
      </c>
      <c r="B206" s="16" t="s">
        <v>593</v>
      </c>
      <c r="C206" s="16" t="s">
        <v>774</v>
      </c>
      <c r="D206" s="17" t="s">
        <v>59</v>
      </c>
      <c r="E206" s="17" t="s">
        <v>61</v>
      </c>
      <c r="F206" s="17">
        <v>4</v>
      </c>
      <c r="G206" s="17" t="s">
        <v>165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 spans="1:21" ht="14.4">
      <c r="A207" s="16" t="s">
        <v>1140</v>
      </c>
      <c r="B207" s="16" t="s">
        <v>593</v>
      </c>
      <c r="C207" s="16" t="s">
        <v>765</v>
      </c>
      <c r="D207" s="17" t="s">
        <v>59</v>
      </c>
      <c r="E207" s="17" t="s">
        <v>61</v>
      </c>
      <c r="F207" s="17">
        <v>4</v>
      </c>
      <c r="G207" s="17" t="s">
        <v>165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 spans="1:21" ht="14.4">
      <c r="A208" s="16" t="s">
        <v>1141</v>
      </c>
      <c r="B208" s="16" t="s">
        <v>593</v>
      </c>
      <c r="C208" s="16" t="s">
        <v>767</v>
      </c>
      <c r="D208" s="17" t="s">
        <v>59</v>
      </c>
      <c r="E208" s="17" t="s">
        <v>81</v>
      </c>
      <c r="F208" s="17">
        <v>4</v>
      </c>
      <c r="G208" s="17" t="s">
        <v>165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 spans="1:21" ht="14.4">
      <c r="A209" s="16" t="s">
        <v>1142</v>
      </c>
      <c r="B209" s="16" t="s">
        <v>593</v>
      </c>
      <c r="C209" s="16" t="s">
        <v>775</v>
      </c>
      <c r="D209" s="17" t="s">
        <v>59</v>
      </c>
      <c r="E209" s="17" t="s">
        <v>81</v>
      </c>
      <c r="F209" s="17">
        <v>4</v>
      </c>
      <c r="G209" s="17" t="s">
        <v>165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 spans="1:21" ht="14.4">
      <c r="A210" s="16" t="s">
        <v>1143</v>
      </c>
      <c r="B210" s="16" t="s">
        <v>593</v>
      </c>
      <c r="C210" s="16" t="s">
        <v>768</v>
      </c>
      <c r="D210" s="17" t="s">
        <v>59</v>
      </c>
      <c r="E210" s="17" t="s">
        <v>61</v>
      </c>
      <c r="F210" s="17">
        <v>4</v>
      </c>
      <c r="G210" s="17" t="s">
        <v>165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 spans="1:21" ht="14.4">
      <c r="A211" s="16" t="s">
        <v>1144</v>
      </c>
      <c r="B211" s="16" t="s">
        <v>593</v>
      </c>
      <c r="C211" s="16" t="s">
        <v>769</v>
      </c>
      <c r="D211" s="17" t="s">
        <v>59</v>
      </c>
      <c r="E211" s="17" t="s">
        <v>81</v>
      </c>
      <c r="F211" s="17">
        <v>4</v>
      </c>
      <c r="G211" s="17" t="s">
        <v>165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 spans="1:21" ht="14.4">
      <c r="A212" s="16" t="s">
        <v>1145</v>
      </c>
      <c r="B212" s="16" t="s">
        <v>593</v>
      </c>
      <c r="C212" s="16" t="s">
        <v>772</v>
      </c>
      <c r="D212" s="17" t="s">
        <v>239</v>
      </c>
      <c r="E212" s="17" t="s">
        <v>61</v>
      </c>
      <c r="F212" s="17">
        <v>4</v>
      </c>
      <c r="G212" s="17" t="s">
        <v>165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 spans="1:21" ht="14.4">
      <c r="A213" s="16" t="s">
        <v>1146</v>
      </c>
      <c r="B213" s="16" t="s">
        <v>593</v>
      </c>
      <c r="C213" s="16" t="s">
        <v>773</v>
      </c>
      <c r="D213" s="17" t="s">
        <v>239</v>
      </c>
      <c r="E213" s="17" t="s">
        <v>81</v>
      </c>
      <c r="F213" s="17">
        <v>4</v>
      </c>
      <c r="G213" s="17" t="s">
        <v>165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 spans="1:21" ht="14.4">
      <c r="A214" s="16" t="s">
        <v>1147</v>
      </c>
      <c r="B214" s="16" t="s">
        <v>764</v>
      </c>
      <c r="C214" s="16" t="s">
        <v>774</v>
      </c>
      <c r="D214" s="17" t="s">
        <v>239</v>
      </c>
      <c r="E214" s="17" t="s">
        <v>61</v>
      </c>
      <c r="F214" s="17">
        <v>4</v>
      </c>
      <c r="G214" s="17" t="s">
        <v>165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 spans="1:21" ht="14.4">
      <c r="A215" s="16" t="s">
        <v>1148</v>
      </c>
      <c r="B215" s="16" t="s">
        <v>764</v>
      </c>
      <c r="C215" s="16" t="s">
        <v>765</v>
      </c>
      <c r="D215" s="17" t="s">
        <v>239</v>
      </c>
      <c r="E215" s="17" t="s">
        <v>61</v>
      </c>
      <c r="F215" s="17">
        <v>4</v>
      </c>
      <c r="G215" s="17" t="s">
        <v>165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 spans="1:21" ht="14.4">
      <c r="A216" s="16" t="s">
        <v>1149</v>
      </c>
      <c r="B216" s="16" t="s">
        <v>764</v>
      </c>
      <c r="C216" s="16" t="s">
        <v>767</v>
      </c>
      <c r="D216" s="17" t="s">
        <v>239</v>
      </c>
      <c r="E216" s="17" t="s">
        <v>81</v>
      </c>
      <c r="F216" s="17">
        <v>4</v>
      </c>
      <c r="G216" s="17" t="s">
        <v>165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 spans="1:21" ht="14.4">
      <c r="A217" s="16" t="s">
        <v>1150</v>
      </c>
      <c r="B217" s="16" t="s">
        <v>764</v>
      </c>
      <c r="C217" s="16" t="s">
        <v>775</v>
      </c>
      <c r="D217" s="17" t="s">
        <v>239</v>
      </c>
      <c r="E217" s="17" t="s">
        <v>81</v>
      </c>
      <c r="F217" s="17">
        <v>4</v>
      </c>
      <c r="G217" s="17" t="s">
        <v>165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 spans="1:21" ht="14.4">
      <c r="A218" s="16" t="s">
        <v>1151</v>
      </c>
      <c r="B218" s="16" t="s">
        <v>764</v>
      </c>
      <c r="C218" s="16" t="s">
        <v>768</v>
      </c>
      <c r="D218" s="17" t="s">
        <v>239</v>
      </c>
      <c r="E218" s="17" t="s">
        <v>61</v>
      </c>
      <c r="F218" s="17">
        <v>4</v>
      </c>
      <c r="G218" s="17" t="s">
        <v>165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 spans="1:21" ht="14.4">
      <c r="A219" s="16" t="s">
        <v>1152</v>
      </c>
      <c r="B219" s="16" t="s">
        <v>764</v>
      </c>
      <c r="C219" s="16" t="s">
        <v>769</v>
      </c>
      <c r="D219" s="17" t="s">
        <v>239</v>
      </c>
      <c r="E219" s="17" t="s">
        <v>81</v>
      </c>
      <c r="F219" s="17">
        <v>4</v>
      </c>
      <c r="G219" s="17" t="s">
        <v>165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 spans="1:21" ht="14.4">
      <c r="A220" s="16" t="s">
        <v>1153</v>
      </c>
      <c r="B220" s="16" t="s">
        <v>593</v>
      </c>
      <c r="C220" s="16" t="s">
        <v>772</v>
      </c>
      <c r="D220" s="17" t="s">
        <v>59</v>
      </c>
      <c r="E220" s="17" t="s">
        <v>61</v>
      </c>
      <c r="F220" s="17">
        <v>4</v>
      </c>
      <c r="G220" s="17" t="s">
        <v>165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 spans="1:21" ht="14.4">
      <c r="A221" s="16" t="s">
        <v>1154</v>
      </c>
      <c r="B221" s="16" t="s">
        <v>764</v>
      </c>
      <c r="C221" s="16" t="s">
        <v>774</v>
      </c>
      <c r="D221" s="17" t="s">
        <v>766</v>
      </c>
      <c r="E221" s="17" t="s">
        <v>61</v>
      </c>
      <c r="F221" s="17">
        <v>4</v>
      </c>
      <c r="G221" s="17" t="s">
        <v>165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spans="1:21" ht="14.4">
      <c r="A222" s="16" t="s">
        <v>1155</v>
      </c>
      <c r="B222" s="16" t="s">
        <v>764</v>
      </c>
      <c r="C222" s="16" t="s">
        <v>774</v>
      </c>
      <c r="D222" s="17" t="s">
        <v>132</v>
      </c>
      <c r="E222" s="17" t="s">
        <v>61</v>
      </c>
      <c r="F222" s="17">
        <v>4</v>
      </c>
      <c r="G222" s="17" t="s">
        <v>165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spans="1:21" ht="14.4">
      <c r="A223" s="16" t="s">
        <v>1156</v>
      </c>
      <c r="B223" s="16" t="s">
        <v>764</v>
      </c>
      <c r="C223" s="16" t="s">
        <v>774</v>
      </c>
      <c r="D223" s="17" t="s">
        <v>717</v>
      </c>
      <c r="E223" s="17" t="s">
        <v>61</v>
      </c>
      <c r="F223" s="17">
        <v>4</v>
      </c>
      <c r="G223" s="17" t="s">
        <v>165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spans="1:21" ht="14.4">
      <c r="A224" s="16" t="s">
        <v>1157</v>
      </c>
      <c r="B224" s="16" t="s">
        <v>764</v>
      </c>
      <c r="C224" s="16" t="s">
        <v>774</v>
      </c>
      <c r="D224" s="17" t="s">
        <v>94</v>
      </c>
      <c r="E224" s="17" t="s">
        <v>61</v>
      </c>
      <c r="F224" s="17">
        <v>4</v>
      </c>
      <c r="G224" s="17" t="s">
        <v>165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spans="1:21" ht="14.4">
      <c r="A225" s="16" t="s">
        <v>1158</v>
      </c>
      <c r="B225" s="16" t="s">
        <v>764</v>
      </c>
      <c r="C225" s="16" t="s">
        <v>774</v>
      </c>
      <c r="D225" s="17" t="s">
        <v>124</v>
      </c>
      <c r="E225" s="17" t="s">
        <v>61</v>
      </c>
      <c r="F225" s="17">
        <v>4</v>
      </c>
      <c r="G225" s="17" t="s">
        <v>165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spans="1:21" ht="14.4">
      <c r="A226" s="16" t="s">
        <v>1159</v>
      </c>
      <c r="B226" s="16" t="s">
        <v>764</v>
      </c>
      <c r="C226" s="16" t="s">
        <v>774</v>
      </c>
      <c r="D226" s="17" t="s">
        <v>1160</v>
      </c>
      <c r="E226" s="17" t="s">
        <v>61</v>
      </c>
      <c r="F226" s="17">
        <v>4</v>
      </c>
      <c r="G226" s="17" t="s">
        <v>165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spans="1:21" ht="14.4">
      <c r="A227" s="16" t="s">
        <v>801</v>
      </c>
      <c r="B227" s="16" t="s">
        <v>593</v>
      </c>
      <c r="C227" s="16" t="s">
        <v>726</v>
      </c>
      <c r="D227" s="17" t="s">
        <v>94</v>
      </c>
      <c r="E227" s="17" t="s">
        <v>61</v>
      </c>
      <c r="F227" s="17">
        <v>4</v>
      </c>
      <c r="G227" s="17" t="s">
        <v>63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spans="1:21" ht="14.4">
      <c r="A228" s="16" t="s">
        <v>1161</v>
      </c>
      <c r="B228" s="16" t="s">
        <v>529</v>
      </c>
      <c r="C228" s="16" t="s">
        <v>729</v>
      </c>
      <c r="D228" s="16" t="s">
        <v>537</v>
      </c>
      <c r="E228" s="17" t="s">
        <v>61</v>
      </c>
      <c r="F228" s="17">
        <v>7</v>
      </c>
      <c r="G228" s="17" t="s">
        <v>165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spans="1:21" ht="14.4">
      <c r="A229" s="16" t="s">
        <v>980</v>
      </c>
      <c r="B229" s="16" t="s">
        <v>600</v>
      </c>
      <c r="C229" s="16" t="s">
        <v>979</v>
      </c>
      <c r="D229" s="17" t="s">
        <v>978</v>
      </c>
      <c r="E229" s="17" t="s">
        <v>61</v>
      </c>
      <c r="F229" s="17">
        <v>5</v>
      </c>
      <c r="G229" s="17" t="s">
        <v>63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spans="1:21" ht="14.4">
      <c r="A230" s="16" t="s">
        <v>1002</v>
      </c>
      <c r="B230" s="16" t="s">
        <v>1003</v>
      </c>
      <c r="C230" s="16" t="s">
        <v>1004</v>
      </c>
      <c r="D230" s="16" t="s">
        <v>239</v>
      </c>
      <c r="E230" s="17" t="s">
        <v>81</v>
      </c>
      <c r="F230" s="17">
        <v>5</v>
      </c>
      <c r="G230" s="17" t="s">
        <v>63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spans="1:21" ht="14.4">
      <c r="A231" s="16" t="s">
        <v>1005</v>
      </c>
      <c r="B231" s="16" t="s">
        <v>1003</v>
      </c>
      <c r="C231" s="16" t="s">
        <v>1004</v>
      </c>
      <c r="D231" s="16" t="s">
        <v>132</v>
      </c>
      <c r="E231" s="17" t="s">
        <v>81</v>
      </c>
      <c r="F231" s="17">
        <v>5</v>
      </c>
      <c r="G231" s="17" t="s">
        <v>63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spans="1:21" ht="14.4">
      <c r="A232" s="16" t="s">
        <v>1006</v>
      </c>
      <c r="B232" s="16" t="s">
        <v>1003</v>
      </c>
      <c r="C232" s="16" t="s">
        <v>1004</v>
      </c>
      <c r="D232" s="16" t="s">
        <v>137</v>
      </c>
      <c r="E232" s="17" t="s">
        <v>81</v>
      </c>
      <c r="F232" s="17">
        <v>5</v>
      </c>
      <c r="G232" s="17" t="s">
        <v>63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spans="1:21" ht="14.4">
      <c r="A233" s="16" t="s">
        <v>1007</v>
      </c>
      <c r="B233" s="16" t="s">
        <v>1003</v>
      </c>
      <c r="C233" s="16" t="s">
        <v>1004</v>
      </c>
      <c r="D233" s="16" t="s">
        <v>80</v>
      </c>
      <c r="E233" s="17" t="s">
        <v>81</v>
      </c>
      <c r="F233" s="17">
        <v>5</v>
      </c>
      <c r="G233" s="17" t="s">
        <v>63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spans="1:21" ht="14.4">
      <c r="A234" s="16" t="s">
        <v>1008</v>
      </c>
      <c r="B234" s="16" t="s">
        <v>1003</v>
      </c>
      <c r="C234" s="16" t="s">
        <v>1004</v>
      </c>
      <c r="D234" s="16" t="s">
        <v>94</v>
      </c>
      <c r="E234" s="17" t="s">
        <v>81</v>
      </c>
      <c r="F234" s="17">
        <v>5</v>
      </c>
      <c r="G234" s="17" t="s">
        <v>63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spans="1:21" ht="14.4">
      <c r="A235" s="16" t="s">
        <v>1009</v>
      </c>
      <c r="B235" s="16" t="s">
        <v>1003</v>
      </c>
      <c r="C235" s="16" t="s">
        <v>1004</v>
      </c>
      <c r="D235" s="16" t="s">
        <v>59</v>
      </c>
      <c r="E235" s="17" t="s">
        <v>81</v>
      </c>
      <c r="F235" s="17">
        <v>5</v>
      </c>
      <c r="G235" s="17" t="s">
        <v>63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spans="1:21" ht="14.4">
      <c r="A236" s="16" t="s">
        <v>1010</v>
      </c>
      <c r="B236" s="16" t="s">
        <v>1003</v>
      </c>
      <c r="C236" s="16" t="s">
        <v>1011</v>
      </c>
      <c r="D236" s="16" t="s">
        <v>239</v>
      </c>
      <c r="E236" s="17" t="s">
        <v>81</v>
      </c>
      <c r="F236" s="17">
        <v>5</v>
      </c>
      <c r="G236" s="17" t="s">
        <v>63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spans="1:21" ht="14.4">
      <c r="A237" s="16" t="s">
        <v>1013</v>
      </c>
      <c r="B237" s="16" t="s">
        <v>1003</v>
      </c>
      <c r="C237" s="16" t="s">
        <v>1011</v>
      </c>
      <c r="D237" s="16" t="s">
        <v>132</v>
      </c>
      <c r="E237" s="17" t="s">
        <v>81</v>
      </c>
      <c r="F237" s="17">
        <v>5</v>
      </c>
      <c r="G237" s="17" t="s">
        <v>63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spans="1:21" ht="14.4">
      <c r="A238" s="16" t="s">
        <v>1014</v>
      </c>
      <c r="B238" s="16" t="s">
        <v>1003</v>
      </c>
      <c r="C238" s="16" t="s">
        <v>1011</v>
      </c>
      <c r="D238" s="16" t="s">
        <v>137</v>
      </c>
      <c r="E238" s="17" t="s">
        <v>81</v>
      </c>
      <c r="F238" s="17">
        <v>5</v>
      </c>
      <c r="G238" s="17" t="s">
        <v>63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spans="1:21" ht="14.4">
      <c r="A239" s="16" t="s">
        <v>1015</v>
      </c>
      <c r="B239" s="16" t="s">
        <v>1003</v>
      </c>
      <c r="C239" s="16" t="s">
        <v>1011</v>
      </c>
      <c r="D239" s="16" t="s">
        <v>80</v>
      </c>
      <c r="E239" s="17" t="s">
        <v>81</v>
      </c>
      <c r="F239" s="17">
        <v>5</v>
      </c>
      <c r="G239" s="17" t="s">
        <v>63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spans="1:21" ht="14.4">
      <c r="A240" s="16" t="s">
        <v>1016</v>
      </c>
      <c r="B240" s="16" t="s">
        <v>1003</v>
      </c>
      <c r="C240" s="16" t="s">
        <v>1011</v>
      </c>
      <c r="D240" s="16" t="s">
        <v>94</v>
      </c>
      <c r="E240" s="17" t="s">
        <v>81</v>
      </c>
      <c r="F240" s="17">
        <v>5</v>
      </c>
      <c r="G240" s="17" t="s">
        <v>63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spans="1:21" ht="14.4">
      <c r="A241" s="16" t="s">
        <v>1017</v>
      </c>
      <c r="B241" s="16" t="s">
        <v>1003</v>
      </c>
      <c r="C241" s="16" t="s">
        <v>1011</v>
      </c>
      <c r="D241" s="16" t="s">
        <v>59</v>
      </c>
      <c r="E241" s="17" t="s">
        <v>81</v>
      </c>
      <c r="F241" s="17">
        <v>5</v>
      </c>
      <c r="G241" s="17" t="s">
        <v>63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spans="1:21" ht="14.4">
      <c r="A242" s="16" t="s">
        <v>994</v>
      </c>
      <c r="B242" s="16" t="s">
        <v>600</v>
      </c>
      <c r="C242" s="16" t="s">
        <v>993</v>
      </c>
      <c r="D242" s="17" t="s">
        <v>968</v>
      </c>
      <c r="E242" s="17" t="s">
        <v>1074</v>
      </c>
      <c r="F242" s="17">
        <v>5</v>
      </c>
      <c r="G242" s="17" t="s">
        <v>63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spans="1:21" ht="14.4">
      <c r="A243" s="16" t="s">
        <v>818</v>
      </c>
      <c r="B243" s="16" t="s">
        <v>77</v>
      </c>
      <c r="C243" s="16" t="s">
        <v>580</v>
      </c>
      <c r="D243" s="17" t="s">
        <v>59</v>
      </c>
      <c r="E243" s="17" t="s">
        <v>81</v>
      </c>
      <c r="F243" s="17">
        <v>5</v>
      </c>
      <c r="G243" s="17" t="s">
        <v>63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</sheetData>
  <autoFilter ref="A1:G24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/>
  </sheetViews>
  <sheetFormatPr defaultColWidth="12.6640625" defaultRowHeight="15.75" customHeight="1"/>
  <cols>
    <col min="1" max="1" width="20.33203125" customWidth="1"/>
    <col min="2" max="2" width="10.109375" customWidth="1"/>
    <col min="3" max="3" width="43.77734375" customWidth="1"/>
    <col min="4" max="4" width="14.6640625" customWidth="1"/>
    <col min="5" max="5" width="6.6640625" customWidth="1"/>
    <col min="6" max="6" width="11.6640625" customWidth="1"/>
  </cols>
  <sheetData>
    <row r="1" spans="1:25" ht="15.75" customHeight="1">
      <c r="A1" s="5" t="s">
        <v>0</v>
      </c>
      <c r="B1" s="8" t="s">
        <v>2</v>
      </c>
      <c r="C1" s="5" t="s">
        <v>3</v>
      </c>
      <c r="D1" s="5" t="s">
        <v>19</v>
      </c>
      <c r="E1" s="5" t="s">
        <v>9</v>
      </c>
      <c r="F1" s="12" t="s">
        <v>27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.75" customHeight="1">
      <c r="A2" s="16" t="s">
        <v>52</v>
      </c>
      <c r="B2" s="16" t="s">
        <v>58</v>
      </c>
      <c r="C2" s="16" t="s">
        <v>60</v>
      </c>
      <c r="D2" s="16" t="s">
        <v>62</v>
      </c>
      <c r="E2" s="16">
        <v>5</v>
      </c>
      <c r="F2" s="17" t="s">
        <v>63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.75" customHeight="1">
      <c r="A3" s="16" t="s">
        <v>73</v>
      </c>
      <c r="B3" s="16" t="s">
        <v>74</v>
      </c>
      <c r="C3" s="16" t="s">
        <v>76</v>
      </c>
      <c r="D3" s="16" t="s">
        <v>78</v>
      </c>
      <c r="E3" s="16">
        <v>3</v>
      </c>
      <c r="F3" s="17" t="s">
        <v>63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5.75" customHeight="1">
      <c r="A4" s="16" t="s">
        <v>86</v>
      </c>
      <c r="B4" s="16" t="s">
        <v>74</v>
      </c>
      <c r="C4" s="16" t="s">
        <v>76</v>
      </c>
      <c r="D4" s="16" t="s">
        <v>87</v>
      </c>
      <c r="E4" s="16">
        <v>3</v>
      </c>
      <c r="F4" s="17" t="s">
        <v>63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5.75" customHeight="1">
      <c r="A5" s="16" t="s">
        <v>91</v>
      </c>
      <c r="B5" s="16" t="s">
        <v>58</v>
      </c>
      <c r="C5" s="16" t="s">
        <v>93</v>
      </c>
      <c r="D5" s="16" t="s">
        <v>62</v>
      </c>
      <c r="E5" s="16">
        <v>5</v>
      </c>
      <c r="F5" s="17" t="s">
        <v>63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5.75" customHeight="1">
      <c r="A6" s="16" t="s">
        <v>97</v>
      </c>
      <c r="B6" s="16" t="s">
        <v>58</v>
      </c>
      <c r="C6" s="16" t="s">
        <v>98</v>
      </c>
      <c r="D6" s="16" t="s">
        <v>62</v>
      </c>
      <c r="E6" s="16">
        <v>5</v>
      </c>
      <c r="F6" s="17" t="s">
        <v>63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75" customHeight="1">
      <c r="A7" s="16" t="s">
        <v>100</v>
      </c>
      <c r="B7" s="16" t="s">
        <v>101</v>
      </c>
      <c r="C7" s="16" t="s">
        <v>102</v>
      </c>
      <c r="D7" s="16" t="s">
        <v>103</v>
      </c>
      <c r="E7" s="16">
        <v>2</v>
      </c>
      <c r="F7" s="17" t="s">
        <v>63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5.75" customHeight="1">
      <c r="A8" s="16" t="s">
        <v>106</v>
      </c>
      <c r="B8" s="16" t="s">
        <v>58</v>
      </c>
      <c r="C8" s="16" t="s">
        <v>107</v>
      </c>
      <c r="D8" s="16" t="s">
        <v>108</v>
      </c>
      <c r="E8" s="16">
        <v>5</v>
      </c>
      <c r="F8" s="17" t="s">
        <v>63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75" customHeight="1">
      <c r="A9" s="16" t="s">
        <v>111</v>
      </c>
      <c r="B9" s="16" t="s">
        <v>58</v>
      </c>
      <c r="C9" s="16" t="s">
        <v>112</v>
      </c>
      <c r="D9" s="16" t="s">
        <v>62</v>
      </c>
      <c r="E9" s="16">
        <v>2</v>
      </c>
      <c r="F9" s="17" t="s">
        <v>63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75" customHeight="1">
      <c r="A10" s="16" t="s">
        <v>113</v>
      </c>
      <c r="B10" s="16" t="s">
        <v>58</v>
      </c>
      <c r="C10" s="16" t="s">
        <v>114</v>
      </c>
      <c r="D10" s="16" t="s">
        <v>62</v>
      </c>
      <c r="E10" s="16">
        <v>2</v>
      </c>
      <c r="F10" s="17" t="s">
        <v>63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75" customHeight="1">
      <c r="A11" s="16" t="s">
        <v>116</v>
      </c>
      <c r="B11" s="16" t="s">
        <v>58</v>
      </c>
      <c r="C11" s="16" t="s">
        <v>117</v>
      </c>
      <c r="D11" s="16" t="s">
        <v>62</v>
      </c>
      <c r="E11" s="16">
        <v>2</v>
      </c>
      <c r="F11" s="17" t="s">
        <v>63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75" customHeight="1">
      <c r="A12" s="16" t="s">
        <v>118</v>
      </c>
      <c r="B12" s="16" t="s">
        <v>58</v>
      </c>
      <c r="C12" s="16" t="s">
        <v>119</v>
      </c>
      <c r="D12" s="16" t="s">
        <v>62</v>
      </c>
      <c r="E12" s="16">
        <v>2</v>
      </c>
      <c r="F12" s="17" t="s">
        <v>63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75" customHeight="1">
      <c r="A13" s="16" t="s">
        <v>121</v>
      </c>
      <c r="B13" s="16" t="s">
        <v>58</v>
      </c>
      <c r="C13" s="16" t="s">
        <v>122</v>
      </c>
      <c r="D13" s="16" t="s">
        <v>62</v>
      </c>
      <c r="E13" s="16">
        <v>2</v>
      </c>
      <c r="F13" s="17" t="s">
        <v>63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75" customHeight="1">
      <c r="A14" s="16" t="s">
        <v>125</v>
      </c>
      <c r="B14" s="16" t="s">
        <v>58</v>
      </c>
      <c r="C14" s="16" t="s">
        <v>126</v>
      </c>
      <c r="D14" s="16" t="s">
        <v>62</v>
      </c>
      <c r="E14" s="16">
        <v>2</v>
      </c>
      <c r="F14" s="17" t="s">
        <v>63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75" customHeight="1">
      <c r="A15" s="16" t="s">
        <v>129</v>
      </c>
      <c r="B15" s="16" t="s">
        <v>58</v>
      </c>
      <c r="C15" s="16" t="s">
        <v>131</v>
      </c>
      <c r="D15" s="16" t="s">
        <v>62</v>
      </c>
      <c r="E15" s="16">
        <v>2</v>
      </c>
      <c r="F15" s="17" t="s">
        <v>63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75" customHeight="1">
      <c r="A16" s="16" t="s">
        <v>136</v>
      </c>
      <c r="B16" s="16" t="s">
        <v>58</v>
      </c>
      <c r="C16" s="16" t="s">
        <v>138</v>
      </c>
      <c r="D16" s="16" t="s">
        <v>139</v>
      </c>
      <c r="E16" s="16">
        <v>5</v>
      </c>
      <c r="F16" s="17" t="s">
        <v>63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75" customHeight="1">
      <c r="A17" s="16" t="s">
        <v>140</v>
      </c>
      <c r="B17" s="16" t="s">
        <v>58</v>
      </c>
      <c r="C17" s="16" t="s">
        <v>138</v>
      </c>
      <c r="D17" s="16" t="s">
        <v>62</v>
      </c>
      <c r="E17" s="16">
        <v>5</v>
      </c>
      <c r="F17" s="17" t="s">
        <v>63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75" customHeight="1">
      <c r="A18" s="16" t="s">
        <v>142</v>
      </c>
      <c r="B18" s="16" t="s">
        <v>58</v>
      </c>
      <c r="C18" s="16" t="s">
        <v>98</v>
      </c>
      <c r="D18" s="16" t="s">
        <v>144</v>
      </c>
      <c r="E18" s="16">
        <v>5</v>
      </c>
      <c r="F18" s="17" t="s">
        <v>63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75" customHeight="1">
      <c r="A19" s="16" t="s">
        <v>146</v>
      </c>
      <c r="B19" s="16" t="s">
        <v>58</v>
      </c>
      <c r="C19" s="16" t="s">
        <v>147</v>
      </c>
      <c r="D19" s="16" t="s">
        <v>62</v>
      </c>
      <c r="E19" s="16">
        <v>5</v>
      </c>
      <c r="F19" s="17" t="s">
        <v>63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75" customHeight="1">
      <c r="A20" s="16" t="s">
        <v>148</v>
      </c>
      <c r="B20" s="16" t="s">
        <v>58</v>
      </c>
      <c r="C20" s="16" t="s">
        <v>149</v>
      </c>
      <c r="D20" s="16" t="s">
        <v>62</v>
      </c>
      <c r="E20" s="16">
        <v>5</v>
      </c>
      <c r="F20" s="17" t="s">
        <v>63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75" customHeight="1">
      <c r="A21" s="16" t="s">
        <v>151</v>
      </c>
      <c r="B21" s="16" t="s">
        <v>58</v>
      </c>
      <c r="C21" s="16" t="s">
        <v>152</v>
      </c>
      <c r="D21" s="16" t="s">
        <v>62</v>
      </c>
      <c r="E21" s="16">
        <v>5</v>
      </c>
      <c r="F21" s="17" t="s">
        <v>63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75" customHeight="1">
      <c r="A22" s="16" t="s">
        <v>153</v>
      </c>
      <c r="B22" s="16" t="s">
        <v>58</v>
      </c>
      <c r="C22" s="16" t="s">
        <v>152</v>
      </c>
      <c r="D22" s="16" t="s">
        <v>139</v>
      </c>
      <c r="E22" s="16">
        <v>5</v>
      </c>
      <c r="F22" s="17" t="s">
        <v>63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75" customHeight="1">
      <c r="A23" s="16" t="s">
        <v>155</v>
      </c>
      <c r="B23" s="16" t="s">
        <v>58</v>
      </c>
      <c r="C23" s="16" t="s">
        <v>157</v>
      </c>
      <c r="D23" s="16" t="s">
        <v>62</v>
      </c>
      <c r="E23" s="16">
        <v>5</v>
      </c>
      <c r="F23" s="17" t="s">
        <v>63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75" customHeight="1">
      <c r="A24" s="16" t="s">
        <v>158</v>
      </c>
      <c r="B24" s="16" t="s">
        <v>58</v>
      </c>
      <c r="C24" s="16" t="s">
        <v>147</v>
      </c>
      <c r="D24" s="16" t="s">
        <v>139</v>
      </c>
      <c r="E24" s="16">
        <v>5</v>
      </c>
      <c r="F24" s="17" t="s">
        <v>63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75" customHeight="1">
      <c r="A25" s="16" t="s">
        <v>161</v>
      </c>
      <c r="B25" s="16" t="s">
        <v>162</v>
      </c>
      <c r="C25" s="16" t="s">
        <v>163</v>
      </c>
      <c r="D25" s="16" t="s">
        <v>103</v>
      </c>
      <c r="E25" s="16">
        <v>3</v>
      </c>
      <c r="F25" s="17" t="s">
        <v>63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75" customHeight="1">
      <c r="A26" s="16" t="s">
        <v>166</v>
      </c>
      <c r="B26" s="16" t="s">
        <v>162</v>
      </c>
      <c r="C26" s="16" t="s">
        <v>167</v>
      </c>
      <c r="D26" s="16" t="s">
        <v>103</v>
      </c>
      <c r="E26" s="16">
        <v>3</v>
      </c>
      <c r="F26" s="17" t="s">
        <v>63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75" customHeight="1">
      <c r="A27" s="16" t="s">
        <v>169</v>
      </c>
      <c r="B27" s="16" t="s">
        <v>162</v>
      </c>
      <c r="C27" s="16" t="s">
        <v>170</v>
      </c>
      <c r="D27" s="16" t="s">
        <v>103</v>
      </c>
      <c r="E27" s="16">
        <v>3</v>
      </c>
      <c r="F27" s="17" t="s">
        <v>63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75" customHeight="1">
      <c r="A28" s="16" t="s">
        <v>171</v>
      </c>
      <c r="B28" s="16" t="s">
        <v>58</v>
      </c>
      <c r="C28" s="16" t="s">
        <v>172</v>
      </c>
      <c r="D28" s="16" t="s">
        <v>62</v>
      </c>
      <c r="E28" s="16">
        <v>5</v>
      </c>
      <c r="F28" s="17" t="s">
        <v>63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4.4">
      <c r="A29" s="16" t="s">
        <v>173</v>
      </c>
      <c r="B29" s="16" t="s">
        <v>174</v>
      </c>
      <c r="C29" s="16" t="s">
        <v>175</v>
      </c>
      <c r="D29" s="16" t="s">
        <v>103</v>
      </c>
      <c r="E29" s="16">
        <v>3</v>
      </c>
      <c r="F29" s="17" t="s">
        <v>63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4.4">
      <c r="A30" s="16" t="s">
        <v>176</v>
      </c>
      <c r="B30" s="16" t="s">
        <v>74</v>
      </c>
      <c r="C30" s="16" t="s">
        <v>178</v>
      </c>
      <c r="D30" s="16" t="s">
        <v>87</v>
      </c>
      <c r="E30" s="16">
        <v>3</v>
      </c>
      <c r="F30" s="17" t="s">
        <v>63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4.4">
      <c r="A31" s="16" t="s">
        <v>185</v>
      </c>
      <c r="B31" s="16" t="s">
        <v>74</v>
      </c>
      <c r="C31" s="16" t="s">
        <v>186</v>
      </c>
      <c r="D31" s="16" t="s">
        <v>78</v>
      </c>
      <c r="E31" s="16">
        <v>3</v>
      </c>
      <c r="F31" s="17" t="s">
        <v>63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4.4">
      <c r="A32" s="16" t="s">
        <v>187</v>
      </c>
      <c r="B32" s="16" t="s">
        <v>74</v>
      </c>
      <c r="C32" s="16" t="s">
        <v>186</v>
      </c>
      <c r="D32" s="16" t="s">
        <v>87</v>
      </c>
      <c r="E32" s="16">
        <v>3</v>
      </c>
      <c r="F32" s="17" t="s">
        <v>63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4.4">
      <c r="A33" s="16" t="s">
        <v>188</v>
      </c>
      <c r="B33" s="16" t="s">
        <v>74</v>
      </c>
      <c r="C33" s="16" t="s">
        <v>189</v>
      </c>
      <c r="D33" s="16" t="s">
        <v>78</v>
      </c>
      <c r="E33" s="16">
        <v>3</v>
      </c>
      <c r="F33" s="17" t="s">
        <v>63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4.4">
      <c r="A34" s="16" t="s">
        <v>190</v>
      </c>
      <c r="B34" s="16" t="s">
        <v>74</v>
      </c>
      <c r="C34" s="16" t="s">
        <v>189</v>
      </c>
      <c r="D34" s="16" t="s">
        <v>87</v>
      </c>
      <c r="E34" s="16">
        <v>3</v>
      </c>
      <c r="F34" s="17" t="s">
        <v>63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4.4">
      <c r="A35" s="16" t="s">
        <v>193</v>
      </c>
      <c r="B35" s="16" t="s">
        <v>74</v>
      </c>
      <c r="C35" s="16" t="s">
        <v>195</v>
      </c>
      <c r="D35" s="16" t="s">
        <v>87</v>
      </c>
      <c r="E35" s="16">
        <v>3</v>
      </c>
      <c r="F35" s="17" t="s">
        <v>63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4.4">
      <c r="A36" s="16" t="s">
        <v>197</v>
      </c>
      <c r="B36" s="16" t="s">
        <v>74</v>
      </c>
      <c r="C36" s="16" t="s">
        <v>199</v>
      </c>
      <c r="D36" s="16" t="s">
        <v>87</v>
      </c>
      <c r="E36" s="16">
        <v>3</v>
      </c>
      <c r="F36" s="17" t="s">
        <v>63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4.4">
      <c r="A37" s="16" t="s">
        <v>201</v>
      </c>
      <c r="B37" s="16" t="s">
        <v>74</v>
      </c>
      <c r="C37" s="16" t="s">
        <v>202</v>
      </c>
      <c r="D37" s="16" t="s">
        <v>87</v>
      </c>
      <c r="E37" s="16">
        <v>3</v>
      </c>
      <c r="F37" s="17" t="s">
        <v>63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4.4">
      <c r="A38" s="16" t="s">
        <v>205</v>
      </c>
      <c r="B38" s="16" t="s">
        <v>74</v>
      </c>
      <c r="C38" s="16" t="s">
        <v>206</v>
      </c>
      <c r="D38" s="16" t="s">
        <v>87</v>
      </c>
      <c r="E38" s="16">
        <v>3</v>
      </c>
      <c r="F38" s="17" t="s">
        <v>63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4.4">
      <c r="A39" s="16" t="s">
        <v>210</v>
      </c>
      <c r="B39" s="16" t="s">
        <v>74</v>
      </c>
      <c r="C39" s="16" t="s">
        <v>211</v>
      </c>
      <c r="D39" s="16" t="s">
        <v>87</v>
      </c>
      <c r="E39" s="16">
        <v>3</v>
      </c>
      <c r="F39" s="17" t="s">
        <v>63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4.4">
      <c r="A40" s="16" t="s">
        <v>215</v>
      </c>
      <c r="B40" s="16" t="s">
        <v>74</v>
      </c>
      <c r="C40" s="16" t="s">
        <v>216</v>
      </c>
      <c r="D40" s="16" t="s">
        <v>87</v>
      </c>
      <c r="E40" s="16">
        <v>3</v>
      </c>
      <c r="F40" s="17" t="s">
        <v>63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4.4">
      <c r="A41" s="16" t="s">
        <v>219</v>
      </c>
      <c r="B41" s="16" t="s">
        <v>74</v>
      </c>
      <c r="C41" s="16" t="s">
        <v>221</v>
      </c>
      <c r="D41" s="16" t="s">
        <v>78</v>
      </c>
      <c r="E41" s="16">
        <v>3</v>
      </c>
      <c r="F41" s="17" t="s">
        <v>63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4.4">
      <c r="A42" s="16" t="s">
        <v>224</v>
      </c>
      <c r="B42" s="16" t="s">
        <v>58</v>
      </c>
      <c r="C42" s="16" t="s">
        <v>107</v>
      </c>
      <c r="D42" s="16" t="s">
        <v>139</v>
      </c>
      <c r="E42" s="16">
        <v>5</v>
      </c>
      <c r="F42" s="17" t="s">
        <v>63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4.4">
      <c r="A43" s="16" t="s">
        <v>228</v>
      </c>
      <c r="B43" s="16" t="s">
        <v>58</v>
      </c>
      <c r="C43" s="16" t="s">
        <v>229</v>
      </c>
      <c r="D43" s="16" t="s">
        <v>62</v>
      </c>
      <c r="E43" s="16">
        <v>5</v>
      </c>
      <c r="F43" s="17" t="s">
        <v>63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4.4">
      <c r="A44" s="16" t="s">
        <v>232</v>
      </c>
      <c r="B44" s="16" t="s">
        <v>74</v>
      </c>
      <c r="C44" s="16" t="s">
        <v>221</v>
      </c>
      <c r="D44" s="16" t="s">
        <v>87</v>
      </c>
      <c r="E44" s="16">
        <v>3</v>
      </c>
      <c r="F44" s="17" t="s">
        <v>63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4.4">
      <c r="A45" s="16" t="s">
        <v>233</v>
      </c>
      <c r="B45" s="16" t="s">
        <v>74</v>
      </c>
      <c r="C45" s="16" t="s">
        <v>234</v>
      </c>
      <c r="D45" s="16" t="s">
        <v>87</v>
      </c>
      <c r="E45" s="16">
        <v>3</v>
      </c>
      <c r="F45" s="17" t="s">
        <v>63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4.4">
      <c r="A46" s="16" t="s">
        <v>235</v>
      </c>
      <c r="B46" s="16" t="s">
        <v>74</v>
      </c>
      <c r="C46" s="16" t="s">
        <v>236</v>
      </c>
      <c r="D46" s="16" t="s">
        <v>87</v>
      </c>
      <c r="E46" s="16">
        <v>3</v>
      </c>
      <c r="F46" s="17" t="s">
        <v>63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4.4">
      <c r="A47" s="16" t="s">
        <v>237</v>
      </c>
      <c r="B47" s="16" t="s">
        <v>74</v>
      </c>
      <c r="C47" s="16" t="s">
        <v>238</v>
      </c>
      <c r="D47" s="16" t="s">
        <v>87</v>
      </c>
      <c r="E47" s="16">
        <v>3</v>
      </c>
      <c r="F47" s="17" t="s">
        <v>63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4.4">
      <c r="A48" s="16" t="s">
        <v>240</v>
      </c>
      <c r="B48" s="16" t="s">
        <v>74</v>
      </c>
      <c r="C48" s="16" t="s">
        <v>242</v>
      </c>
      <c r="D48" s="16" t="s">
        <v>87</v>
      </c>
      <c r="E48" s="16">
        <v>3</v>
      </c>
      <c r="F48" s="17" t="s">
        <v>63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4.4">
      <c r="A49" s="16" t="s">
        <v>244</v>
      </c>
      <c r="B49" s="16" t="s">
        <v>58</v>
      </c>
      <c r="C49" s="16" t="s">
        <v>245</v>
      </c>
      <c r="D49" s="16" t="s">
        <v>62</v>
      </c>
      <c r="E49" s="16">
        <v>5</v>
      </c>
      <c r="F49" s="17" t="s">
        <v>63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4.4">
      <c r="A50" s="16" t="s">
        <v>246</v>
      </c>
      <c r="B50" s="16" t="s">
        <v>58</v>
      </c>
      <c r="C50" s="16" t="s">
        <v>60</v>
      </c>
      <c r="D50" s="16" t="s">
        <v>62</v>
      </c>
      <c r="E50" s="16">
        <v>5</v>
      </c>
      <c r="F50" s="17" t="s">
        <v>63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4.4">
      <c r="A51" s="16" t="s">
        <v>247</v>
      </c>
      <c r="B51" s="16" t="s">
        <v>58</v>
      </c>
      <c r="C51" s="16" t="s">
        <v>107</v>
      </c>
      <c r="D51" s="16" t="s">
        <v>62</v>
      </c>
      <c r="E51" s="16">
        <v>5</v>
      </c>
      <c r="F51" s="17" t="s">
        <v>63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4.4">
      <c r="A52" s="16" t="s">
        <v>248</v>
      </c>
      <c r="B52" s="16" t="s">
        <v>58</v>
      </c>
      <c r="C52" s="16" t="s">
        <v>249</v>
      </c>
      <c r="D52" s="16" t="s">
        <v>62</v>
      </c>
      <c r="E52" s="16">
        <v>5</v>
      </c>
      <c r="F52" s="17" t="s">
        <v>63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4.4">
      <c r="A53" s="16" t="s">
        <v>250</v>
      </c>
      <c r="B53" s="16" t="s">
        <v>162</v>
      </c>
      <c r="C53" s="16" t="s">
        <v>251</v>
      </c>
      <c r="D53" s="16" t="s">
        <v>62</v>
      </c>
      <c r="E53" s="16">
        <v>3</v>
      </c>
      <c r="F53" s="17" t="s">
        <v>63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4.4">
      <c r="A54" s="16" t="s">
        <v>252</v>
      </c>
      <c r="B54" s="16" t="s">
        <v>101</v>
      </c>
      <c r="C54" s="16" t="s">
        <v>253</v>
      </c>
      <c r="D54" s="16" t="s">
        <v>103</v>
      </c>
      <c r="E54" s="16">
        <v>2</v>
      </c>
      <c r="F54" s="17" t="s">
        <v>63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4.4">
      <c r="A55" s="16" t="s">
        <v>256</v>
      </c>
      <c r="B55" s="16" t="s">
        <v>58</v>
      </c>
      <c r="C55" s="16" t="s">
        <v>257</v>
      </c>
      <c r="D55" s="16" t="s">
        <v>62</v>
      </c>
      <c r="E55" s="16">
        <v>5</v>
      </c>
      <c r="F55" s="17" t="s">
        <v>63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4.4">
      <c r="A56" s="16" t="s">
        <v>258</v>
      </c>
      <c r="B56" s="16" t="s">
        <v>74</v>
      </c>
      <c r="C56" s="16" t="s">
        <v>259</v>
      </c>
      <c r="D56" s="16" t="s">
        <v>87</v>
      </c>
      <c r="E56" s="16">
        <v>3</v>
      </c>
      <c r="F56" s="17" t="s">
        <v>63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4.4">
      <c r="A57" s="16" t="s">
        <v>262</v>
      </c>
      <c r="B57" s="16" t="s">
        <v>74</v>
      </c>
      <c r="C57" s="16" t="s">
        <v>259</v>
      </c>
      <c r="D57" s="16" t="s">
        <v>78</v>
      </c>
      <c r="E57" s="16">
        <v>3</v>
      </c>
      <c r="F57" s="17" t="s">
        <v>63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4.4">
      <c r="A58" s="16" t="s">
        <v>263</v>
      </c>
      <c r="B58" s="16" t="s">
        <v>74</v>
      </c>
      <c r="C58" s="16" t="s">
        <v>264</v>
      </c>
      <c r="D58" s="16" t="s">
        <v>87</v>
      </c>
      <c r="E58" s="16">
        <v>3</v>
      </c>
      <c r="F58" s="17" t="s">
        <v>63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4.4">
      <c r="A59" s="16" t="s">
        <v>265</v>
      </c>
      <c r="B59" s="16" t="s">
        <v>74</v>
      </c>
      <c r="C59" s="16" t="s">
        <v>264</v>
      </c>
      <c r="D59" s="16" t="s">
        <v>78</v>
      </c>
      <c r="E59" s="16">
        <v>3</v>
      </c>
      <c r="F59" s="17" t="s">
        <v>63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4.4">
      <c r="A60" s="16" t="s">
        <v>266</v>
      </c>
      <c r="B60" s="16" t="s">
        <v>74</v>
      </c>
      <c r="C60" s="16" t="s">
        <v>267</v>
      </c>
      <c r="D60" s="16" t="s">
        <v>87</v>
      </c>
      <c r="E60" s="16">
        <v>3</v>
      </c>
      <c r="F60" s="17" t="s">
        <v>63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4.4">
      <c r="A61" s="16" t="s">
        <v>268</v>
      </c>
      <c r="B61" s="16" t="s">
        <v>74</v>
      </c>
      <c r="C61" s="16" t="s">
        <v>267</v>
      </c>
      <c r="D61" s="16" t="s">
        <v>78</v>
      </c>
      <c r="E61" s="16">
        <v>3</v>
      </c>
      <c r="F61" s="17" t="s">
        <v>63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4.4">
      <c r="A62" s="16" t="s">
        <v>269</v>
      </c>
      <c r="B62" s="16" t="s">
        <v>74</v>
      </c>
      <c r="C62" s="16" t="s">
        <v>271</v>
      </c>
      <c r="D62" s="16" t="s">
        <v>87</v>
      </c>
      <c r="E62" s="16">
        <v>3</v>
      </c>
      <c r="F62" s="17" t="s">
        <v>63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4.4">
      <c r="A63" s="16" t="s">
        <v>273</v>
      </c>
      <c r="B63" s="16" t="s">
        <v>74</v>
      </c>
      <c r="C63" s="16" t="s">
        <v>271</v>
      </c>
      <c r="D63" s="16" t="s">
        <v>78</v>
      </c>
      <c r="E63" s="16">
        <v>3</v>
      </c>
      <c r="F63" s="17" t="s">
        <v>63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4.4">
      <c r="A64" s="16" t="s">
        <v>275</v>
      </c>
      <c r="B64" s="16" t="s">
        <v>174</v>
      </c>
      <c r="C64" s="16" t="s">
        <v>276</v>
      </c>
      <c r="D64" s="16" t="s">
        <v>103</v>
      </c>
      <c r="E64" s="16">
        <v>3</v>
      </c>
      <c r="F64" s="17" t="s">
        <v>165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4.4">
      <c r="A65" s="16" t="s">
        <v>277</v>
      </c>
      <c r="B65" s="16" t="s">
        <v>74</v>
      </c>
      <c r="C65" s="16" t="s">
        <v>278</v>
      </c>
      <c r="D65" s="16" t="s">
        <v>87</v>
      </c>
      <c r="E65" s="16">
        <v>3</v>
      </c>
      <c r="F65" s="17" t="s">
        <v>63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4.4">
      <c r="A66" s="16" t="s">
        <v>279</v>
      </c>
      <c r="B66" s="16" t="s">
        <v>74</v>
      </c>
      <c r="C66" s="16" t="s">
        <v>278</v>
      </c>
      <c r="D66" s="16" t="s">
        <v>78</v>
      </c>
      <c r="E66" s="16">
        <v>3</v>
      </c>
      <c r="F66" s="17" t="s">
        <v>63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4.4">
      <c r="A67" s="16" t="s">
        <v>280</v>
      </c>
      <c r="B67" s="16" t="s">
        <v>74</v>
      </c>
      <c r="C67" s="16" t="s">
        <v>281</v>
      </c>
      <c r="D67" s="16" t="s">
        <v>87</v>
      </c>
      <c r="E67" s="16">
        <v>3</v>
      </c>
      <c r="F67" s="17" t="s">
        <v>63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4.4">
      <c r="A68" s="16" t="s">
        <v>282</v>
      </c>
      <c r="B68" s="16" t="s">
        <v>174</v>
      </c>
      <c r="C68" s="16" t="s">
        <v>283</v>
      </c>
      <c r="D68" s="16" t="s">
        <v>103</v>
      </c>
      <c r="E68" s="16">
        <v>3</v>
      </c>
      <c r="F68" s="17" t="s">
        <v>63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4.4">
      <c r="A69" s="16" t="s">
        <v>284</v>
      </c>
      <c r="B69" s="16" t="s">
        <v>174</v>
      </c>
      <c r="C69" s="16" t="s">
        <v>285</v>
      </c>
      <c r="D69" s="16" t="s">
        <v>103</v>
      </c>
      <c r="E69" s="16">
        <v>3</v>
      </c>
      <c r="F69" s="17" t="s">
        <v>63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4.4">
      <c r="A70" s="16" t="s">
        <v>286</v>
      </c>
      <c r="B70" s="16" t="s">
        <v>162</v>
      </c>
      <c r="C70" s="16" t="s">
        <v>288</v>
      </c>
      <c r="D70" s="16" t="s">
        <v>103</v>
      </c>
      <c r="E70" s="16">
        <v>3</v>
      </c>
      <c r="F70" s="17" t="s">
        <v>165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4.4">
      <c r="A71" s="16" t="s">
        <v>289</v>
      </c>
      <c r="B71" s="16" t="s">
        <v>101</v>
      </c>
      <c r="C71" s="16" t="s">
        <v>291</v>
      </c>
      <c r="D71" s="16" t="s">
        <v>103</v>
      </c>
      <c r="E71" s="16">
        <v>2</v>
      </c>
      <c r="F71" s="17" t="s">
        <v>63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4.4">
      <c r="A72" s="16" t="s">
        <v>292</v>
      </c>
      <c r="B72" s="16" t="s">
        <v>58</v>
      </c>
      <c r="C72" s="16" t="s">
        <v>172</v>
      </c>
      <c r="D72" s="16" t="s">
        <v>139</v>
      </c>
      <c r="E72" s="16">
        <v>5</v>
      </c>
      <c r="F72" s="17" t="s">
        <v>63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4.4">
      <c r="A73" s="16" t="s">
        <v>293</v>
      </c>
      <c r="B73" s="16" t="s">
        <v>294</v>
      </c>
      <c r="C73" s="16" t="s">
        <v>295</v>
      </c>
      <c r="D73" s="16" t="s">
        <v>103</v>
      </c>
      <c r="E73" s="16">
        <v>2</v>
      </c>
      <c r="F73" s="17" t="s">
        <v>63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4.4">
      <c r="A74" s="16" t="s">
        <v>296</v>
      </c>
      <c r="B74" s="16" t="s">
        <v>294</v>
      </c>
      <c r="C74" s="16" t="s">
        <v>297</v>
      </c>
      <c r="D74" s="16" t="s">
        <v>103</v>
      </c>
      <c r="E74" s="16">
        <v>2</v>
      </c>
      <c r="F74" s="17" t="s">
        <v>63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4.4">
      <c r="A75" s="16" t="s">
        <v>298</v>
      </c>
      <c r="B75" s="16" t="s">
        <v>294</v>
      </c>
      <c r="C75" s="16" t="s">
        <v>299</v>
      </c>
      <c r="D75" s="16" t="s">
        <v>103</v>
      </c>
      <c r="E75" s="16">
        <v>2</v>
      </c>
      <c r="F75" s="17" t="s">
        <v>63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4.4">
      <c r="A76" s="16" t="s">
        <v>302</v>
      </c>
      <c r="B76" s="16" t="s">
        <v>294</v>
      </c>
      <c r="C76" s="16" t="s">
        <v>307</v>
      </c>
      <c r="D76" s="16" t="s">
        <v>103</v>
      </c>
      <c r="E76" s="16">
        <v>2</v>
      </c>
      <c r="F76" s="17" t="s">
        <v>63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4.4">
      <c r="A77" s="16" t="s">
        <v>320</v>
      </c>
      <c r="B77" s="16" t="s">
        <v>162</v>
      </c>
      <c r="C77" s="16" t="s">
        <v>321</v>
      </c>
      <c r="D77" s="16" t="s">
        <v>62</v>
      </c>
      <c r="E77" s="16">
        <v>3</v>
      </c>
      <c r="F77" s="17" t="s">
        <v>63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4.4">
      <c r="A78" s="16" t="s">
        <v>325</v>
      </c>
      <c r="B78" s="16" t="s">
        <v>162</v>
      </c>
      <c r="C78" s="16" t="s">
        <v>326</v>
      </c>
      <c r="D78" s="16" t="s">
        <v>103</v>
      </c>
      <c r="E78" s="16">
        <v>3</v>
      </c>
      <c r="F78" s="17" t="s">
        <v>63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4.4">
      <c r="A79" s="16" t="s">
        <v>331</v>
      </c>
      <c r="B79" s="16" t="s">
        <v>294</v>
      </c>
      <c r="C79" s="16" t="s">
        <v>332</v>
      </c>
      <c r="D79" s="16" t="s">
        <v>103</v>
      </c>
      <c r="E79" s="16">
        <v>2</v>
      </c>
      <c r="F79" s="17" t="s">
        <v>63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4.4">
      <c r="A80" s="16" t="s">
        <v>334</v>
      </c>
      <c r="B80" s="16" t="s">
        <v>294</v>
      </c>
      <c r="C80" s="16" t="s">
        <v>335</v>
      </c>
      <c r="D80" s="16" t="s">
        <v>336</v>
      </c>
      <c r="E80" s="16">
        <v>2</v>
      </c>
      <c r="F80" s="17" t="s">
        <v>63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4.4">
      <c r="A81" s="16" t="s">
        <v>337</v>
      </c>
      <c r="B81" s="16" t="s">
        <v>294</v>
      </c>
      <c r="C81" s="16" t="s">
        <v>335</v>
      </c>
      <c r="D81" s="16" t="s">
        <v>338</v>
      </c>
      <c r="E81" s="16">
        <v>2</v>
      </c>
      <c r="F81" s="17" t="s">
        <v>63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4.4">
      <c r="A82" s="16" t="s">
        <v>340</v>
      </c>
      <c r="B82" s="16" t="s">
        <v>294</v>
      </c>
      <c r="C82" s="16" t="s">
        <v>335</v>
      </c>
      <c r="D82" s="16" t="s">
        <v>103</v>
      </c>
      <c r="E82" s="16">
        <v>2</v>
      </c>
      <c r="F82" s="17" t="s">
        <v>63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4.4">
      <c r="A83" s="16" t="s">
        <v>342</v>
      </c>
      <c r="B83" s="16" t="s">
        <v>294</v>
      </c>
      <c r="C83" s="16" t="s">
        <v>343</v>
      </c>
      <c r="D83" s="16" t="s">
        <v>344</v>
      </c>
      <c r="E83" s="16">
        <v>2</v>
      </c>
      <c r="F83" s="17" t="s">
        <v>63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4.4">
      <c r="A84" s="16" t="s">
        <v>345</v>
      </c>
      <c r="B84" s="16" t="s">
        <v>294</v>
      </c>
      <c r="C84" s="16" t="s">
        <v>343</v>
      </c>
      <c r="D84" s="16" t="s">
        <v>338</v>
      </c>
      <c r="E84" s="16">
        <v>2</v>
      </c>
      <c r="F84" s="17" t="s">
        <v>63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4.4">
      <c r="A85" s="16" t="s">
        <v>347</v>
      </c>
      <c r="B85" s="16" t="s">
        <v>294</v>
      </c>
      <c r="C85" s="16" t="s">
        <v>343</v>
      </c>
      <c r="D85" s="16" t="s">
        <v>103</v>
      </c>
      <c r="E85" s="16">
        <v>2</v>
      </c>
      <c r="F85" s="17" t="s">
        <v>63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4.4">
      <c r="A86" s="16" t="s">
        <v>349</v>
      </c>
      <c r="B86" s="16" t="s">
        <v>58</v>
      </c>
      <c r="C86" s="16" t="s">
        <v>350</v>
      </c>
      <c r="D86" s="16" t="s">
        <v>62</v>
      </c>
      <c r="E86" s="16">
        <v>2</v>
      </c>
      <c r="F86" s="17" t="s">
        <v>165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4.4">
      <c r="A87" s="16" t="s">
        <v>354</v>
      </c>
      <c r="B87" s="16" t="s">
        <v>58</v>
      </c>
      <c r="C87" s="16" t="s">
        <v>245</v>
      </c>
      <c r="D87" s="16" t="s">
        <v>62</v>
      </c>
      <c r="E87" s="16">
        <v>5</v>
      </c>
      <c r="F87" s="17" t="s">
        <v>63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4.4">
      <c r="A88" s="16" t="s">
        <v>357</v>
      </c>
      <c r="B88" s="16" t="s">
        <v>58</v>
      </c>
      <c r="C88" s="16" t="s">
        <v>249</v>
      </c>
      <c r="D88" s="16" t="s">
        <v>62</v>
      </c>
      <c r="E88" s="16">
        <v>5</v>
      </c>
      <c r="F88" s="17" t="s">
        <v>63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4.4">
      <c r="A89" s="16" t="s">
        <v>359</v>
      </c>
      <c r="B89" s="16" t="s">
        <v>58</v>
      </c>
      <c r="C89" s="16" t="s">
        <v>360</v>
      </c>
      <c r="D89" s="16" t="s">
        <v>62</v>
      </c>
      <c r="E89" s="16">
        <v>2</v>
      </c>
      <c r="F89" s="17" t="s">
        <v>165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4.4">
      <c r="A90" s="16" t="s">
        <v>361</v>
      </c>
      <c r="B90" s="16" t="s">
        <v>58</v>
      </c>
      <c r="C90" s="16" t="s">
        <v>107</v>
      </c>
      <c r="D90" s="16" t="s">
        <v>62</v>
      </c>
      <c r="E90" s="16">
        <v>5</v>
      </c>
      <c r="F90" s="17" t="s">
        <v>63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4.4">
      <c r="A91" s="16" t="s">
        <v>364</v>
      </c>
      <c r="B91" s="16" t="s">
        <v>58</v>
      </c>
      <c r="C91" s="16" t="s">
        <v>365</v>
      </c>
      <c r="D91" s="16" t="s">
        <v>62</v>
      </c>
      <c r="E91" s="16">
        <v>2</v>
      </c>
      <c r="F91" s="17" t="s">
        <v>165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4.4">
      <c r="A92" s="16" t="s">
        <v>369</v>
      </c>
      <c r="B92" s="16" t="s">
        <v>58</v>
      </c>
      <c r="C92" s="16" t="s">
        <v>370</v>
      </c>
      <c r="D92" s="16" t="s">
        <v>62</v>
      </c>
      <c r="E92" s="16">
        <v>2</v>
      </c>
      <c r="F92" s="17" t="s">
        <v>165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4.4">
      <c r="A93" s="16" t="s">
        <v>373</v>
      </c>
      <c r="B93" s="16" t="s">
        <v>58</v>
      </c>
      <c r="C93" s="16" t="s">
        <v>374</v>
      </c>
      <c r="D93" s="16" t="s">
        <v>62</v>
      </c>
      <c r="E93" s="16">
        <v>2</v>
      </c>
      <c r="F93" s="17" t="s">
        <v>165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4.4">
      <c r="A94" s="16" t="s">
        <v>376</v>
      </c>
      <c r="B94" s="16" t="s">
        <v>58</v>
      </c>
      <c r="C94" s="16" t="s">
        <v>107</v>
      </c>
      <c r="D94" s="16" t="s">
        <v>139</v>
      </c>
      <c r="E94" s="16">
        <v>5</v>
      </c>
      <c r="F94" s="17" t="s">
        <v>63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4.4">
      <c r="A95" s="16" t="s">
        <v>377</v>
      </c>
      <c r="B95" s="16" t="s">
        <v>174</v>
      </c>
      <c r="C95" s="16" t="s">
        <v>378</v>
      </c>
      <c r="D95" s="16" t="s">
        <v>103</v>
      </c>
      <c r="E95" s="16">
        <v>3</v>
      </c>
      <c r="F95" s="17" t="s">
        <v>63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4.4">
      <c r="A96" s="16" t="s">
        <v>379</v>
      </c>
      <c r="B96" s="16" t="s">
        <v>174</v>
      </c>
      <c r="C96" s="16" t="s">
        <v>380</v>
      </c>
      <c r="D96" s="16" t="s">
        <v>62</v>
      </c>
      <c r="E96" s="16">
        <v>3</v>
      </c>
      <c r="F96" s="17" t="s">
        <v>63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4.4">
      <c r="A97" s="16" t="s">
        <v>381</v>
      </c>
      <c r="B97" s="16" t="s">
        <v>174</v>
      </c>
      <c r="C97" s="16" t="s">
        <v>382</v>
      </c>
      <c r="D97" s="16" t="s">
        <v>103</v>
      </c>
      <c r="E97" s="16">
        <v>3</v>
      </c>
      <c r="F97" s="17" t="s">
        <v>63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4.4">
      <c r="A98" s="16" t="s">
        <v>383</v>
      </c>
      <c r="B98" s="16" t="s">
        <v>174</v>
      </c>
      <c r="C98" s="16" t="s">
        <v>385</v>
      </c>
      <c r="D98" s="16" t="s">
        <v>103</v>
      </c>
      <c r="E98" s="16">
        <v>3</v>
      </c>
      <c r="F98" s="17" t="s">
        <v>63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4.4">
      <c r="A99" s="16" t="s">
        <v>386</v>
      </c>
      <c r="B99" s="16" t="s">
        <v>174</v>
      </c>
      <c r="C99" s="16" t="s">
        <v>387</v>
      </c>
      <c r="D99" s="16" t="s">
        <v>103</v>
      </c>
      <c r="E99" s="16">
        <v>3</v>
      </c>
      <c r="F99" s="17" t="s">
        <v>165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4.4">
      <c r="A100" s="16" t="s">
        <v>388</v>
      </c>
      <c r="B100" s="16" t="s">
        <v>162</v>
      </c>
      <c r="C100" s="16" t="s">
        <v>389</v>
      </c>
      <c r="D100" s="16" t="s">
        <v>62</v>
      </c>
      <c r="E100" s="16">
        <v>3</v>
      </c>
      <c r="F100" s="17" t="s">
        <v>63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4.4">
      <c r="A101" s="16" t="s">
        <v>391</v>
      </c>
      <c r="B101" s="16" t="s">
        <v>101</v>
      </c>
      <c r="C101" s="16" t="s">
        <v>392</v>
      </c>
      <c r="D101" s="16" t="s">
        <v>103</v>
      </c>
      <c r="E101" s="16">
        <v>2</v>
      </c>
      <c r="F101" s="17" t="s">
        <v>63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4.4">
      <c r="A102" s="16" t="s">
        <v>393</v>
      </c>
      <c r="B102" s="16" t="s">
        <v>101</v>
      </c>
      <c r="C102" s="16" t="s">
        <v>394</v>
      </c>
      <c r="D102" s="16" t="s">
        <v>103</v>
      </c>
      <c r="E102" s="16">
        <v>2</v>
      </c>
      <c r="F102" s="17" t="s">
        <v>63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4.4">
      <c r="A103" s="16" t="s">
        <v>396</v>
      </c>
      <c r="B103" s="16" t="s">
        <v>101</v>
      </c>
      <c r="C103" s="16" t="s">
        <v>397</v>
      </c>
      <c r="D103" s="16" t="s">
        <v>103</v>
      </c>
      <c r="E103" s="16">
        <v>2</v>
      </c>
      <c r="F103" s="17" t="s">
        <v>63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4.4">
      <c r="A104" s="16" t="s">
        <v>400</v>
      </c>
      <c r="B104" s="16" t="s">
        <v>174</v>
      </c>
      <c r="C104" s="16" t="s">
        <v>380</v>
      </c>
      <c r="D104" s="16" t="s">
        <v>108</v>
      </c>
      <c r="E104" s="16">
        <v>3</v>
      </c>
      <c r="F104" s="17" t="s">
        <v>63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4.4">
      <c r="A105" s="16" t="s">
        <v>401</v>
      </c>
      <c r="B105" s="16" t="s">
        <v>58</v>
      </c>
      <c r="C105" s="16" t="s">
        <v>402</v>
      </c>
      <c r="D105" s="16" t="s">
        <v>62</v>
      </c>
      <c r="E105" s="16">
        <v>2</v>
      </c>
      <c r="F105" s="17" t="s">
        <v>165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4.4">
      <c r="A106" s="16" t="s">
        <v>403</v>
      </c>
      <c r="B106" s="16" t="s">
        <v>58</v>
      </c>
      <c r="C106" s="16" t="s">
        <v>60</v>
      </c>
      <c r="D106" s="16" t="s">
        <v>62</v>
      </c>
      <c r="E106" s="16">
        <v>5</v>
      </c>
      <c r="F106" s="17" t="s">
        <v>63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4.4">
      <c r="A107" s="16" t="s">
        <v>404</v>
      </c>
      <c r="B107" s="16" t="s">
        <v>58</v>
      </c>
      <c r="C107" s="16" t="s">
        <v>257</v>
      </c>
      <c r="D107" s="16" t="s">
        <v>62</v>
      </c>
      <c r="E107" s="16">
        <v>5</v>
      </c>
      <c r="F107" s="17" t="s">
        <v>63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4.4">
      <c r="A108" s="16" t="s">
        <v>407</v>
      </c>
      <c r="B108" s="16" t="s">
        <v>174</v>
      </c>
      <c r="C108" s="16" t="s">
        <v>408</v>
      </c>
      <c r="D108" s="16" t="s">
        <v>103</v>
      </c>
      <c r="E108" s="16">
        <v>3</v>
      </c>
      <c r="F108" s="17" t="s">
        <v>63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4.4">
      <c r="A109" s="16" t="s">
        <v>409</v>
      </c>
      <c r="B109" s="16" t="s">
        <v>294</v>
      </c>
      <c r="C109" s="16" t="s">
        <v>410</v>
      </c>
      <c r="D109" s="16" t="s">
        <v>344</v>
      </c>
      <c r="E109" s="16">
        <v>2</v>
      </c>
      <c r="F109" s="17" t="s">
        <v>63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4.4">
      <c r="A110" s="16" t="s">
        <v>411</v>
      </c>
      <c r="B110" s="16" t="s">
        <v>294</v>
      </c>
      <c r="C110" s="16" t="s">
        <v>410</v>
      </c>
      <c r="D110" s="16" t="s">
        <v>338</v>
      </c>
      <c r="E110" s="16">
        <v>2</v>
      </c>
      <c r="F110" s="17" t="s">
        <v>63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4.4">
      <c r="A111" s="16" t="s">
        <v>413</v>
      </c>
      <c r="B111" s="16" t="s">
        <v>294</v>
      </c>
      <c r="C111" s="16" t="s">
        <v>410</v>
      </c>
      <c r="D111" s="16" t="s">
        <v>103</v>
      </c>
      <c r="E111" s="16">
        <v>2</v>
      </c>
      <c r="F111" s="17" t="s">
        <v>63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4.4">
      <c r="A112" s="16" t="s">
        <v>415</v>
      </c>
      <c r="B112" s="16" t="s">
        <v>294</v>
      </c>
      <c r="C112" s="16" t="s">
        <v>332</v>
      </c>
      <c r="D112" s="16" t="s">
        <v>336</v>
      </c>
      <c r="E112" s="16">
        <v>2</v>
      </c>
      <c r="F112" s="17" t="s">
        <v>63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4.4">
      <c r="A113" s="16" t="s">
        <v>417</v>
      </c>
      <c r="B113" s="16" t="s">
        <v>294</v>
      </c>
      <c r="C113" s="16" t="s">
        <v>332</v>
      </c>
      <c r="D113" s="16" t="s">
        <v>338</v>
      </c>
      <c r="E113" s="16">
        <v>2</v>
      </c>
      <c r="F113" s="17" t="s">
        <v>63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4.4">
      <c r="A114" s="16" t="s">
        <v>418</v>
      </c>
      <c r="B114" s="16" t="s">
        <v>174</v>
      </c>
      <c r="C114" s="16" t="s">
        <v>419</v>
      </c>
      <c r="D114" s="16" t="s">
        <v>103</v>
      </c>
      <c r="E114" s="16">
        <v>3</v>
      </c>
      <c r="F114" s="17" t="s">
        <v>63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4.4">
      <c r="A115" s="16" t="s">
        <v>421</v>
      </c>
      <c r="B115" s="16" t="s">
        <v>162</v>
      </c>
      <c r="C115" s="16" t="s">
        <v>422</v>
      </c>
      <c r="D115" s="16" t="s">
        <v>62</v>
      </c>
      <c r="E115" s="16">
        <v>3</v>
      </c>
      <c r="F115" s="17" t="s">
        <v>165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4.4">
      <c r="A116" s="16" t="s">
        <v>423</v>
      </c>
      <c r="B116" s="16" t="s">
        <v>162</v>
      </c>
      <c r="C116" s="16" t="s">
        <v>424</v>
      </c>
      <c r="D116" s="16" t="s">
        <v>62</v>
      </c>
      <c r="E116" s="16">
        <v>3</v>
      </c>
      <c r="F116" s="17" t="s">
        <v>63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4.4">
      <c r="A117" s="16" t="s">
        <v>425</v>
      </c>
      <c r="B117" s="16" t="s">
        <v>162</v>
      </c>
      <c r="C117" s="16" t="s">
        <v>426</v>
      </c>
      <c r="D117" s="16" t="s">
        <v>62</v>
      </c>
      <c r="E117" s="16">
        <v>3</v>
      </c>
      <c r="F117" s="17" t="s">
        <v>165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4.4">
      <c r="A118" s="16" t="s">
        <v>428</v>
      </c>
      <c r="B118" s="16" t="s">
        <v>162</v>
      </c>
      <c r="C118" s="16" t="s">
        <v>429</v>
      </c>
      <c r="D118" s="16" t="s">
        <v>103</v>
      </c>
      <c r="E118" s="16">
        <v>3</v>
      </c>
      <c r="F118" s="17" t="s">
        <v>165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4.4">
      <c r="A119" s="16" t="s">
        <v>430</v>
      </c>
      <c r="B119" s="16" t="s">
        <v>162</v>
      </c>
      <c r="C119" s="16" t="s">
        <v>431</v>
      </c>
      <c r="D119" s="16" t="s">
        <v>62</v>
      </c>
      <c r="E119" s="16">
        <v>3</v>
      </c>
      <c r="F119" s="17" t="s">
        <v>63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4.4">
      <c r="A120" s="16" t="s">
        <v>432</v>
      </c>
      <c r="B120" s="16" t="s">
        <v>162</v>
      </c>
      <c r="C120" s="16" t="s">
        <v>433</v>
      </c>
      <c r="D120" s="16" t="s">
        <v>62</v>
      </c>
      <c r="E120" s="16">
        <v>3</v>
      </c>
      <c r="F120" s="17" t="s">
        <v>165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4.4">
      <c r="A121" s="16" t="s">
        <v>434</v>
      </c>
      <c r="B121" s="16" t="s">
        <v>74</v>
      </c>
      <c r="C121" s="16" t="s">
        <v>435</v>
      </c>
      <c r="D121" s="16" t="s">
        <v>87</v>
      </c>
      <c r="E121" s="16">
        <v>3</v>
      </c>
      <c r="F121" s="17" t="s">
        <v>63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4.4">
      <c r="A122" s="16" t="s">
        <v>436</v>
      </c>
      <c r="B122" s="16" t="s">
        <v>162</v>
      </c>
      <c r="C122" s="16" t="s">
        <v>437</v>
      </c>
      <c r="D122" s="16" t="s">
        <v>62</v>
      </c>
      <c r="E122" s="16">
        <v>3</v>
      </c>
      <c r="F122" s="17" t="s">
        <v>63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4.4">
      <c r="A123" s="16" t="s">
        <v>438</v>
      </c>
      <c r="B123" s="16" t="s">
        <v>162</v>
      </c>
      <c r="C123" s="16" t="s">
        <v>251</v>
      </c>
      <c r="D123" s="16" t="s">
        <v>62</v>
      </c>
      <c r="E123" s="16">
        <v>3</v>
      </c>
      <c r="F123" s="17" t="s">
        <v>63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4.4">
      <c r="A124" s="16" t="s">
        <v>439</v>
      </c>
      <c r="B124" s="16" t="s">
        <v>174</v>
      </c>
      <c r="C124" s="16" t="s">
        <v>440</v>
      </c>
      <c r="D124" s="16" t="s">
        <v>62</v>
      </c>
      <c r="E124" s="16">
        <v>3</v>
      </c>
      <c r="F124" s="17" t="s">
        <v>63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4.4">
      <c r="A125" s="16" t="s">
        <v>441</v>
      </c>
      <c r="B125" s="16" t="s">
        <v>58</v>
      </c>
      <c r="C125" s="16" t="s">
        <v>60</v>
      </c>
      <c r="D125" s="16" t="s">
        <v>144</v>
      </c>
      <c r="E125" s="16">
        <v>5</v>
      </c>
      <c r="F125" s="17" t="s">
        <v>63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4.4">
      <c r="A126" s="16" t="s">
        <v>442</v>
      </c>
      <c r="B126" s="16" t="s">
        <v>294</v>
      </c>
      <c r="C126" s="16" t="s">
        <v>444</v>
      </c>
      <c r="D126" s="16" t="s">
        <v>103</v>
      </c>
      <c r="E126" s="16">
        <v>2</v>
      </c>
      <c r="F126" s="17" t="s">
        <v>63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4.4">
      <c r="A127" s="16" t="s">
        <v>445</v>
      </c>
      <c r="B127" s="16" t="s">
        <v>294</v>
      </c>
      <c r="C127" s="16" t="s">
        <v>446</v>
      </c>
      <c r="D127" s="16" t="s">
        <v>336</v>
      </c>
      <c r="E127" s="16">
        <v>2</v>
      </c>
      <c r="F127" s="17" t="s">
        <v>63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4.4">
      <c r="A128" s="16" t="s">
        <v>448</v>
      </c>
      <c r="B128" s="16" t="s">
        <v>294</v>
      </c>
      <c r="C128" s="16" t="s">
        <v>446</v>
      </c>
      <c r="D128" s="16" t="s">
        <v>338</v>
      </c>
      <c r="E128" s="16">
        <v>2</v>
      </c>
      <c r="F128" s="17" t="s">
        <v>63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4.4">
      <c r="A129" s="16" t="s">
        <v>449</v>
      </c>
      <c r="B129" s="16" t="s">
        <v>294</v>
      </c>
      <c r="C129" s="16" t="s">
        <v>446</v>
      </c>
      <c r="D129" s="16" t="s">
        <v>103</v>
      </c>
      <c r="E129" s="16">
        <v>2</v>
      </c>
      <c r="F129" s="17" t="s">
        <v>63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4.4">
      <c r="A130" s="16" t="s">
        <v>450</v>
      </c>
      <c r="B130" s="16" t="s">
        <v>101</v>
      </c>
      <c r="C130" s="16" t="s">
        <v>451</v>
      </c>
      <c r="D130" s="16" t="s">
        <v>452</v>
      </c>
      <c r="E130" s="16">
        <v>2</v>
      </c>
      <c r="F130" s="17" t="s">
        <v>63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4.4">
      <c r="A131" s="16" t="s">
        <v>453</v>
      </c>
      <c r="B131" s="16" t="s">
        <v>101</v>
      </c>
      <c r="C131" s="16" t="s">
        <v>451</v>
      </c>
      <c r="D131" s="16" t="s">
        <v>103</v>
      </c>
      <c r="E131" s="16">
        <v>2</v>
      </c>
      <c r="F131" s="17" t="s">
        <v>63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4.4">
      <c r="A132" s="16" t="s">
        <v>454</v>
      </c>
      <c r="B132" s="16" t="s">
        <v>101</v>
      </c>
      <c r="C132" s="16" t="s">
        <v>455</v>
      </c>
      <c r="D132" s="16" t="s">
        <v>103</v>
      </c>
      <c r="E132" s="16">
        <v>2</v>
      </c>
      <c r="F132" s="17" t="s">
        <v>63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4.4">
      <c r="A133" s="16" t="s">
        <v>456</v>
      </c>
      <c r="B133" s="16" t="s">
        <v>101</v>
      </c>
      <c r="C133" s="16" t="s">
        <v>455</v>
      </c>
      <c r="D133" s="16" t="s">
        <v>452</v>
      </c>
      <c r="E133" s="16">
        <v>2</v>
      </c>
      <c r="F133" s="17" t="s">
        <v>63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4.4">
      <c r="A134" s="16" t="s">
        <v>457</v>
      </c>
      <c r="B134" s="16" t="s">
        <v>174</v>
      </c>
      <c r="C134" s="16" t="s">
        <v>458</v>
      </c>
      <c r="D134" s="16" t="s">
        <v>103</v>
      </c>
      <c r="E134" s="16">
        <v>3</v>
      </c>
      <c r="F134" s="17" t="s">
        <v>63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4.4">
      <c r="A135" s="16" t="s">
        <v>459</v>
      </c>
      <c r="B135" s="16" t="s">
        <v>174</v>
      </c>
      <c r="C135" s="16" t="s">
        <v>460</v>
      </c>
      <c r="D135" s="16" t="s">
        <v>103</v>
      </c>
      <c r="E135" s="16">
        <v>3</v>
      </c>
      <c r="F135" s="17" t="s">
        <v>63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4.4">
      <c r="A136" s="16" t="s">
        <v>461</v>
      </c>
      <c r="B136" s="16" t="s">
        <v>174</v>
      </c>
      <c r="C136" s="16" t="s">
        <v>463</v>
      </c>
      <c r="D136" s="16" t="s">
        <v>103</v>
      </c>
      <c r="E136" s="16">
        <v>3</v>
      </c>
      <c r="F136" s="17" t="s">
        <v>63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4.4">
      <c r="A137" s="16" t="s">
        <v>464</v>
      </c>
      <c r="B137" s="16" t="s">
        <v>174</v>
      </c>
      <c r="C137" s="16" t="s">
        <v>465</v>
      </c>
      <c r="D137" s="16" t="s">
        <v>103</v>
      </c>
      <c r="E137" s="16">
        <v>3</v>
      </c>
      <c r="F137" s="17" t="s">
        <v>63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4.4">
      <c r="A138" s="16" t="s">
        <v>466</v>
      </c>
      <c r="B138" s="16" t="s">
        <v>162</v>
      </c>
      <c r="C138" s="16" t="s">
        <v>467</v>
      </c>
      <c r="D138" s="16" t="s">
        <v>62</v>
      </c>
      <c r="E138" s="16">
        <v>3</v>
      </c>
      <c r="F138" s="17" t="s">
        <v>63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4.4">
      <c r="A139" s="16" t="s">
        <v>469</v>
      </c>
      <c r="B139" s="16" t="s">
        <v>162</v>
      </c>
      <c r="C139" s="16" t="s">
        <v>470</v>
      </c>
      <c r="D139" s="16" t="s">
        <v>62</v>
      </c>
      <c r="E139" s="16">
        <v>3</v>
      </c>
      <c r="F139" s="17" t="s">
        <v>63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4.4">
      <c r="A140" s="16" t="s">
        <v>472</v>
      </c>
      <c r="B140" s="16" t="s">
        <v>162</v>
      </c>
      <c r="C140" s="16" t="s">
        <v>473</v>
      </c>
      <c r="D140" s="16" t="s">
        <v>103</v>
      </c>
      <c r="E140" s="16">
        <v>3</v>
      </c>
      <c r="F140" s="17" t="s">
        <v>63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4.4">
      <c r="A141" s="16" t="s">
        <v>475</v>
      </c>
      <c r="B141" s="16" t="s">
        <v>162</v>
      </c>
      <c r="C141" s="16" t="s">
        <v>476</v>
      </c>
      <c r="D141" s="16" t="s">
        <v>103</v>
      </c>
      <c r="E141" s="16">
        <v>3</v>
      </c>
      <c r="F141" s="17" t="s">
        <v>63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4.4">
      <c r="A142" s="16" t="s">
        <v>477</v>
      </c>
      <c r="B142" s="16" t="s">
        <v>174</v>
      </c>
      <c r="C142" s="16" t="s">
        <v>478</v>
      </c>
      <c r="D142" s="16" t="s">
        <v>103</v>
      </c>
      <c r="E142" s="16">
        <v>3</v>
      </c>
      <c r="F142" s="17" t="s">
        <v>63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4.4">
      <c r="A143" s="16" t="s">
        <v>479</v>
      </c>
      <c r="B143" s="16" t="s">
        <v>174</v>
      </c>
      <c r="C143" s="16" t="s">
        <v>480</v>
      </c>
      <c r="D143" s="16" t="s">
        <v>103</v>
      </c>
      <c r="E143" s="16">
        <v>3</v>
      </c>
      <c r="F143" s="17" t="s">
        <v>63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4.4">
      <c r="A144" s="16" t="s">
        <v>481</v>
      </c>
      <c r="B144" s="16" t="s">
        <v>174</v>
      </c>
      <c r="C144" s="16" t="s">
        <v>482</v>
      </c>
      <c r="D144" s="16" t="s">
        <v>103</v>
      </c>
      <c r="E144" s="16">
        <v>3</v>
      </c>
      <c r="F144" s="17" t="s">
        <v>63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4.4">
      <c r="A145" s="16" t="s">
        <v>483</v>
      </c>
      <c r="B145" s="16" t="s">
        <v>162</v>
      </c>
      <c r="C145" s="16" t="s">
        <v>484</v>
      </c>
      <c r="D145" s="16" t="s">
        <v>103</v>
      </c>
      <c r="E145" s="16">
        <v>3</v>
      </c>
      <c r="F145" s="17" t="s">
        <v>63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4.4">
      <c r="A146" s="16" t="s">
        <v>486</v>
      </c>
      <c r="B146" s="16" t="s">
        <v>162</v>
      </c>
      <c r="C146" s="16" t="s">
        <v>487</v>
      </c>
      <c r="D146" s="16" t="s">
        <v>103</v>
      </c>
      <c r="E146" s="16">
        <v>3</v>
      </c>
      <c r="F146" s="17" t="s">
        <v>165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4.4">
      <c r="A147" s="16" t="s">
        <v>488</v>
      </c>
      <c r="B147" s="16" t="s">
        <v>162</v>
      </c>
      <c r="C147" s="16" t="s">
        <v>489</v>
      </c>
      <c r="D147" s="16" t="s">
        <v>62</v>
      </c>
      <c r="E147" s="16">
        <v>3</v>
      </c>
      <c r="F147" s="17" t="s">
        <v>63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4.4">
      <c r="A148" s="16" t="s">
        <v>490</v>
      </c>
      <c r="B148" s="16" t="s">
        <v>74</v>
      </c>
      <c r="C148" s="16" t="s">
        <v>435</v>
      </c>
      <c r="D148" s="16" t="s">
        <v>78</v>
      </c>
      <c r="E148" s="16">
        <v>3</v>
      </c>
      <c r="F148" s="17" t="s">
        <v>63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4.4">
      <c r="A149" s="29" t="s">
        <v>491</v>
      </c>
      <c r="B149" s="29" t="s">
        <v>58</v>
      </c>
      <c r="C149" s="29" t="s">
        <v>112</v>
      </c>
      <c r="D149" s="16" t="s">
        <v>62</v>
      </c>
      <c r="E149" s="16">
        <v>3</v>
      </c>
      <c r="F149" s="17" t="s">
        <v>63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4.4">
      <c r="A150" s="29" t="s">
        <v>492</v>
      </c>
      <c r="B150" s="29" t="s">
        <v>58</v>
      </c>
      <c r="C150" s="29" t="s">
        <v>114</v>
      </c>
      <c r="D150" s="16" t="s">
        <v>62</v>
      </c>
      <c r="E150" s="16">
        <v>3</v>
      </c>
      <c r="F150" s="17" t="s">
        <v>63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4.4">
      <c r="A151" s="29" t="s">
        <v>494</v>
      </c>
      <c r="B151" s="29" t="s">
        <v>58</v>
      </c>
      <c r="C151" s="29" t="s">
        <v>117</v>
      </c>
      <c r="D151" s="16" t="s">
        <v>62</v>
      </c>
      <c r="E151" s="16">
        <v>3</v>
      </c>
      <c r="F151" s="17" t="s">
        <v>63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4.4">
      <c r="A152" s="29" t="s">
        <v>496</v>
      </c>
      <c r="B152" s="29" t="s">
        <v>58</v>
      </c>
      <c r="C152" s="29" t="s">
        <v>119</v>
      </c>
      <c r="D152" s="16" t="s">
        <v>62</v>
      </c>
      <c r="E152" s="16">
        <v>3</v>
      </c>
      <c r="F152" s="17" t="s">
        <v>63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4.4">
      <c r="A153" s="29" t="s">
        <v>498</v>
      </c>
      <c r="B153" s="29" t="s">
        <v>58</v>
      </c>
      <c r="C153" s="29" t="s">
        <v>122</v>
      </c>
      <c r="D153" s="16" t="s">
        <v>62</v>
      </c>
      <c r="E153" s="16">
        <v>3</v>
      </c>
      <c r="F153" s="17" t="s">
        <v>63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4.4">
      <c r="A154" s="29" t="s">
        <v>499</v>
      </c>
      <c r="B154" s="29" t="s">
        <v>58</v>
      </c>
      <c r="C154" s="29" t="s">
        <v>131</v>
      </c>
      <c r="D154" s="16" t="s">
        <v>62</v>
      </c>
      <c r="E154" s="16">
        <v>3</v>
      </c>
      <c r="F154" s="17" t="s">
        <v>63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4.4">
      <c r="A155" s="29" t="s">
        <v>500</v>
      </c>
      <c r="B155" s="29" t="s">
        <v>58</v>
      </c>
      <c r="C155" s="29" t="s">
        <v>126</v>
      </c>
      <c r="D155" s="16" t="s">
        <v>62</v>
      </c>
      <c r="E155" s="16">
        <v>3</v>
      </c>
      <c r="F155" s="17" t="s">
        <v>63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3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3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3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3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3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3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3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3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3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3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3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3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3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3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3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3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3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3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3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3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3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3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3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3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3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3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3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3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3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3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3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3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3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3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3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3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3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3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3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3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3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3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3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3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3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3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3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3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3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3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3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3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3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3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3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3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3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3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3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3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3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3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3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3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3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3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3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3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3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3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3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3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3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3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3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3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3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3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3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3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3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3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3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3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3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3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3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3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3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3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3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3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3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3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3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3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3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3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3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3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3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3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3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3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3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3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3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3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3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3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3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3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3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3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3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3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3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3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3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3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3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3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3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3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3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3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3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3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3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3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3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3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3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3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3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3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3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3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3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3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3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3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3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3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3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3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3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3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3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3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3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3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3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3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3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3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3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3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3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3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3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3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3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3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3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3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3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3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3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3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3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3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3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3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3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3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3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3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3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3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3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3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3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3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3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3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3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3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3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3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3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3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3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3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3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3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3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3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3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3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3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3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3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3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3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3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3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3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3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3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3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3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3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3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3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3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3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3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3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3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3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3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3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3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3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3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3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3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3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3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3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3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3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3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3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3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3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3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3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3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3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3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3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3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3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3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3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3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3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3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3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3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3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3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3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3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3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3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3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3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3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3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3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3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3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3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3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3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3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3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3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3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3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3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3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3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3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3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3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3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3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3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3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3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3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3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3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3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3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3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3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3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3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3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3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3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3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3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3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3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3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3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3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3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3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3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3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3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3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3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3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3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3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3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3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3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3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3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3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3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3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3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3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3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3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3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3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3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3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3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3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3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3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3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3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3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3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3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3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3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3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3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3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3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3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3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3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3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3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3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3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3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3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3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3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3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3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3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3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3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3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3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3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3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3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3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3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3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3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3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3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3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3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3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3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3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3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3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3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3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3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3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3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3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3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3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3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3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3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3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3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3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3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3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3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3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3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3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3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3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3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3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3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3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3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3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3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3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3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3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3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3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3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3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3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3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3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3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3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3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3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3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3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3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3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3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3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3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3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3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3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3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3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3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3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3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3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3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3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3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3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3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3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3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3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3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3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3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3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3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3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3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3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3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3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3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3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3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3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3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3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3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3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3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3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3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3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3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3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3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3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3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3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3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3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3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3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3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3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3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3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3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3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3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3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3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3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3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3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3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3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3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3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3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3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3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3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3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3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3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3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3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3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3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3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3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3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3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3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3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3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3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3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3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3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3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3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3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3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3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3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3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3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3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3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3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3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3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3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3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3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3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3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3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3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3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3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3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3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3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3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3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3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3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3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3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3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3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3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3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3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3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3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3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3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3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3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3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3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3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3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3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3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3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3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3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3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3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3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3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3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3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3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3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3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3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3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3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3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3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3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3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3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3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3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3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3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3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3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3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3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3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3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3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3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3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3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3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3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3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3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3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3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3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3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3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3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3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3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3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3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3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3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3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3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3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3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3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3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3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3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3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3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3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3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3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3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3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3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3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3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3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3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3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3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3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3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3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3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3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3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3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3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3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3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3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3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3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3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3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3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3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3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3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3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3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3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3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3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3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3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3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3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3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3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3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3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3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3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3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3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3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3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3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3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3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3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3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3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3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3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3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3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3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3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3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3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3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3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3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3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3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3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3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3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3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3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3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3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3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3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3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3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3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3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3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3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3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3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3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3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3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3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3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3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3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3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3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3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3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3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3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3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3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3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3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3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3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3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3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3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3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3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3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3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3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3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3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3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3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3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3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3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3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3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3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3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3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3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3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3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3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3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3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3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3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3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3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3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3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3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3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3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3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3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3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3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3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3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3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3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3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3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3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3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3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3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3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3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3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3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3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3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3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3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3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3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3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3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3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3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3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3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3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3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3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3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3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3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3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3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3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3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3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3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3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3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3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3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3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3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3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3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3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3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3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3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3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3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3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3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3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3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3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3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3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3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3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3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3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3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3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3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3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3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3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3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3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3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3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3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3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3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3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3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8"/>
  <sheetViews>
    <sheetView topLeftCell="A3" workbookViewId="0">
      <selection activeCell="A15" sqref="A15:XFD2814"/>
    </sheetView>
  </sheetViews>
  <sheetFormatPr defaultColWidth="12.6640625" defaultRowHeight="15.75" customHeight="1"/>
  <cols>
    <col min="1" max="1" width="18.44140625" customWidth="1"/>
    <col min="2" max="2" width="9.77734375" customWidth="1"/>
    <col min="3" max="3" width="37" customWidth="1"/>
    <col min="4" max="4" width="17.109375" customWidth="1"/>
    <col min="5" max="5" width="3.6640625" customWidth="1"/>
    <col min="6" max="6" width="9.6640625" customWidth="1"/>
    <col min="7" max="7" width="9.77734375" customWidth="1"/>
    <col min="8" max="8" width="10.88671875" customWidth="1"/>
    <col min="9" max="9" width="12.109375" customWidth="1"/>
    <col min="10" max="10" width="10.88671875" customWidth="1"/>
    <col min="11" max="11" width="17.88671875" customWidth="1"/>
    <col min="12" max="12" width="16.33203125" customWidth="1"/>
    <col min="13" max="13" width="16.77734375" customWidth="1"/>
    <col min="14" max="14" width="15.33203125" customWidth="1"/>
    <col min="15" max="15" width="21.21875" customWidth="1"/>
    <col min="16" max="16" width="35" customWidth="1"/>
    <col min="17" max="17" width="10.77734375" customWidth="1"/>
    <col min="18" max="18" width="15.33203125" customWidth="1"/>
    <col min="19" max="19" width="11.6640625" customWidth="1"/>
    <col min="20" max="20" width="5.109375" customWidth="1"/>
    <col min="21" max="21" width="8.6640625" customWidth="1"/>
    <col min="22" max="22" width="10.33203125" customWidth="1"/>
    <col min="23" max="23" width="16.33203125" customWidth="1"/>
    <col min="24" max="24" width="16.77734375" customWidth="1"/>
    <col min="25" max="25" width="15.33203125" customWidth="1"/>
    <col min="26" max="26" width="21.21875" customWidth="1"/>
    <col min="27" max="27" width="35" customWidth="1"/>
    <col min="28" max="28" width="10.77734375" customWidth="1"/>
    <col min="29" max="29" width="15.33203125" customWidth="1"/>
    <col min="30" max="30" width="11.6640625" customWidth="1"/>
    <col min="31" max="31" width="5.109375" customWidth="1"/>
    <col min="32" max="32" width="8.6640625" customWidth="1"/>
    <col min="33" max="33" width="10.33203125" customWidth="1"/>
  </cols>
  <sheetData>
    <row r="1" spans="1:33" ht="16.5" customHeight="1">
      <c r="A1" s="20"/>
      <c r="B1" s="20"/>
      <c r="C1" s="20"/>
      <c r="D1" s="21"/>
      <c r="E1" s="21"/>
      <c r="F1" s="21"/>
      <c r="G1" s="21"/>
      <c r="H1" s="21"/>
      <c r="I1" s="21"/>
      <c r="J1" s="21"/>
      <c r="K1" s="21"/>
      <c r="L1" s="135" t="s">
        <v>300</v>
      </c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7" t="s">
        <v>301</v>
      </c>
      <c r="X1" s="136"/>
      <c r="Y1" s="136"/>
      <c r="Z1" s="136"/>
      <c r="AA1" s="136"/>
      <c r="AB1" s="136"/>
      <c r="AC1" s="136"/>
      <c r="AD1" s="136"/>
      <c r="AE1" s="136"/>
      <c r="AF1" s="136"/>
      <c r="AG1" s="136"/>
    </row>
    <row r="2" spans="1:33" ht="27.6">
      <c r="A2" s="20" t="s">
        <v>0</v>
      </c>
      <c r="B2" s="20" t="s">
        <v>2</v>
      </c>
      <c r="C2" s="20" t="s">
        <v>3</v>
      </c>
      <c r="D2" s="24" t="s">
        <v>303</v>
      </c>
      <c r="E2" s="24" t="s">
        <v>304</v>
      </c>
      <c r="F2" s="24" t="s">
        <v>305</v>
      </c>
      <c r="G2" s="24" t="s">
        <v>306</v>
      </c>
      <c r="H2" s="24" t="s">
        <v>308</v>
      </c>
      <c r="I2" s="24" t="s">
        <v>309</v>
      </c>
      <c r="J2" s="24" t="s">
        <v>310</v>
      </c>
      <c r="K2" s="24" t="s">
        <v>311</v>
      </c>
      <c r="L2" s="22" t="s">
        <v>312</v>
      </c>
      <c r="M2" s="22" t="s">
        <v>313</v>
      </c>
      <c r="N2" s="22" t="s">
        <v>314</v>
      </c>
      <c r="O2" s="22" t="s">
        <v>315</v>
      </c>
      <c r="P2" s="22" t="s">
        <v>316</v>
      </c>
      <c r="Q2" s="25" t="s">
        <v>317</v>
      </c>
      <c r="R2" s="25" t="s">
        <v>318</v>
      </c>
      <c r="S2" s="25" t="s">
        <v>319</v>
      </c>
      <c r="T2" s="25" t="s">
        <v>322</v>
      </c>
      <c r="U2" s="23" t="s">
        <v>323</v>
      </c>
      <c r="V2" s="23" t="s">
        <v>324</v>
      </c>
      <c r="W2" s="23" t="s">
        <v>312</v>
      </c>
      <c r="X2" s="23" t="s">
        <v>313</v>
      </c>
      <c r="Y2" s="23" t="s">
        <v>314</v>
      </c>
      <c r="Z2" s="23" t="s">
        <v>315</v>
      </c>
      <c r="AA2" s="23" t="s">
        <v>316</v>
      </c>
      <c r="AB2" s="25" t="s">
        <v>317</v>
      </c>
      <c r="AC2" s="25" t="s">
        <v>318</v>
      </c>
      <c r="AD2" s="25" t="s">
        <v>319</v>
      </c>
      <c r="AE2" s="25" t="s">
        <v>322</v>
      </c>
      <c r="AF2" s="25" t="s">
        <v>323</v>
      </c>
      <c r="AG2" s="25" t="s">
        <v>324</v>
      </c>
    </row>
    <row r="3" spans="1:33" ht="16.5" customHeight="1">
      <c r="A3" s="26" t="s">
        <v>327</v>
      </c>
      <c r="B3" s="26" t="s">
        <v>328</v>
      </c>
      <c r="C3" s="26" t="s">
        <v>330</v>
      </c>
      <c r="D3" s="27">
        <v>1557827</v>
      </c>
      <c r="E3" s="27">
        <v>40</v>
      </c>
      <c r="F3" s="27">
        <v>623131</v>
      </c>
      <c r="G3" s="27">
        <v>2180958</v>
      </c>
      <c r="H3" s="27">
        <v>68245</v>
      </c>
      <c r="I3" s="27">
        <v>0</v>
      </c>
      <c r="J3" s="27">
        <v>27298</v>
      </c>
      <c r="K3" s="27">
        <v>2276500</v>
      </c>
      <c r="L3" s="27">
        <v>53571</v>
      </c>
      <c r="M3" s="27">
        <v>75000</v>
      </c>
      <c r="N3" s="27">
        <v>17857</v>
      </c>
      <c r="O3" s="27">
        <v>25000</v>
      </c>
      <c r="P3" s="27">
        <v>100000</v>
      </c>
      <c r="Q3" s="26">
        <v>70000</v>
      </c>
      <c r="R3" s="26">
        <v>30000</v>
      </c>
      <c r="S3" s="26">
        <v>0</v>
      </c>
      <c r="T3" s="27">
        <f t="shared" si="0"/>
        <v>0</v>
      </c>
      <c r="U3" s="28">
        <v>0.7</v>
      </c>
      <c r="V3" s="28">
        <v>1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f t="shared" si="0"/>
        <v>0</v>
      </c>
      <c r="AF3" s="28">
        <v>0.7</v>
      </c>
      <c r="AG3" s="28">
        <v>1</v>
      </c>
    </row>
    <row r="4" spans="1:33" ht="16.5" customHeight="1">
      <c r="A4" s="26" t="s">
        <v>339</v>
      </c>
      <c r="B4" s="26" t="s">
        <v>328</v>
      </c>
      <c r="C4" s="26" t="s">
        <v>330</v>
      </c>
      <c r="D4" s="27">
        <v>1557827</v>
      </c>
      <c r="E4" s="27">
        <v>40</v>
      </c>
      <c r="F4" s="27">
        <v>623131</v>
      </c>
      <c r="G4" s="27">
        <v>2180958</v>
      </c>
      <c r="H4" s="27">
        <v>68245</v>
      </c>
      <c r="I4" s="27">
        <v>0</v>
      </c>
      <c r="J4" s="27">
        <v>27298</v>
      </c>
      <c r="K4" s="27">
        <v>2276500</v>
      </c>
      <c r="L4" s="27">
        <v>53571</v>
      </c>
      <c r="M4" s="27">
        <v>75000</v>
      </c>
      <c r="N4" s="27">
        <v>17857</v>
      </c>
      <c r="O4" s="27">
        <v>25000</v>
      </c>
      <c r="P4" s="27">
        <v>100000</v>
      </c>
      <c r="Q4" s="26">
        <v>70000</v>
      </c>
      <c r="R4" s="26">
        <v>30000</v>
      </c>
      <c r="S4" s="26">
        <v>0</v>
      </c>
      <c r="T4" s="27">
        <f t="shared" si="0"/>
        <v>0</v>
      </c>
      <c r="U4" s="28">
        <v>0.7</v>
      </c>
      <c r="V4" s="28">
        <v>1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f t="shared" si="0"/>
        <v>0</v>
      </c>
      <c r="AF4" s="28">
        <v>0.7</v>
      </c>
      <c r="AG4" s="28">
        <v>1</v>
      </c>
    </row>
    <row r="5" spans="1:33" ht="16.5" customHeight="1">
      <c r="A5" s="26" t="s">
        <v>341</v>
      </c>
      <c r="B5" s="26" t="s">
        <v>328</v>
      </c>
      <c r="C5" s="26" t="s">
        <v>330</v>
      </c>
      <c r="D5" s="27">
        <v>1557827</v>
      </c>
      <c r="E5" s="27">
        <v>40</v>
      </c>
      <c r="F5" s="27">
        <v>623131</v>
      </c>
      <c r="G5" s="27">
        <v>2180958</v>
      </c>
      <c r="H5" s="27">
        <v>68245</v>
      </c>
      <c r="I5" s="27">
        <v>0</v>
      </c>
      <c r="J5" s="27">
        <v>27298</v>
      </c>
      <c r="K5" s="27">
        <v>2276500</v>
      </c>
      <c r="L5" s="27">
        <v>53571</v>
      </c>
      <c r="M5" s="27">
        <v>75000</v>
      </c>
      <c r="N5" s="27">
        <v>17857</v>
      </c>
      <c r="O5" s="27">
        <v>25000</v>
      </c>
      <c r="P5" s="27">
        <v>100000</v>
      </c>
      <c r="Q5" s="26">
        <v>70000</v>
      </c>
      <c r="R5" s="26">
        <v>30000</v>
      </c>
      <c r="S5" s="26">
        <v>0</v>
      </c>
      <c r="T5" s="27">
        <f t="shared" si="0"/>
        <v>0</v>
      </c>
      <c r="U5" s="28">
        <v>0.7</v>
      </c>
      <c r="V5" s="28">
        <v>1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f t="shared" si="0"/>
        <v>0</v>
      </c>
      <c r="AF5" s="28">
        <v>0.7</v>
      </c>
      <c r="AG5" s="28">
        <v>1</v>
      </c>
    </row>
    <row r="6" spans="1:33" ht="16.5" customHeight="1">
      <c r="A6" s="26" t="s">
        <v>346</v>
      </c>
      <c r="B6" s="26" t="s">
        <v>328</v>
      </c>
      <c r="C6" s="26" t="s">
        <v>330</v>
      </c>
      <c r="D6" s="27">
        <v>1557827</v>
      </c>
      <c r="E6" s="27">
        <v>40</v>
      </c>
      <c r="F6" s="27">
        <v>623131</v>
      </c>
      <c r="G6" s="27">
        <v>2180958</v>
      </c>
      <c r="H6" s="27">
        <v>68245</v>
      </c>
      <c r="I6" s="27">
        <v>0</v>
      </c>
      <c r="J6" s="27">
        <v>27298</v>
      </c>
      <c r="K6" s="27">
        <v>2276500</v>
      </c>
      <c r="L6" s="27">
        <v>53571</v>
      </c>
      <c r="M6" s="27">
        <v>75000</v>
      </c>
      <c r="N6" s="27">
        <v>17857</v>
      </c>
      <c r="O6" s="27">
        <v>25000</v>
      </c>
      <c r="P6" s="27">
        <v>100000</v>
      </c>
      <c r="Q6" s="26">
        <v>70000</v>
      </c>
      <c r="R6" s="26">
        <v>30000</v>
      </c>
      <c r="S6" s="26">
        <v>0</v>
      </c>
      <c r="T6" s="27">
        <f t="shared" si="0"/>
        <v>0</v>
      </c>
      <c r="U6" s="28">
        <v>0.7</v>
      </c>
      <c r="V6" s="28">
        <v>1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26">
        <v>0</v>
      </c>
      <c r="AE6" s="26">
        <f t="shared" si="0"/>
        <v>0</v>
      </c>
      <c r="AF6" s="28">
        <v>0.7</v>
      </c>
      <c r="AG6" s="28">
        <v>1</v>
      </c>
    </row>
    <row r="7" spans="1:33" ht="16.5" customHeight="1">
      <c r="A7" s="26" t="s">
        <v>348</v>
      </c>
      <c r="B7" s="26" t="s">
        <v>328</v>
      </c>
      <c r="C7" s="26" t="s">
        <v>330</v>
      </c>
      <c r="D7" s="27">
        <v>1557827</v>
      </c>
      <c r="E7" s="27">
        <v>40</v>
      </c>
      <c r="F7" s="27">
        <v>623131</v>
      </c>
      <c r="G7" s="27">
        <v>2180958</v>
      </c>
      <c r="H7" s="27">
        <v>68245</v>
      </c>
      <c r="I7" s="27">
        <v>0</v>
      </c>
      <c r="J7" s="27">
        <v>27298</v>
      </c>
      <c r="K7" s="27">
        <v>2276500</v>
      </c>
      <c r="L7" s="27">
        <v>53571</v>
      </c>
      <c r="M7" s="27">
        <v>75000</v>
      </c>
      <c r="N7" s="27">
        <v>17857</v>
      </c>
      <c r="O7" s="27">
        <v>25000</v>
      </c>
      <c r="P7" s="27">
        <v>100000</v>
      </c>
      <c r="Q7" s="26">
        <v>70000</v>
      </c>
      <c r="R7" s="26">
        <v>30000</v>
      </c>
      <c r="S7" s="26">
        <v>0</v>
      </c>
      <c r="T7" s="27">
        <f t="shared" si="0"/>
        <v>0</v>
      </c>
      <c r="U7" s="28">
        <v>0.7</v>
      </c>
      <c r="V7" s="28">
        <v>1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f t="shared" si="0"/>
        <v>0</v>
      </c>
      <c r="AF7" s="28">
        <v>0.7</v>
      </c>
      <c r="AG7" s="28">
        <v>1</v>
      </c>
    </row>
    <row r="8" spans="1:33" ht="16.5" customHeight="1">
      <c r="A8" s="26" t="s">
        <v>351</v>
      </c>
      <c r="B8" s="26" t="s">
        <v>328</v>
      </c>
      <c r="C8" s="26" t="s">
        <v>352</v>
      </c>
      <c r="D8" s="27">
        <v>1572843</v>
      </c>
      <c r="E8" s="27">
        <v>40</v>
      </c>
      <c r="F8" s="27">
        <v>629137</v>
      </c>
      <c r="G8" s="27">
        <v>2201980</v>
      </c>
      <c r="H8" s="27">
        <v>68943</v>
      </c>
      <c r="I8" s="27">
        <v>0</v>
      </c>
      <c r="J8" s="27">
        <v>27577</v>
      </c>
      <c r="K8" s="27">
        <v>2298500</v>
      </c>
      <c r="L8" s="27">
        <v>53571</v>
      </c>
      <c r="M8" s="27">
        <v>75000</v>
      </c>
      <c r="N8" s="27">
        <v>17857</v>
      </c>
      <c r="O8" s="27">
        <v>25000</v>
      </c>
      <c r="P8" s="27">
        <v>100000</v>
      </c>
      <c r="Q8" s="26">
        <v>70000</v>
      </c>
      <c r="R8" s="26">
        <v>30000</v>
      </c>
      <c r="S8" s="26">
        <v>0</v>
      </c>
      <c r="T8" s="27">
        <f t="shared" si="0"/>
        <v>0</v>
      </c>
      <c r="U8" s="28">
        <v>0.7</v>
      </c>
      <c r="V8" s="28">
        <v>1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f t="shared" si="0"/>
        <v>0</v>
      </c>
      <c r="AF8" s="28">
        <v>0.7</v>
      </c>
      <c r="AG8" s="28">
        <v>1</v>
      </c>
    </row>
    <row r="9" spans="1:33" ht="16.5" customHeight="1">
      <c r="A9" s="26" t="s">
        <v>356</v>
      </c>
      <c r="B9" s="26" t="s">
        <v>328</v>
      </c>
      <c r="C9" s="26" t="s">
        <v>352</v>
      </c>
      <c r="D9" s="27">
        <v>1572843</v>
      </c>
      <c r="E9" s="27">
        <v>40</v>
      </c>
      <c r="F9" s="27">
        <v>629137</v>
      </c>
      <c r="G9" s="27">
        <v>2201980</v>
      </c>
      <c r="H9" s="27">
        <v>68943</v>
      </c>
      <c r="I9" s="27">
        <v>0</v>
      </c>
      <c r="J9" s="27">
        <v>27577</v>
      </c>
      <c r="K9" s="27">
        <v>2298500</v>
      </c>
      <c r="L9" s="27">
        <v>53571</v>
      </c>
      <c r="M9" s="27">
        <v>75000</v>
      </c>
      <c r="N9" s="27">
        <v>17857</v>
      </c>
      <c r="O9" s="27">
        <v>25000</v>
      </c>
      <c r="P9" s="27">
        <v>100000</v>
      </c>
      <c r="Q9" s="26">
        <v>70000</v>
      </c>
      <c r="R9" s="26">
        <v>30000</v>
      </c>
      <c r="S9" s="26">
        <v>0</v>
      </c>
      <c r="T9" s="27">
        <f t="shared" si="0"/>
        <v>0</v>
      </c>
      <c r="U9" s="28">
        <v>0.7</v>
      </c>
      <c r="V9" s="28">
        <v>1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f t="shared" si="0"/>
        <v>0</v>
      </c>
      <c r="AF9" s="28">
        <v>0.7</v>
      </c>
      <c r="AG9" s="28">
        <v>1</v>
      </c>
    </row>
    <row r="10" spans="1:33" ht="16.5" customHeight="1">
      <c r="A10" s="26" t="s">
        <v>358</v>
      </c>
      <c r="B10" s="26" t="s">
        <v>328</v>
      </c>
      <c r="C10" s="26" t="s">
        <v>352</v>
      </c>
      <c r="D10" s="27">
        <v>1572843</v>
      </c>
      <c r="E10" s="27">
        <v>40</v>
      </c>
      <c r="F10" s="27">
        <v>629137</v>
      </c>
      <c r="G10" s="27">
        <v>2201980</v>
      </c>
      <c r="H10" s="27">
        <v>68943</v>
      </c>
      <c r="I10" s="27">
        <v>0</v>
      </c>
      <c r="J10" s="27">
        <v>27577</v>
      </c>
      <c r="K10" s="27">
        <v>2298500</v>
      </c>
      <c r="L10" s="27">
        <v>53571</v>
      </c>
      <c r="M10" s="27">
        <v>75000</v>
      </c>
      <c r="N10" s="27">
        <v>17857</v>
      </c>
      <c r="O10" s="27">
        <v>25000</v>
      </c>
      <c r="P10" s="27">
        <v>100000</v>
      </c>
      <c r="Q10" s="26">
        <v>70000</v>
      </c>
      <c r="R10" s="26">
        <v>30000</v>
      </c>
      <c r="S10" s="26">
        <v>0</v>
      </c>
      <c r="T10" s="27">
        <f t="shared" si="0"/>
        <v>0</v>
      </c>
      <c r="U10" s="28">
        <v>0.7</v>
      </c>
      <c r="V10" s="28">
        <v>1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f t="shared" si="0"/>
        <v>0</v>
      </c>
      <c r="AF10" s="28">
        <v>0.7</v>
      </c>
      <c r="AG10" s="28">
        <v>1</v>
      </c>
    </row>
    <row r="11" spans="1:33" ht="16.5" customHeight="1">
      <c r="A11" s="26" t="s">
        <v>362</v>
      </c>
      <c r="B11" s="26" t="s">
        <v>328</v>
      </c>
      <c r="C11" s="26" t="s">
        <v>352</v>
      </c>
      <c r="D11" s="27">
        <v>1572843</v>
      </c>
      <c r="E11" s="27">
        <v>40</v>
      </c>
      <c r="F11" s="27">
        <v>629137</v>
      </c>
      <c r="G11" s="27">
        <v>2201980</v>
      </c>
      <c r="H11" s="27">
        <v>68943</v>
      </c>
      <c r="I11" s="27">
        <v>0</v>
      </c>
      <c r="J11" s="27">
        <v>27577</v>
      </c>
      <c r="K11" s="27">
        <v>2298500</v>
      </c>
      <c r="L11" s="27">
        <v>53571</v>
      </c>
      <c r="M11" s="27">
        <v>75000</v>
      </c>
      <c r="N11" s="27">
        <v>17857</v>
      </c>
      <c r="O11" s="27">
        <v>25000</v>
      </c>
      <c r="P11" s="27">
        <v>100000</v>
      </c>
      <c r="Q11" s="26">
        <v>70000</v>
      </c>
      <c r="R11" s="26">
        <v>30000</v>
      </c>
      <c r="S11" s="26">
        <v>0</v>
      </c>
      <c r="T11" s="27">
        <f t="shared" si="0"/>
        <v>0</v>
      </c>
      <c r="U11" s="28">
        <v>0.7</v>
      </c>
      <c r="V11" s="28">
        <v>1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f t="shared" si="0"/>
        <v>0</v>
      </c>
      <c r="AF11" s="28">
        <v>0.7</v>
      </c>
      <c r="AG11" s="28">
        <v>1</v>
      </c>
    </row>
    <row r="12" spans="1:33" ht="16.5" customHeight="1">
      <c r="A12" s="26" t="s">
        <v>366</v>
      </c>
      <c r="B12" s="26" t="s">
        <v>328</v>
      </c>
      <c r="C12" s="26" t="s">
        <v>352</v>
      </c>
      <c r="D12" s="27">
        <v>1572843</v>
      </c>
      <c r="E12" s="27">
        <v>40</v>
      </c>
      <c r="F12" s="27">
        <v>629137</v>
      </c>
      <c r="G12" s="27">
        <v>2201980</v>
      </c>
      <c r="H12" s="27">
        <v>68943</v>
      </c>
      <c r="I12" s="27">
        <v>0</v>
      </c>
      <c r="J12" s="27">
        <v>27577</v>
      </c>
      <c r="K12" s="27">
        <v>2298500</v>
      </c>
      <c r="L12" s="27">
        <v>53571</v>
      </c>
      <c r="M12" s="27">
        <v>75000</v>
      </c>
      <c r="N12" s="27">
        <v>17857</v>
      </c>
      <c r="O12" s="27">
        <v>25000</v>
      </c>
      <c r="P12" s="27">
        <v>100000</v>
      </c>
      <c r="Q12" s="26">
        <v>70000</v>
      </c>
      <c r="R12" s="26">
        <v>30000</v>
      </c>
      <c r="S12" s="26">
        <v>0</v>
      </c>
      <c r="T12" s="27">
        <f t="shared" si="0"/>
        <v>0</v>
      </c>
      <c r="U12" s="28">
        <v>0.7</v>
      </c>
      <c r="V12" s="28">
        <v>1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>
        <f t="shared" si="0"/>
        <v>0</v>
      </c>
      <c r="AF12" s="28">
        <v>0.7</v>
      </c>
      <c r="AG12" s="28">
        <v>1</v>
      </c>
    </row>
    <row r="13" spans="1:33" ht="16.5" customHeight="1">
      <c r="A13" s="26" t="s">
        <v>367</v>
      </c>
      <c r="B13" s="26" t="s">
        <v>328</v>
      </c>
      <c r="C13" s="26" t="s">
        <v>368</v>
      </c>
      <c r="D13" s="27">
        <v>1707343</v>
      </c>
      <c r="E13" s="27">
        <v>40</v>
      </c>
      <c r="F13" s="27">
        <v>682937</v>
      </c>
      <c r="G13" s="27">
        <v>2390281</v>
      </c>
      <c r="H13" s="27">
        <v>74800</v>
      </c>
      <c r="I13" s="27">
        <v>0</v>
      </c>
      <c r="J13" s="27">
        <v>29920</v>
      </c>
      <c r="K13" s="27">
        <v>2495000</v>
      </c>
      <c r="L13" s="27">
        <v>89286</v>
      </c>
      <c r="M13" s="27">
        <v>125000</v>
      </c>
      <c r="N13" s="27">
        <v>17857</v>
      </c>
      <c r="O13" s="27">
        <v>25000</v>
      </c>
      <c r="P13" s="27">
        <v>150000</v>
      </c>
      <c r="Q13" s="26">
        <v>120000</v>
      </c>
      <c r="R13" s="26">
        <v>30000</v>
      </c>
      <c r="S13" s="26">
        <v>0</v>
      </c>
      <c r="T13" s="27">
        <f t="shared" si="0"/>
        <v>0</v>
      </c>
      <c r="U13" s="28">
        <v>0.7</v>
      </c>
      <c r="V13" s="28">
        <v>1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f t="shared" si="0"/>
        <v>0</v>
      </c>
      <c r="AF13" s="28">
        <v>0.7</v>
      </c>
      <c r="AG13" s="28">
        <v>1</v>
      </c>
    </row>
    <row r="14" spans="1:33" ht="16.5" customHeight="1">
      <c r="A14" s="26" t="s">
        <v>371</v>
      </c>
      <c r="B14" s="26" t="s">
        <v>328</v>
      </c>
      <c r="C14" s="26" t="s">
        <v>368</v>
      </c>
      <c r="D14" s="27">
        <v>1707343</v>
      </c>
      <c r="E14" s="27">
        <v>40</v>
      </c>
      <c r="F14" s="27">
        <v>682937</v>
      </c>
      <c r="G14" s="27">
        <v>2390281</v>
      </c>
      <c r="H14" s="27">
        <v>74800</v>
      </c>
      <c r="I14" s="27">
        <v>0</v>
      </c>
      <c r="J14" s="27">
        <v>29920</v>
      </c>
      <c r="K14" s="27">
        <v>2495000</v>
      </c>
      <c r="L14" s="27">
        <v>89286</v>
      </c>
      <c r="M14" s="27">
        <v>125000</v>
      </c>
      <c r="N14" s="27">
        <v>17857</v>
      </c>
      <c r="O14" s="27">
        <v>25000</v>
      </c>
      <c r="P14" s="27">
        <v>150000</v>
      </c>
      <c r="Q14" s="26">
        <v>120000</v>
      </c>
      <c r="R14" s="26">
        <v>30000</v>
      </c>
      <c r="S14" s="26">
        <v>0</v>
      </c>
      <c r="T14" s="27">
        <f t="shared" si="0"/>
        <v>0</v>
      </c>
      <c r="U14" s="28">
        <v>0.7</v>
      </c>
      <c r="V14" s="28">
        <v>1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f t="shared" si="0"/>
        <v>0</v>
      </c>
      <c r="AF14" s="28">
        <v>0.7</v>
      </c>
      <c r="AG14" s="28">
        <v>1</v>
      </c>
    </row>
    <row r="15" spans="1:33" ht="16.5" customHeight="1">
      <c r="A15" s="26" t="s">
        <v>791</v>
      </c>
      <c r="B15" s="26" t="s">
        <v>593</v>
      </c>
      <c r="C15" s="26" t="s">
        <v>788</v>
      </c>
      <c r="D15" s="27">
        <v>1105728</v>
      </c>
      <c r="E15" s="27">
        <v>40</v>
      </c>
      <c r="F15" s="27">
        <v>442291</v>
      </c>
      <c r="G15" s="27">
        <v>1548019</v>
      </c>
      <c r="H15" s="27">
        <v>67487</v>
      </c>
      <c r="I15" s="27">
        <v>0</v>
      </c>
      <c r="J15" s="27">
        <v>26995</v>
      </c>
      <c r="K15" s="27">
        <v>1642501</v>
      </c>
      <c r="L15" s="27">
        <v>14286</v>
      </c>
      <c r="M15" s="27">
        <v>20000</v>
      </c>
      <c r="N15" s="27">
        <v>0</v>
      </c>
      <c r="O15" s="27">
        <v>0</v>
      </c>
      <c r="P15" s="27">
        <v>20000</v>
      </c>
      <c r="Q15" s="31">
        <v>10000</v>
      </c>
      <c r="R15" s="31">
        <v>10000</v>
      </c>
      <c r="S15" s="31">
        <v>0</v>
      </c>
      <c r="T15" s="27">
        <f t="shared" si="0"/>
        <v>0</v>
      </c>
      <c r="U15" s="28">
        <v>0.7</v>
      </c>
      <c r="V15" s="28">
        <v>1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f t="shared" si="0"/>
        <v>0</v>
      </c>
      <c r="AF15" s="28">
        <v>0.7</v>
      </c>
      <c r="AG15" s="28">
        <v>1</v>
      </c>
    </row>
    <row r="16" spans="1:33" ht="16.5" customHeight="1">
      <c r="A16" s="26" t="s">
        <v>792</v>
      </c>
      <c r="B16" s="26" t="s">
        <v>593</v>
      </c>
      <c r="C16" s="26" t="s">
        <v>719</v>
      </c>
      <c r="D16" s="27">
        <v>1211983</v>
      </c>
      <c r="E16" s="27">
        <v>40</v>
      </c>
      <c r="F16" s="27">
        <v>484793</v>
      </c>
      <c r="G16" s="27">
        <v>1696777</v>
      </c>
      <c r="H16" s="27">
        <v>73374</v>
      </c>
      <c r="I16" s="27">
        <v>0</v>
      </c>
      <c r="J16" s="27">
        <v>29350</v>
      </c>
      <c r="K16" s="27">
        <v>1799501</v>
      </c>
      <c r="L16" s="27">
        <v>14286</v>
      </c>
      <c r="M16" s="27">
        <v>20000</v>
      </c>
      <c r="N16" s="27">
        <v>0</v>
      </c>
      <c r="O16" s="27">
        <v>0</v>
      </c>
      <c r="P16" s="27">
        <v>20000</v>
      </c>
      <c r="Q16" s="31">
        <v>10000</v>
      </c>
      <c r="R16" s="31">
        <v>10000</v>
      </c>
      <c r="S16" s="31">
        <v>0</v>
      </c>
      <c r="T16" s="27">
        <f t="shared" si="0"/>
        <v>0</v>
      </c>
      <c r="U16" s="28">
        <v>0.7</v>
      </c>
      <c r="V16" s="28">
        <v>1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f t="shared" si="0"/>
        <v>0</v>
      </c>
      <c r="AF16" s="28">
        <v>0.7</v>
      </c>
      <c r="AG16" s="28">
        <v>1</v>
      </c>
    </row>
    <row r="17" spans="1:33" ht="16.5" customHeight="1">
      <c r="A17" s="26" t="s">
        <v>793</v>
      </c>
      <c r="B17" s="26" t="s">
        <v>593</v>
      </c>
      <c r="C17" s="26" t="s">
        <v>719</v>
      </c>
      <c r="D17" s="27">
        <v>1211983</v>
      </c>
      <c r="E17" s="27">
        <v>40</v>
      </c>
      <c r="F17" s="27">
        <v>484793</v>
      </c>
      <c r="G17" s="27">
        <v>1696777</v>
      </c>
      <c r="H17" s="27">
        <v>73374</v>
      </c>
      <c r="I17" s="27">
        <v>0</v>
      </c>
      <c r="J17" s="27">
        <v>29350</v>
      </c>
      <c r="K17" s="27">
        <v>1799501</v>
      </c>
      <c r="L17" s="27">
        <v>14286</v>
      </c>
      <c r="M17" s="27">
        <v>20000</v>
      </c>
      <c r="N17" s="27">
        <v>0</v>
      </c>
      <c r="O17" s="27">
        <v>0</v>
      </c>
      <c r="P17" s="27">
        <v>20000</v>
      </c>
      <c r="Q17" s="31">
        <v>10000</v>
      </c>
      <c r="R17" s="31">
        <v>10000</v>
      </c>
      <c r="S17" s="31">
        <v>0</v>
      </c>
      <c r="T17" s="27">
        <f t="shared" si="0"/>
        <v>0</v>
      </c>
      <c r="U17" s="28">
        <v>0.7</v>
      </c>
      <c r="V17" s="28">
        <v>1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f t="shared" si="0"/>
        <v>0</v>
      </c>
      <c r="AF17" s="28">
        <v>0.7</v>
      </c>
      <c r="AG17" s="28">
        <v>1</v>
      </c>
    </row>
    <row r="18" spans="1:33" ht="16.5" customHeight="1">
      <c r="A18" s="26" t="s">
        <v>795</v>
      </c>
      <c r="B18" s="26" t="s">
        <v>593</v>
      </c>
      <c r="C18" s="26" t="s">
        <v>719</v>
      </c>
      <c r="D18" s="27">
        <v>1211983</v>
      </c>
      <c r="E18" s="27">
        <v>40</v>
      </c>
      <c r="F18" s="27">
        <v>484793</v>
      </c>
      <c r="G18" s="27">
        <v>1696777</v>
      </c>
      <c r="H18" s="27">
        <v>73374</v>
      </c>
      <c r="I18" s="27">
        <v>0</v>
      </c>
      <c r="J18" s="27">
        <v>29350</v>
      </c>
      <c r="K18" s="27">
        <v>1799501</v>
      </c>
      <c r="L18" s="27">
        <v>14286</v>
      </c>
      <c r="M18" s="27">
        <v>20000</v>
      </c>
      <c r="N18" s="27">
        <v>0</v>
      </c>
      <c r="O18" s="27">
        <v>0</v>
      </c>
      <c r="P18" s="27">
        <v>20000</v>
      </c>
      <c r="Q18" s="31">
        <v>10000</v>
      </c>
      <c r="R18" s="31">
        <v>10000</v>
      </c>
      <c r="S18" s="31">
        <v>0</v>
      </c>
      <c r="T18" s="27">
        <f t="shared" si="0"/>
        <v>0</v>
      </c>
      <c r="U18" s="28">
        <v>0.7</v>
      </c>
      <c r="V18" s="28">
        <v>1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f t="shared" si="0"/>
        <v>0</v>
      </c>
      <c r="AF18" s="28">
        <v>0.7</v>
      </c>
      <c r="AG18" s="28">
        <v>1</v>
      </c>
    </row>
  </sheetData>
  <mergeCells count="2">
    <mergeCell ref="L1:V1"/>
    <mergeCell ref="W1:A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0"/>
  <sheetViews>
    <sheetView workbookViewId="0">
      <selection activeCell="A8" sqref="A8:XFD154"/>
    </sheetView>
  </sheetViews>
  <sheetFormatPr defaultColWidth="12.6640625" defaultRowHeight="15.75" customHeight="1"/>
  <cols>
    <col min="1" max="1" width="18.6640625" customWidth="1"/>
    <col min="2" max="2" width="9.21875" customWidth="1"/>
    <col min="3" max="3" width="39.88671875" customWidth="1"/>
    <col min="4" max="4" width="17.109375" customWidth="1"/>
    <col min="5" max="5" width="3.6640625" customWidth="1"/>
    <col min="6" max="6" width="9.6640625" customWidth="1"/>
    <col min="7" max="7" width="9.77734375" customWidth="1"/>
    <col min="8" max="8" width="10.88671875" customWidth="1"/>
    <col min="9" max="9" width="12.109375" customWidth="1"/>
    <col min="10" max="10" width="10.88671875" customWidth="1"/>
    <col min="11" max="11" width="17.88671875" customWidth="1"/>
    <col min="12" max="12" width="16.33203125" customWidth="1"/>
    <col min="13" max="13" width="16.77734375" customWidth="1"/>
    <col min="14" max="14" width="15.33203125" customWidth="1"/>
    <col min="15" max="15" width="21.21875" customWidth="1"/>
    <col min="16" max="16" width="35" customWidth="1"/>
    <col min="17" max="17" width="10.77734375" customWidth="1"/>
    <col min="18" max="18" width="15.33203125" customWidth="1"/>
    <col min="19" max="19" width="11.6640625" customWidth="1"/>
    <col min="20" max="20" width="5.109375" customWidth="1"/>
    <col min="21" max="21" width="8.6640625" customWidth="1"/>
    <col min="22" max="22" width="10.33203125" customWidth="1"/>
    <col min="23" max="23" width="16.33203125" customWidth="1"/>
    <col min="24" max="24" width="16.77734375" customWidth="1"/>
    <col min="25" max="25" width="15.33203125" customWidth="1"/>
    <col min="26" max="26" width="21.21875" customWidth="1"/>
    <col min="27" max="27" width="35" customWidth="1"/>
    <col min="28" max="28" width="10.77734375" customWidth="1"/>
    <col min="29" max="29" width="15.33203125" customWidth="1"/>
    <col min="30" max="30" width="11.6640625" customWidth="1"/>
    <col min="31" max="31" width="5.109375" customWidth="1"/>
    <col min="32" max="32" width="8.6640625" customWidth="1"/>
    <col min="33" max="33" width="10.33203125" customWidth="1"/>
  </cols>
  <sheetData>
    <row r="1" spans="1:33">
      <c r="A1" s="20"/>
      <c r="B1" s="20"/>
      <c r="C1" s="20"/>
      <c r="D1" s="21"/>
      <c r="E1" s="21"/>
      <c r="F1" s="21"/>
      <c r="G1" s="21"/>
      <c r="H1" s="21"/>
      <c r="I1" s="21"/>
      <c r="J1" s="21"/>
      <c r="K1" s="21"/>
      <c r="L1" s="135" t="s">
        <v>300</v>
      </c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7" t="s">
        <v>301</v>
      </c>
      <c r="X1" s="136"/>
      <c r="Y1" s="136"/>
      <c r="Z1" s="136"/>
      <c r="AA1" s="136"/>
      <c r="AB1" s="136"/>
      <c r="AC1" s="136"/>
      <c r="AD1" s="136"/>
      <c r="AE1" s="136"/>
      <c r="AF1" s="136"/>
      <c r="AG1" s="136"/>
    </row>
    <row r="2" spans="1:33">
      <c r="A2" s="20" t="s">
        <v>0</v>
      </c>
      <c r="B2" s="20" t="s">
        <v>2</v>
      </c>
      <c r="C2" s="20" t="s">
        <v>3</v>
      </c>
      <c r="D2" s="24" t="s">
        <v>303</v>
      </c>
      <c r="E2" s="24" t="s">
        <v>304</v>
      </c>
      <c r="F2" s="24" t="s">
        <v>305</v>
      </c>
      <c r="G2" s="24" t="s">
        <v>306</v>
      </c>
      <c r="H2" s="24" t="s">
        <v>308</v>
      </c>
      <c r="I2" s="24" t="s">
        <v>309</v>
      </c>
      <c r="J2" s="24" t="s">
        <v>310</v>
      </c>
      <c r="K2" s="24" t="s">
        <v>311</v>
      </c>
      <c r="L2" s="22" t="s">
        <v>312</v>
      </c>
      <c r="M2" s="22" t="s">
        <v>313</v>
      </c>
      <c r="N2" s="22" t="s">
        <v>314</v>
      </c>
      <c r="O2" s="22" t="s">
        <v>315</v>
      </c>
      <c r="P2" s="22" t="s">
        <v>316</v>
      </c>
      <c r="Q2" s="25" t="s">
        <v>317</v>
      </c>
      <c r="R2" s="25" t="s">
        <v>318</v>
      </c>
      <c r="S2" s="25" t="s">
        <v>319</v>
      </c>
      <c r="T2" s="25" t="s">
        <v>322</v>
      </c>
      <c r="U2" s="23" t="s">
        <v>323</v>
      </c>
      <c r="V2" s="23" t="s">
        <v>324</v>
      </c>
      <c r="W2" s="23" t="s">
        <v>312</v>
      </c>
      <c r="X2" s="23" t="s">
        <v>313</v>
      </c>
      <c r="Y2" s="23" t="s">
        <v>314</v>
      </c>
      <c r="Z2" s="23" t="s">
        <v>315</v>
      </c>
      <c r="AA2" s="23" t="s">
        <v>316</v>
      </c>
      <c r="AB2" s="25" t="s">
        <v>317</v>
      </c>
      <c r="AC2" s="25" t="s">
        <v>318</v>
      </c>
      <c r="AD2" s="25" t="s">
        <v>319</v>
      </c>
      <c r="AE2" s="25" t="s">
        <v>322</v>
      </c>
      <c r="AF2" s="25" t="s">
        <v>323</v>
      </c>
      <c r="AG2" s="25" t="s">
        <v>324</v>
      </c>
    </row>
    <row r="3" spans="1:33" ht="15.75" customHeight="1">
      <c r="A3" s="26" t="s">
        <v>268</v>
      </c>
      <c r="B3" s="26" t="s">
        <v>74</v>
      </c>
      <c r="C3" s="26" t="s">
        <v>267</v>
      </c>
      <c r="D3" s="26">
        <v>669909</v>
      </c>
      <c r="E3" s="26">
        <v>18</v>
      </c>
      <c r="F3" s="26">
        <v>120584</v>
      </c>
      <c r="G3" s="26">
        <v>790493</v>
      </c>
      <c r="H3" s="26">
        <v>0</v>
      </c>
      <c r="I3" s="26">
        <v>28820</v>
      </c>
      <c r="J3" s="26">
        <v>5188</v>
      </c>
      <c r="K3" s="26">
        <v>824500</v>
      </c>
      <c r="L3" s="26">
        <v>46610</v>
      </c>
      <c r="M3" s="26">
        <v>55000</v>
      </c>
      <c r="N3" s="26">
        <v>0</v>
      </c>
      <c r="O3" s="26">
        <v>0</v>
      </c>
      <c r="P3" s="26">
        <f t="shared" ref="P3:P10" si="0">M3+O3</f>
        <v>55000</v>
      </c>
      <c r="Q3" s="26">
        <v>35000</v>
      </c>
      <c r="R3" s="26">
        <v>20000</v>
      </c>
      <c r="S3" s="26">
        <v>0</v>
      </c>
      <c r="T3" s="26">
        <f t="shared" ref="T3:T10" si="1">P3-SUM(Q3:S3)</f>
        <v>0</v>
      </c>
      <c r="U3" s="28">
        <v>0.7</v>
      </c>
      <c r="V3" s="28">
        <v>1</v>
      </c>
      <c r="W3" s="26">
        <v>0</v>
      </c>
      <c r="X3" s="26">
        <v>0</v>
      </c>
      <c r="Y3" s="26">
        <v>0</v>
      </c>
      <c r="Z3" s="26">
        <v>0</v>
      </c>
      <c r="AA3" s="26">
        <f t="shared" ref="AA3:AA10" si="2">X3+Z3</f>
        <v>0</v>
      </c>
      <c r="AB3" s="32">
        <v>0</v>
      </c>
      <c r="AC3" s="32">
        <v>0</v>
      </c>
      <c r="AD3" s="32">
        <v>0</v>
      </c>
      <c r="AE3" s="26">
        <f t="shared" ref="AE3:AE10" si="3">AA3-SUM(AB3:AD3)</f>
        <v>0</v>
      </c>
      <c r="AF3" s="28">
        <v>0.7</v>
      </c>
      <c r="AG3" s="28">
        <v>1</v>
      </c>
    </row>
    <row r="4" spans="1:33" ht="15.75" customHeight="1">
      <c r="A4" s="26" t="s">
        <v>269</v>
      </c>
      <c r="B4" s="26" t="s">
        <v>74</v>
      </c>
      <c r="C4" s="26" t="s">
        <v>271</v>
      </c>
      <c r="D4" s="26">
        <v>693517</v>
      </c>
      <c r="E4" s="26">
        <v>18</v>
      </c>
      <c r="F4" s="26">
        <v>124833</v>
      </c>
      <c r="G4" s="26">
        <v>818350</v>
      </c>
      <c r="H4" s="26">
        <v>0</v>
      </c>
      <c r="I4" s="26">
        <v>29788</v>
      </c>
      <c r="J4" s="26">
        <v>5362</v>
      </c>
      <c r="K4" s="26">
        <v>853500</v>
      </c>
      <c r="L4" s="26">
        <v>46610</v>
      </c>
      <c r="M4" s="26">
        <v>55000</v>
      </c>
      <c r="N4" s="26">
        <v>0</v>
      </c>
      <c r="O4" s="26">
        <v>0</v>
      </c>
      <c r="P4" s="26">
        <f t="shared" si="0"/>
        <v>55000</v>
      </c>
      <c r="Q4" s="26">
        <v>35000</v>
      </c>
      <c r="R4" s="26">
        <v>20000</v>
      </c>
      <c r="S4" s="26">
        <v>0</v>
      </c>
      <c r="T4" s="26">
        <f t="shared" si="1"/>
        <v>0</v>
      </c>
      <c r="U4" s="28">
        <v>0.7</v>
      </c>
      <c r="V4" s="28">
        <v>1</v>
      </c>
      <c r="W4" s="26">
        <v>0</v>
      </c>
      <c r="X4" s="26">
        <v>0</v>
      </c>
      <c r="Y4" s="26">
        <v>0</v>
      </c>
      <c r="Z4" s="26">
        <v>0</v>
      </c>
      <c r="AA4" s="26">
        <f t="shared" si="2"/>
        <v>0</v>
      </c>
      <c r="AB4" s="32">
        <v>0</v>
      </c>
      <c r="AC4" s="32">
        <v>0</v>
      </c>
      <c r="AD4" s="32">
        <v>0</v>
      </c>
      <c r="AE4" s="26">
        <f t="shared" si="3"/>
        <v>0</v>
      </c>
      <c r="AF4" s="28">
        <v>0.7</v>
      </c>
      <c r="AG4" s="28">
        <v>1</v>
      </c>
    </row>
    <row r="5" spans="1:33" ht="15.75" customHeight="1">
      <c r="A5" s="26" t="s">
        <v>273</v>
      </c>
      <c r="B5" s="26" t="s">
        <v>74</v>
      </c>
      <c r="C5" s="26" t="s">
        <v>271</v>
      </c>
      <c r="D5" s="26">
        <v>693517</v>
      </c>
      <c r="E5" s="26">
        <v>18</v>
      </c>
      <c r="F5" s="26">
        <v>124833</v>
      </c>
      <c r="G5" s="26">
        <v>818350</v>
      </c>
      <c r="H5" s="26">
        <v>0</v>
      </c>
      <c r="I5" s="26">
        <v>29788</v>
      </c>
      <c r="J5" s="26">
        <v>5362</v>
      </c>
      <c r="K5" s="26">
        <v>853500</v>
      </c>
      <c r="L5" s="26">
        <v>46610</v>
      </c>
      <c r="M5" s="26">
        <v>55000</v>
      </c>
      <c r="N5" s="26">
        <v>0</v>
      </c>
      <c r="O5" s="26">
        <v>0</v>
      </c>
      <c r="P5" s="26">
        <f t="shared" si="0"/>
        <v>55000</v>
      </c>
      <c r="Q5" s="26">
        <v>35000</v>
      </c>
      <c r="R5" s="26">
        <v>20000</v>
      </c>
      <c r="S5" s="26">
        <v>0</v>
      </c>
      <c r="T5" s="26">
        <f t="shared" si="1"/>
        <v>0</v>
      </c>
      <c r="U5" s="28">
        <v>0.7</v>
      </c>
      <c r="V5" s="28">
        <v>1</v>
      </c>
      <c r="W5" s="26">
        <v>0</v>
      </c>
      <c r="X5" s="26">
        <v>0</v>
      </c>
      <c r="Y5" s="26">
        <v>0</v>
      </c>
      <c r="Z5" s="26">
        <v>0</v>
      </c>
      <c r="AA5" s="26">
        <f t="shared" si="2"/>
        <v>0</v>
      </c>
      <c r="AB5" s="32">
        <v>0</v>
      </c>
      <c r="AC5" s="32">
        <v>0</v>
      </c>
      <c r="AD5" s="32">
        <v>0</v>
      </c>
      <c r="AE5" s="26">
        <f t="shared" si="3"/>
        <v>0</v>
      </c>
      <c r="AF5" s="28">
        <v>0.7</v>
      </c>
      <c r="AG5" s="28">
        <v>1</v>
      </c>
    </row>
    <row r="6" spans="1:33" ht="15.75" customHeight="1">
      <c r="A6" s="26" t="s">
        <v>275</v>
      </c>
      <c r="B6" s="26" t="s">
        <v>174</v>
      </c>
      <c r="C6" s="26" t="s">
        <v>276</v>
      </c>
      <c r="D6" s="26">
        <v>621615</v>
      </c>
      <c r="E6" s="26">
        <v>18</v>
      </c>
      <c r="F6" s="26">
        <v>111891</v>
      </c>
      <c r="G6" s="26">
        <v>733506</v>
      </c>
      <c r="H6" s="26">
        <v>0</v>
      </c>
      <c r="I6" s="26">
        <v>33215</v>
      </c>
      <c r="J6" s="26">
        <v>5979</v>
      </c>
      <c r="K6" s="26">
        <v>772700</v>
      </c>
      <c r="L6" s="26">
        <v>33898</v>
      </c>
      <c r="M6" s="26">
        <v>40000</v>
      </c>
      <c r="N6" s="26">
        <v>0</v>
      </c>
      <c r="O6" s="26">
        <v>0</v>
      </c>
      <c r="P6" s="26">
        <f t="shared" si="0"/>
        <v>40000</v>
      </c>
      <c r="Q6" s="26">
        <v>25000</v>
      </c>
      <c r="R6" s="26">
        <v>15000</v>
      </c>
      <c r="S6" s="26">
        <v>0</v>
      </c>
      <c r="T6" s="26">
        <f t="shared" si="1"/>
        <v>0</v>
      </c>
      <c r="U6" s="28">
        <v>0.7</v>
      </c>
      <c r="V6" s="28">
        <v>1</v>
      </c>
      <c r="W6" s="26">
        <v>0</v>
      </c>
      <c r="X6" s="26">
        <v>0</v>
      </c>
      <c r="Y6" s="26">
        <v>0</v>
      </c>
      <c r="Z6" s="26">
        <v>0</v>
      </c>
      <c r="AA6" s="26">
        <f t="shared" si="2"/>
        <v>0</v>
      </c>
      <c r="AB6" s="32">
        <v>0</v>
      </c>
      <c r="AC6" s="32">
        <v>0</v>
      </c>
      <c r="AD6" s="32">
        <v>0</v>
      </c>
      <c r="AE6" s="26">
        <f t="shared" si="3"/>
        <v>0</v>
      </c>
      <c r="AF6" s="28">
        <v>0.7</v>
      </c>
      <c r="AG6" s="28">
        <v>1</v>
      </c>
    </row>
    <row r="7" spans="1:33" ht="15.75" customHeight="1">
      <c r="A7" s="26" t="s">
        <v>277</v>
      </c>
      <c r="B7" s="26" t="s">
        <v>74</v>
      </c>
      <c r="C7" s="26" t="s">
        <v>278</v>
      </c>
      <c r="D7" s="26">
        <v>717041</v>
      </c>
      <c r="E7" s="26">
        <v>18</v>
      </c>
      <c r="F7" s="26">
        <v>129067</v>
      </c>
      <c r="G7" s="26">
        <v>846108</v>
      </c>
      <c r="H7" s="26">
        <v>0</v>
      </c>
      <c r="I7" s="26">
        <v>30840</v>
      </c>
      <c r="J7" s="26">
        <v>5551</v>
      </c>
      <c r="K7" s="26">
        <v>882500</v>
      </c>
      <c r="L7" s="26">
        <v>38136</v>
      </c>
      <c r="M7" s="26">
        <v>45000</v>
      </c>
      <c r="N7" s="26">
        <v>0</v>
      </c>
      <c r="O7" s="26">
        <v>0</v>
      </c>
      <c r="P7" s="26">
        <f t="shared" si="0"/>
        <v>45000</v>
      </c>
      <c r="Q7" s="26">
        <v>25000</v>
      </c>
      <c r="R7" s="26">
        <v>20000</v>
      </c>
      <c r="S7" s="26">
        <v>0</v>
      </c>
      <c r="T7" s="26">
        <f t="shared" si="1"/>
        <v>0</v>
      </c>
      <c r="U7" s="28">
        <v>0.7</v>
      </c>
      <c r="V7" s="28">
        <v>1</v>
      </c>
      <c r="W7" s="26">
        <v>0</v>
      </c>
      <c r="X7" s="26">
        <v>0</v>
      </c>
      <c r="Y7" s="26">
        <v>0</v>
      </c>
      <c r="Z7" s="26">
        <v>0</v>
      </c>
      <c r="AA7" s="26">
        <f t="shared" si="2"/>
        <v>0</v>
      </c>
      <c r="AB7" s="32">
        <v>0</v>
      </c>
      <c r="AC7" s="32">
        <v>0</v>
      </c>
      <c r="AD7" s="32">
        <v>0</v>
      </c>
      <c r="AE7" s="26">
        <f t="shared" si="3"/>
        <v>0</v>
      </c>
      <c r="AF7" s="28">
        <v>0.7</v>
      </c>
      <c r="AG7" s="28">
        <v>1</v>
      </c>
    </row>
    <row r="8" spans="1:33" ht="13.8">
      <c r="A8" s="32" t="s">
        <v>263</v>
      </c>
      <c r="B8" s="32" t="s">
        <v>74</v>
      </c>
      <c r="C8" s="32" t="s">
        <v>264</v>
      </c>
      <c r="D8" s="32">
        <v>669909</v>
      </c>
      <c r="E8" s="32">
        <v>18</v>
      </c>
      <c r="F8" s="32">
        <v>120584</v>
      </c>
      <c r="G8" s="32">
        <v>790493</v>
      </c>
      <c r="H8" s="32">
        <v>0</v>
      </c>
      <c r="I8" s="32">
        <v>28820</v>
      </c>
      <c r="J8" s="32">
        <v>5188</v>
      </c>
      <c r="K8" s="32">
        <v>824500</v>
      </c>
      <c r="L8" s="32">
        <v>46610</v>
      </c>
      <c r="M8" s="32">
        <v>55000</v>
      </c>
      <c r="N8" s="26">
        <v>0</v>
      </c>
      <c r="O8" s="26">
        <v>0</v>
      </c>
      <c r="P8" s="26">
        <f t="shared" si="0"/>
        <v>55000</v>
      </c>
      <c r="Q8" s="26">
        <v>35000</v>
      </c>
      <c r="R8" s="26">
        <v>20000</v>
      </c>
      <c r="S8" s="26">
        <v>0</v>
      </c>
      <c r="T8" s="26">
        <f t="shared" si="1"/>
        <v>0</v>
      </c>
      <c r="U8" s="28">
        <v>0.7</v>
      </c>
      <c r="V8" s="28">
        <v>1</v>
      </c>
      <c r="W8" s="26">
        <v>0</v>
      </c>
      <c r="X8" s="26">
        <v>0</v>
      </c>
      <c r="Y8" s="26">
        <v>0</v>
      </c>
      <c r="Z8" s="26">
        <v>0</v>
      </c>
      <c r="AA8" s="26">
        <f t="shared" si="2"/>
        <v>0</v>
      </c>
      <c r="AB8" s="32">
        <v>0</v>
      </c>
      <c r="AC8" s="32">
        <v>0</v>
      </c>
      <c r="AD8" s="32">
        <v>0</v>
      </c>
      <c r="AE8" s="26">
        <f t="shared" si="3"/>
        <v>0</v>
      </c>
      <c r="AF8" s="28">
        <v>0.7</v>
      </c>
      <c r="AG8" s="28">
        <v>1</v>
      </c>
    </row>
    <row r="9" spans="1:33" ht="13.8">
      <c r="A9" s="32" t="s">
        <v>265</v>
      </c>
      <c r="B9" s="32" t="s">
        <v>74</v>
      </c>
      <c r="C9" s="32" t="s">
        <v>264</v>
      </c>
      <c r="D9" s="32">
        <v>669909</v>
      </c>
      <c r="E9" s="32">
        <v>18</v>
      </c>
      <c r="F9" s="32">
        <v>120584</v>
      </c>
      <c r="G9" s="32">
        <v>790493</v>
      </c>
      <c r="H9" s="32">
        <v>0</v>
      </c>
      <c r="I9" s="32">
        <v>28820</v>
      </c>
      <c r="J9" s="32">
        <v>5188</v>
      </c>
      <c r="K9" s="32">
        <v>824500</v>
      </c>
      <c r="L9" s="32">
        <v>46610</v>
      </c>
      <c r="M9" s="32">
        <v>55000</v>
      </c>
      <c r="N9" s="26">
        <v>0</v>
      </c>
      <c r="O9" s="26">
        <v>0</v>
      </c>
      <c r="P9" s="26">
        <f t="shared" si="0"/>
        <v>55000</v>
      </c>
      <c r="Q9" s="26">
        <v>35000</v>
      </c>
      <c r="R9" s="26">
        <v>20000</v>
      </c>
      <c r="S9" s="26">
        <v>0</v>
      </c>
      <c r="T9" s="26">
        <f t="shared" si="1"/>
        <v>0</v>
      </c>
      <c r="U9" s="28">
        <v>0.7</v>
      </c>
      <c r="V9" s="28">
        <v>1</v>
      </c>
      <c r="W9" s="26">
        <v>0</v>
      </c>
      <c r="X9" s="26">
        <v>0</v>
      </c>
      <c r="Y9" s="26">
        <v>0</v>
      </c>
      <c r="Z9" s="26">
        <v>0</v>
      </c>
      <c r="AA9" s="26">
        <f t="shared" si="2"/>
        <v>0</v>
      </c>
      <c r="AB9" s="32">
        <v>0</v>
      </c>
      <c r="AC9" s="32">
        <v>0</v>
      </c>
      <c r="AD9" s="32">
        <v>0</v>
      </c>
      <c r="AE9" s="26">
        <f t="shared" si="3"/>
        <v>0</v>
      </c>
      <c r="AF9" s="28">
        <v>0.7</v>
      </c>
      <c r="AG9" s="28">
        <v>1</v>
      </c>
    </row>
    <row r="10" spans="1:33" ht="13.8">
      <c r="A10" s="32" t="s">
        <v>266</v>
      </c>
      <c r="B10" s="32" t="s">
        <v>74</v>
      </c>
      <c r="C10" s="32" t="s">
        <v>267</v>
      </c>
      <c r="D10" s="32">
        <v>669909</v>
      </c>
      <c r="E10" s="32">
        <v>18</v>
      </c>
      <c r="F10" s="32">
        <v>120584</v>
      </c>
      <c r="G10" s="32">
        <v>790493</v>
      </c>
      <c r="H10" s="32">
        <v>0</v>
      </c>
      <c r="I10" s="32">
        <v>28820</v>
      </c>
      <c r="J10" s="32">
        <v>5188</v>
      </c>
      <c r="K10" s="32">
        <v>824500</v>
      </c>
      <c r="L10" s="32">
        <v>46610</v>
      </c>
      <c r="M10" s="32">
        <v>55000</v>
      </c>
      <c r="N10" s="26">
        <v>0</v>
      </c>
      <c r="O10" s="26">
        <v>0</v>
      </c>
      <c r="P10" s="26">
        <f t="shared" si="0"/>
        <v>55000</v>
      </c>
      <c r="Q10" s="26">
        <v>35000</v>
      </c>
      <c r="R10" s="26">
        <v>20000</v>
      </c>
      <c r="S10" s="26">
        <v>0</v>
      </c>
      <c r="T10" s="26">
        <f t="shared" si="1"/>
        <v>0</v>
      </c>
      <c r="U10" s="28">
        <v>0.7</v>
      </c>
      <c r="V10" s="28">
        <v>1</v>
      </c>
      <c r="W10" s="26">
        <v>0</v>
      </c>
      <c r="X10" s="26">
        <v>0</v>
      </c>
      <c r="Y10" s="26">
        <v>0</v>
      </c>
      <c r="Z10" s="26">
        <v>0</v>
      </c>
      <c r="AA10" s="26">
        <f t="shared" si="2"/>
        <v>0</v>
      </c>
      <c r="AB10" s="32">
        <v>0</v>
      </c>
      <c r="AC10" s="32">
        <v>0</v>
      </c>
      <c r="AD10" s="32">
        <v>0</v>
      </c>
      <c r="AE10" s="26">
        <f t="shared" si="3"/>
        <v>0</v>
      </c>
      <c r="AF10" s="28">
        <v>0.7</v>
      </c>
      <c r="AG10" s="28">
        <v>1</v>
      </c>
    </row>
  </sheetData>
  <mergeCells count="2">
    <mergeCell ref="L1:V1"/>
    <mergeCell ref="W1:A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1"/>
  <sheetViews>
    <sheetView workbookViewId="0">
      <selection activeCell="A7" sqref="A7:XFD417"/>
    </sheetView>
  </sheetViews>
  <sheetFormatPr defaultColWidth="12.6640625" defaultRowHeight="15.75" customHeight="1"/>
  <cols>
    <col min="1" max="1" width="18.88671875" customWidth="1"/>
    <col min="2" max="2" width="9.21875" customWidth="1"/>
    <col min="3" max="3" width="28.44140625" customWidth="1"/>
    <col min="4" max="4" width="17.109375" customWidth="1"/>
    <col min="5" max="5" width="3.6640625" customWidth="1"/>
    <col min="6" max="6" width="9.6640625" customWidth="1"/>
    <col min="7" max="7" width="9.77734375" customWidth="1"/>
    <col min="8" max="8" width="10.88671875" customWidth="1"/>
    <col min="9" max="9" width="12.109375" customWidth="1"/>
    <col min="10" max="10" width="10.88671875" customWidth="1"/>
    <col min="11" max="11" width="17.88671875" customWidth="1"/>
    <col min="12" max="12" width="16.33203125" customWidth="1"/>
    <col min="13" max="13" width="16.77734375" customWidth="1"/>
    <col min="14" max="14" width="15.33203125" customWidth="1"/>
    <col min="15" max="15" width="21.21875" customWidth="1"/>
    <col min="16" max="16" width="35" customWidth="1"/>
    <col min="17" max="17" width="10.77734375" customWidth="1"/>
    <col min="18" max="18" width="15.33203125" customWidth="1"/>
    <col min="19" max="19" width="11.6640625" customWidth="1"/>
    <col min="20" max="20" width="5.77734375" customWidth="1"/>
    <col min="21" max="21" width="8.6640625" customWidth="1"/>
    <col min="22" max="22" width="10.33203125" customWidth="1"/>
    <col min="23" max="23" width="16.33203125" customWidth="1"/>
    <col min="24" max="24" width="16.77734375" customWidth="1"/>
    <col min="25" max="25" width="15.33203125" customWidth="1"/>
    <col min="26" max="26" width="21.21875" customWidth="1"/>
    <col min="27" max="27" width="35" customWidth="1"/>
    <col min="28" max="28" width="10.77734375" customWidth="1"/>
    <col min="29" max="29" width="15.33203125" customWidth="1"/>
    <col min="30" max="30" width="11.6640625" customWidth="1"/>
    <col min="31" max="31" width="5.109375" customWidth="1"/>
    <col min="32" max="32" width="8.6640625" customWidth="1"/>
    <col min="33" max="33" width="10.33203125" customWidth="1"/>
  </cols>
  <sheetData>
    <row r="1" spans="1:33" ht="16.5" customHeight="1">
      <c r="A1" s="20"/>
      <c r="B1" s="20"/>
      <c r="C1" s="20"/>
      <c r="D1" s="21"/>
      <c r="E1" s="21"/>
      <c r="F1" s="21"/>
      <c r="G1" s="21"/>
      <c r="H1" s="21"/>
      <c r="I1" s="21"/>
      <c r="J1" s="21"/>
      <c r="K1" s="21"/>
      <c r="L1" s="135" t="s">
        <v>300</v>
      </c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7" t="s">
        <v>301</v>
      </c>
      <c r="X1" s="136"/>
      <c r="Y1" s="136"/>
      <c r="Z1" s="136"/>
      <c r="AA1" s="136"/>
      <c r="AB1" s="136"/>
      <c r="AC1" s="136"/>
      <c r="AD1" s="136"/>
      <c r="AE1" s="136"/>
      <c r="AF1" s="136"/>
      <c r="AG1" s="136"/>
    </row>
    <row r="2" spans="1:33" ht="27.6">
      <c r="A2" s="20" t="s">
        <v>0</v>
      </c>
      <c r="B2" s="20" t="s">
        <v>2</v>
      </c>
      <c r="C2" s="20" t="s">
        <v>3</v>
      </c>
      <c r="D2" s="24" t="s">
        <v>303</v>
      </c>
      <c r="E2" s="24" t="s">
        <v>304</v>
      </c>
      <c r="F2" s="24" t="s">
        <v>305</v>
      </c>
      <c r="G2" s="24" t="s">
        <v>306</v>
      </c>
      <c r="H2" s="24" t="s">
        <v>308</v>
      </c>
      <c r="I2" s="24" t="s">
        <v>309</v>
      </c>
      <c r="J2" s="24" t="s">
        <v>310</v>
      </c>
      <c r="K2" s="24" t="s">
        <v>311</v>
      </c>
      <c r="L2" s="22" t="s">
        <v>312</v>
      </c>
      <c r="M2" s="22" t="s">
        <v>313</v>
      </c>
      <c r="N2" s="22" t="s">
        <v>314</v>
      </c>
      <c r="O2" s="22" t="s">
        <v>315</v>
      </c>
      <c r="P2" s="22" t="s">
        <v>316</v>
      </c>
      <c r="Q2" s="25" t="s">
        <v>317</v>
      </c>
      <c r="R2" s="25" t="s">
        <v>318</v>
      </c>
      <c r="S2" s="25" t="s">
        <v>319</v>
      </c>
      <c r="T2" s="25" t="s">
        <v>322</v>
      </c>
      <c r="U2" s="23" t="s">
        <v>323</v>
      </c>
      <c r="V2" s="23" t="s">
        <v>324</v>
      </c>
      <c r="W2" s="23" t="s">
        <v>312</v>
      </c>
      <c r="X2" s="23" t="s">
        <v>313</v>
      </c>
      <c r="Y2" s="23" t="s">
        <v>314</v>
      </c>
      <c r="Z2" s="23" t="s">
        <v>315</v>
      </c>
      <c r="AA2" s="23" t="s">
        <v>316</v>
      </c>
      <c r="AB2" s="25" t="s">
        <v>317</v>
      </c>
      <c r="AC2" s="25" t="s">
        <v>318</v>
      </c>
      <c r="AD2" s="25" t="s">
        <v>319</v>
      </c>
      <c r="AE2" s="25" t="s">
        <v>322</v>
      </c>
      <c r="AF2" s="25" t="s">
        <v>323</v>
      </c>
      <c r="AG2" s="25" t="s">
        <v>324</v>
      </c>
    </row>
    <row r="3" spans="1:33" ht="16.5" customHeight="1">
      <c r="A3" s="26" t="s">
        <v>930</v>
      </c>
      <c r="B3" s="26" t="s">
        <v>931</v>
      </c>
      <c r="C3" s="26" t="s">
        <v>932</v>
      </c>
      <c r="D3" s="27">
        <v>2393579</v>
      </c>
      <c r="E3" s="27">
        <v>5</v>
      </c>
      <c r="F3" s="27">
        <v>119679</v>
      </c>
      <c r="G3" s="27">
        <v>2513258</v>
      </c>
      <c r="H3" s="27">
        <v>77850</v>
      </c>
      <c r="I3" s="27">
        <v>0</v>
      </c>
      <c r="J3" s="27">
        <v>3893</v>
      </c>
      <c r="K3" s="27">
        <v>2595001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6">
        <v>0</v>
      </c>
      <c r="R3" s="27">
        <f>P3-Q3</f>
        <v>0</v>
      </c>
      <c r="S3" s="27">
        <f>P3-Q3-R3</f>
        <v>0</v>
      </c>
      <c r="T3" s="27">
        <f t="shared" si="0"/>
        <v>0</v>
      </c>
      <c r="U3" s="28">
        <v>0.7</v>
      </c>
      <c r="V3" s="28">
        <v>1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f t="shared" si="0"/>
        <v>0</v>
      </c>
      <c r="AF3" s="28">
        <v>0.7</v>
      </c>
      <c r="AG3" s="28">
        <v>1</v>
      </c>
    </row>
    <row r="4" spans="1:33" ht="16.5" customHeight="1">
      <c r="A4" s="26" t="s">
        <v>933</v>
      </c>
      <c r="B4" s="26" t="s">
        <v>934</v>
      </c>
      <c r="C4" s="26" t="s">
        <v>935</v>
      </c>
      <c r="D4" s="27">
        <v>2513488</v>
      </c>
      <c r="E4" s="27">
        <v>5</v>
      </c>
      <c r="F4" s="27">
        <v>125674</v>
      </c>
      <c r="G4" s="27">
        <v>2639162</v>
      </c>
      <c r="H4" s="27">
        <v>81750</v>
      </c>
      <c r="I4" s="27">
        <v>0</v>
      </c>
      <c r="J4" s="27">
        <v>4088</v>
      </c>
      <c r="K4" s="27">
        <v>2725000</v>
      </c>
      <c r="L4" s="27">
        <v>66667</v>
      </c>
      <c r="M4" s="27">
        <v>70000</v>
      </c>
      <c r="N4" s="27">
        <v>19048</v>
      </c>
      <c r="O4" s="27">
        <v>20000</v>
      </c>
      <c r="P4" s="27">
        <v>90000</v>
      </c>
      <c r="Q4" s="26">
        <v>70000</v>
      </c>
      <c r="R4" s="26">
        <v>0</v>
      </c>
      <c r="S4" s="26">
        <v>0</v>
      </c>
      <c r="T4" s="27">
        <f t="shared" si="0"/>
        <v>20000</v>
      </c>
      <c r="U4" s="28">
        <v>0.7</v>
      </c>
      <c r="V4" s="28">
        <v>1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f t="shared" si="0"/>
        <v>0</v>
      </c>
      <c r="AF4" s="28">
        <v>0.7</v>
      </c>
      <c r="AG4" s="28">
        <v>1</v>
      </c>
    </row>
    <row r="5" spans="1:33" ht="16.5" customHeight="1">
      <c r="A5" s="26" t="s">
        <v>936</v>
      </c>
      <c r="B5" s="26" t="s">
        <v>934</v>
      </c>
      <c r="C5" s="26" t="s">
        <v>937</v>
      </c>
      <c r="D5" s="27">
        <v>2444310</v>
      </c>
      <c r="E5" s="27">
        <v>5</v>
      </c>
      <c r="F5" s="27">
        <v>122216</v>
      </c>
      <c r="G5" s="27">
        <v>2566526</v>
      </c>
      <c r="H5" s="27">
        <v>79500</v>
      </c>
      <c r="I5" s="27">
        <v>0</v>
      </c>
      <c r="J5" s="27">
        <v>3975</v>
      </c>
      <c r="K5" s="27">
        <v>2650001</v>
      </c>
      <c r="L5" s="27">
        <v>66667</v>
      </c>
      <c r="M5" s="27">
        <v>70000</v>
      </c>
      <c r="N5" s="27">
        <v>19048</v>
      </c>
      <c r="O5" s="27">
        <v>20000</v>
      </c>
      <c r="P5" s="27">
        <v>90000</v>
      </c>
      <c r="Q5" s="26">
        <v>70000</v>
      </c>
      <c r="R5" s="26">
        <v>0</v>
      </c>
      <c r="S5" s="26">
        <v>0</v>
      </c>
      <c r="T5" s="27">
        <f t="shared" si="0"/>
        <v>20000</v>
      </c>
      <c r="U5" s="28">
        <v>0.7</v>
      </c>
      <c r="V5" s="28">
        <v>1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f t="shared" si="0"/>
        <v>0</v>
      </c>
      <c r="AF5" s="28">
        <v>0.7</v>
      </c>
      <c r="AG5" s="28">
        <v>1</v>
      </c>
    </row>
    <row r="6" spans="1:33" ht="16.5" customHeight="1">
      <c r="A6" s="26" t="s">
        <v>938</v>
      </c>
      <c r="B6" s="26" t="s">
        <v>934</v>
      </c>
      <c r="C6" s="26" t="s">
        <v>939</v>
      </c>
      <c r="D6" s="27">
        <v>2707188</v>
      </c>
      <c r="E6" s="27">
        <v>5</v>
      </c>
      <c r="F6" s="27">
        <v>135359</v>
      </c>
      <c r="G6" s="27">
        <v>2842547</v>
      </c>
      <c r="H6" s="27">
        <v>88050</v>
      </c>
      <c r="I6" s="27">
        <v>0</v>
      </c>
      <c r="J6" s="27">
        <v>4403</v>
      </c>
      <c r="K6" s="27">
        <v>2935000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6">
        <v>0</v>
      </c>
      <c r="R6" s="26">
        <v>0</v>
      </c>
      <c r="S6" s="26">
        <v>0</v>
      </c>
      <c r="T6" s="27">
        <f t="shared" si="0"/>
        <v>0</v>
      </c>
      <c r="U6" s="28">
        <v>0.7</v>
      </c>
      <c r="V6" s="28">
        <v>1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26">
        <v>0</v>
      </c>
      <c r="AE6" s="26">
        <f t="shared" si="0"/>
        <v>0</v>
      </c>
      <c r="AF6" s="28">
        <v>0.7</v>
      </c>
      <c r="AG6" s="28">
        <v>1</v>
      </c>
    </row>
    <row r="7" spans="1:33" ht="16.5" customHeight="1">
      <c r="A7" s="26" t="s">
        <v>527</v>
      </c>
      <c r="B7" s="26" t="s">
        <v>524</v>
      </c>
      <c r="C7" s="26" t="s">
        <v>526</v>
      </c>
      <c r="D7" s="27">
        <v>2258909</v>
      </c>
      <c r="E7" s="27">
        <v>5</v>
      </c>
      <c r="F7" s="27">
        <v>112945</v>
      </c>
      <c r="G7" s="27">
        <v>2371854</v>
      </c>
      <c r="H7" s="27">
        <v>73470</v>
      </c>
      <c r="I7" s="27">
        <v>0</v>
      </c>
      <c r="J7" s="27">
        <v>3674</v>
      </c>
      <c r="K7" s="27">
        <v>2448998</v>
      </c>
      <c r="L7" s="27">
        <v>95238</v>
      </c>
      <c r="M7" s="27">
        <v>100000</v>
      </c>
      <c r="N7" s="27">
        <v>0</v>
      </c>
      <c r="O7" s="27">
        <v>0</v>
      </c>
      <c r="P7" s="27">
        <v>100000</v>
      </c>
      <c r="Q7" s="26">
        <v>80000</v>
      </c>
      <c r="R7" s="26">
        <v>0</v>
      </c>
      <c r="S7" s="26">
        <v>0</v>
      </c>
      <c r="T7" s="27">
        <f t="shared" si="0"/>
        <v>20000</v>
      </c>
      <c r="U7" s="28">
        <v>0.7</v>
      </c>
      <c r="V7" s="28">
        <v>1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f t="shared" si="0"/>
        <v>0</v>
      </c>
      <c r="AF7" s="28">
        <v>0.7</v>
      </c>
      <c r="AG7" s="28">
        <v>1</v>
      </c>
    </row>
    <row r="8" spans="1:33" ht="16.5" customHeight="1">
      <c r="A8" s="26" t="s">
        <v>958</v>
      </c>
      <c r="B8" s="26" t="s">
        <v>931</v>
      </c>
      <c r="C8" s="26" t="s">
        <v>943</v>
      </c>
      <c r="D8" s="27">
        <v>2638010</v>
      </c>
      <c r="E8" s="27">
        <v>5</v>
      </c>
      <c r="F8" s="27">
        <v>131901</v>
      </c>
      <c r="G8" s="27">
        <v>2769911</v>
      </c>
      <c r="H8" s="27">
        <v>85800</v>
      </c>
      <c r="I8" s="27">
        <v>0</v>
      </c>
      <c r="J8" s="27">
        <v>4290</v>
      </c>
      <c r="K8" s="27">
        <v>2860001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6">
        <v>0</v>
      </c>
      <c r="R8" s="26">
        <v>0</v>
      </c>
      <c r="S8" s="26">
        <v>0</v>
      </c>
      <c r="T8" s="27">
        <f t="shared" si="0"/>
        <v>0</v>
      </c>
      <c r="U8" s="28">
        <v>0.7</v>
      </c>
      <c r="V8" s="28">
        <v>1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f t="shared" si="0"/>
        <v>0</v>
      </c>
      <c r="AF8" s="28">
        <v>0.7</v>
      </c>
      <c r="AG8" s="28">
        <v>1</v>
      </c>
    </row>
    <row r="9" spans="1:33" ht="16.5" customHeight="1">
      <c r="A9" s="26" t="s">
        <v>274</v>
      </c>
      <c r="B9" s="26" t="s">
        <v>177</v>
      </c>
      <c r="C9" s="26" t="s">
        <v>255</v>
      </c>
      <c r="D9" s="27">
        <v>1890882</v>
      </c>
      <c r="E9" s="27">
        <v>5</v>
      </c>
      <c r="F9" s="27">
        <v>94544</v>
      </c>
      <c r="G9" s="27">
        <v>1985426</v>
      </c>
      <c r="H9" s="27">
        <v>61500</v>
      </c>
      <c r="I9" s="27">
        <v>0</v>
      </c>
      <c r="J9" s="27">
        <v>3075</v>
      </c>
      <c r="K9" s="27">
        <v>2050001</v>
      </c>
      <c r="L9" s="27">
        <v>57143</v>
      </c>
      <c r="M9" s="27">
        <v>60000</v>
      </c>
      <c r="N9" s="27">
        <v>19048</v>
      </c>
      <c r="O9" s="27">
        <v>20000</v>
      </c>
      <c r="P9" s="27">
        <v>80000</v>
      </c>
      <c r="Q9" s="26">
        <v>60000</v>
      </c>
      <c r="R9" s="26">
        <v>0</v>
      </c>
      <c r="S9" s="26">
        <v>0</v>
      </c>
      <c r="T9" s="27">
        <f t="shared" si="0"/>
        <v>20000</v>
      </c>
      <c r="U9" s="28">
        <v>0.7</v>
      </c>
      <c r="V9" s="28">
        <v>1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f t="shared" si="0"/>
        <v>0</v>
      </c>
      <c r="AF9" s="28">
        <v>0.7</v>
      </c>
      <c r="AG9" s="28">
        <v>1</v>
      </c>
    </row>
    <row r="10" spans="1:33" ht="16.5" customHeight="1">
      <c r="A10" s="26" t="s">
        <v>957</v>
      </c>
      <c r="B10" s="26" t="s">
        <v>931</v>
      </c>
      <c r="C10" s="26" t="s">
        <v>956</v>
      </c>
      <c r="D10" s="27">
        <v>2762531</v>
      </c>
      <c r="E10" s="27">
        <v>5</v>
      </c>
      <c r="F10" s="27">
        <v>138127</v>
      </c>
      <c r="G10" s="27">
        <v>2900658</v>
      </c>
      <c r="H10" s="27">
        <v>89850</v>
      </c>
      <c r="I10" s="27">
        <v>0</v>
      </c>
      <c r="J10" s="27">
        <v>4493</v>
      </c>
      <c r="K10" s="27">
        <v>2995000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6">
        <v>0</v>
      </c>
      <c r="R10" s="26">
        <v>0</v>
      </c>
      <c r="S10" s="26">
        <v>0</v>
      </c>
      <c r="T10" s="27">
        <f t="shared" si="0"/>
        <v>0</v>
      </c>
      <c r="U10" s="28">
        <v>0.7</v>
      </c>
      <c r="V10" s="28">
        <v>1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f t="shared" si="0"/>
        <v>0</v>
      </c>
      <c r="AF10" s="28">
        <v>0.7</v>
      </c>
      <c r="AG10" s="28">
        <v>1</v>
      </c>
    </row>
    <row r="11" spans="1:33" ht="16.5" customHeight="1">
      <c r="A11" s="26" t="s">
        <v>514</v>
      </c>
      <c r="B11" s="26" t="s">
        <v>177</v>
      </c>
      <c r="C11" s="26" t="s">
        <v>512</v>
      </c>
      <c r="D11" s="27">
        <v>2020015</v>
      </c>
      <c r="E11" s="27">
        <v>5</v>
      </c>
      <c r="F11" s="27">
        <v>101001</v>
      </c>
      <c r="G11" s="27">
        <v>2121016</v>
      </c>
      <c r="H11" s="27">
        <v>65700</v>
      </c>
      <c r="I11" s="27">
        <v>0</v>
      </c>
      <c r="J11" s="27">
        <v>3285</v>
      </c>
      <c r="K11" s="27">
        <v>2190001</v>
      </c>
      <c r="L11" s="27">
        <v>123810</v>
      </c>
      <c r="M11" s="27">
        <v>130001</v>
      </c>
      <c r="N11" s="27">
        <v>19048</v>
      </c>
      <c r="O11" s="27">
        <v>20000</v>
      </c>
      <c r="P11" s="27">
        <v>150001</v>
      </c>
      <c r="Q11" s="26">
        <v>130000</v>
      </c>
      <c r="R11" s="26">
        <v>0</v>
      </c>
      <c r="S11" s="26">
        <v>0</v>
      </c>
      <c r="T11" s="27">
        <f t="shared" si="0"/>
        <v>20001</v>
      </c>
      <c r="U11" s="28">
        <v>0.7</v>
      </c>
      <c r="V11" s="28">
        <v>1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f t="shared" si="0"/>
        <v>0</v>
      </c>
      <c r="AF11" s="28">
        <v>0.7</v>
      </c>
      <c r="AG11" s="28">
        <v>1</v>
      </c>
    </row>
  </sheetData>
  <mergeCells count="2">
    <mergeCell ref="L1:V1"/>
    <mergeCell ref="W1:A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894"/>
  <sheetViews>
    <sheetView workbookViewId="0">
      <pane ySplit="1" topLeftCell="A2" activePane="bottomLeft" state="frozen"/>
      <selection pane="bottomLeft" activeCell="A5" sqref="A5:XFD102"/>
    </sheetView>
  </sheetViews>
  <sheetFormatPr defaultColWidth="12.6640625" defaultRowHeight="15.75" customHeight="1"/>
  <cols>
    <col min="1" max="1" width="7.44140625" customWidth="1"/>
    <col min="2" max="2" width="17.77734375" customWidth="1"/>
    <col min="3" max="3" width="33.77734375" customWidth="1"/>
    <col min="4" max="4" width="19.77734375" customWidth="1"/>
    <col min="5" max="5" width="13.109375" customWidth="1"/>
    <col min="6" max="6" width="10.21875" customWidth="1"/>
    <col min="7" max="7" width="5.21875" customWidth="1"/>
    <col min="8" max="8" width="5.77734375" customWidth="1"/>
    <col min="9" max="9" width="10.44140625" customWidth="1"/>
    <col min="10" max="10" width="11.33203125" customWidth="1"/>
    <col min="11" max="11" width="15.77734375" customWidth="1"/>
    <col min="12" max="12" width="12.109375" customWidth="1"/>
    <col min="13" max="13" width="11.88671875" customWidth="1"/>
    <col min="14" max="14" width="15.6640625" customWidth="1"/>
    <col min="15" max="15" width="19.44140625" customWidth="1"/>
    <col min="16" max="16" width="10.109375" customWidth="1"/>
    <col min="17" max="17" width="1.44140625" customWidth="1"/>
    <col min="18" max="18" width="18" customWidth="1"/>
    <col min="19" max="19" width="16.88671875" customWidth="1"/>
    <col min="20" max="20" width="23.21875" customWidth="1"/>
    <col min="21" max="21" width="38.33203125" customWidth="1"/>
    <col min="22" max="22" width="21" customWidth="1"/>
  </cols>
  <sheetData>
    <row r="1" spans="1:22" ht="15.75" customHeight="1">
      <c r="A1" s="33" t="s">
        <v>1082</v>
      </c>
      <c r="B1" s="33" t="s">
        <v>2</v>
      </c>
      <c r="C1" s="34" t="s">
        <v>3</v>
      </c>
      <c r="D1" s="34" t="s">
        <v>0</v>
      </c>
      <c r="E1" s="33" t="s">
        <v>1083</v>
      </c>
      <c r="F1" s="35" t="s">
        <v>1084</v>
      </c>
      <c r="G1" s="33" t="s">
        <v>22</v>
      </c>
      <c r="H1" s="33" t="s">
        <v>1085</v>
      </c>
      <c r="I1" s="33" t="s">
        <v>305</v>
      </c>
      <c r="J1" s="33" t="s">
        <v>1086</v>
      </c>
      <c r="K1" s="35" t="s">
        <v>1087</v>
      </c>
      <c r="L1" s="33" t="s">
        <v>1088</v>
      </c>
      <c r="M1" s="33" t="s">
        <v>310</v>
      </c>
      <c r="N1" s="33" t="s">
        <v>1089</v>
      </c>
      <c r="O1" s="33" t="s">
        <v>1090</v>
      </c>
      <c r="P1" s="33" t="s">
        <v>1091</v>
      </c>
      <c r="Q1" s="36"/>
      <c r="R1" s="37" t="s">
        <v>312</v>
      </c>
      <c r="S1" s="37" t="s">
        <v>314</v>
      </c>
      <c r="T1" s="38" t="s">
        <v>315</v>
      </c>
      <c r="U1" s="37" t="s">
        <v>316</v>
      </c>
    </row>
    <row r="2" spans="1:22" ht="15.75" customHeight="1">
      <c r="A2" s="39" t="s">
        <v>1092</v>
      </c>
      <c r="B2" s="39" t="s">
        <v>613</v>
      </c>
      <c r="C2" s="40" t="s">
        <v>619</v>
      </c>
      <c r="D2" s="40" t="s">
        <v>618</v>
      </c>
      <c r="E2" s="39">
        <v>151038</v>
      </c>
      <c r="F2" s="39">
        <v>4559</v>
      </c>
      <c r="G2" s="39">
        <v>5</v>
      </c>
      <c r="H2" s="39">
        <v>0</v>
      </c>
      <c r="I2" s="39">
        <v>7780</v>
      </c>
      <c r="J2" s="39">
        <v>163376</v>
      </c>
      <c r="K2" s="39">
        <v>10327</v>
      </c>
      <c r="L2" s="39">
        <v>0</v>
      </c>
      <c r="M2" s="39">
        <v>516</v>
      </c>
      <c r="N2" s="39">
        <v>174219</v>
      </c>
      <c r="O2" s="39">
        <v>177219</v>
      </c>
      <c r="P2" s="39">
        <v>10876</v>
      </c>
      <c r="Q2" s="41"/>
      <c r="R2" s="42">
        <f t="shared" ref="R2:R8" si="0">P2/(100%+G2%)</f>
        <v>10358.095238095239</v>
      </c>
      <c r="S2" s="42">
        <f t="shared" ref="S2:S8" si="1">T2/(100%+G2%)</f>
        <v>2880</v>
      </c>
      <c r="T2" s="43">
        <v>3024</v>
      </c>
      <c r="U2" s="43">
        <f t="shared" ref="U2:U8" si="2">P2+T2</f>
        <v>13900</v>
      </c>
      <c r="V2" s="43"/>
    </row>
    <row r="3" spans="1:22" ht="15.75" customHeight="1">
      <c r="A3" s="39" t="s">
        <v>1092</v>
      </c>
      <c r="B3" s="39" t="s">
        <v>613</v>
      </c>
      <c r="C3" s="40" t="s">
        <v>622</v>
      </c>
      <c r="D3" s="40" t="s">
        <v>621</v>
      </c>
      <c r="E3" s="39">
        <v>151038</v>
      </c>
      <c r="F3" s="39">
        <v>4559</v>
      </c>
      <c r="G3" s="39">
        <v>5</v>
      </c>
      <c r="H3" s="39">
        <v>0</v>
      </c>
      <c r="I3" s="39">
        <v>7780</v>
      </c>
      <c r="J3" s="39">
        <v>163376</v>
      </c>
      <c r="K3" s="39">
        <v>10327</v>
      </c>
      <c r="L3" s="39">
        <v>0</v>
      </c>
      <c r="M3" s="39">
        <v>516</v>
      </c>
      <c r="N3" s="39">
        <v>174219</v>
      </c>
      <c r="O3" s="39">
        <v>177219</v>
      </c>
      <c r="P3" s="39">
        <v>10876</v>
      </c>
      <c r="Q3" s="41"/>
      <c r="R3" s="42">
        <f t="shared" si="0"/>
        <v>10358.095238095239</v>
      </c>
      <c r="S3" s="42">
        <f t="shared" si="1"/>
        <v>2880</v>
      </c>
      <c r="T3" s="43">
        <v>3024</v>
      </c>
      <c r="U3" s="43">
        <f t="shared" si="2"/>
        <v>13900</v>
      </c>
      <c r="V3" s="43"/>
    </row>
    <row r="4" spans="1:22" ht="15.75" customHeight="1">
      <c r="A4" s="39" t="s">
        <v>1092</v>
      </c>
      <c r="B4" s="39" t="s">
        <v>613</v>
      </c>
      <c r="C4" s="40" t="s">
        <v>616</v>
      </c>
      <c r="D4" s="40" t="s">
        <v>615</v>
      </c>
      <c r="E4" s="39">
        <v>151038</v>
      </c>
      <c r="F4" s="39">
        <v>4559</v>
      </c>
      <c r="G4" s="39">
        <v>5</v>
      </c>
      <c r="H4" s="39">
        <v>0</v>
      </c>
      <c r="I4" s="39">
        <v>7780</v>
      </c>
      <c r="J4" s="39">
        <v>163376</v>
      </c>
      <c r="K4" s="39">
        <v>10327</v>
      </c>
      <c r="L4" s="39">
        <v>0</v>
      </c>
      <c r="M4" s="39">
        <v>516</v>
      </c>
      <c r="N4" s="39">
        <v>174219</v>
      </c>
      <c r="O4" s="39">
        <v>177219</v>
      </c>
      <c r="P4" s="39">
        <v>10876</v>
      </c>
      <c r="Q4" s="41"/>
      <c r="R4" s="42">
        <f t="shared" si="0"/>
        <v>10358.095238095239</v>
      </c>
      <c r="S4" s="42">
        <f t="shared" si="1"/>
        <v>2880</v>
      </c>
      <c r="T4" s="43">
        <v>3024</v>
      </c>
      <c r="U4" s="43">
        <f t="shared" si="2"/>
        <v>13900</v>
      </c>
      <c r="V4" s="43"/>
    </row>
    <row r="5" spans="1:22" ht="14.4">
      <c r="A5" s="39" t="s">
        <v>1092</v>
      </c>
      <c r="B5" s="39" t="s">
        <v>1102</v>
      </c>
      <c r="C5" s="39" t="s">
        <v>1108</v>
      </c>
      <c r="D5" s="40" t="s">
        <v>1109</v>
      </c>
      <c r="E5" s="39" t="s">
        <v>1110</v>
      </c>
      <c r="F5" s="45">
        <v>10011</v>
      </c>
      <c r="G5" s="39">
        <v>5</v>
      </c>
      <c r="H5" s="39" t="s">
        <v>1097</v>
      </c>
      <c r="I5" s="45">
        <v>36802</v>
      </c>
      <c r="J5" s="39" t="s">
        <v>1112</v>
      </c>
      <c r="K5" s="45">
        <v>31663</v>
      </c>
      <c r="L5" s="44">
        <v>0</v>
      </c>
      <c r="M5" s="45">
        <v>1583</v>
      </c>
      <c r="N5" s="39" t="s">
        <v>1113</v>
      </c>
      <c r="O5" s="39" t="s">
        <v>1113</v>
      </c>
      <c r="P5" s="45">
        <v>0</v>
      </c>
      <c r="Q5" s="41"/>
      <c r="R5" s="42">
        <f t="shared" si="0"/>
        <v>0</v>
      </c>
      <c r="S5" s="42">
        <f t="shared" si="1"/>
        <v>0</v>
      </c>
      <c r="T5" s="46"/>
      <c r="U5" s="46">
        <f t="shared" si="2"/>
        <v>0</v>
      </c>
      <c r="V5" s="46"/>
    </row>
    <row r="6" spans="1:22" ht="14.4">
      <c r="A6" s="39" t="s">
        <v>1092</v>
      </c>
      <c r="B6" s="39" t="s">
        <v>1102</v>
      </c>
      <c r="C6" s="39" t="s">
        <v>1115</v>
      </c>
      <c r="D6" s="40" t="s">
        <v>1116</v>
      </c>
      <c r="E6" s="39" t="s">
        <v>1110</v>
      </c>
      <c r="F6" s="45">
        <v>10011</v>
      </c>
      <c r="G6" s="39">
        <v>5</v>
      </c>
      <c r="H6" s="39" t="s">
        <v>1097</v>
      </c>
      <c r="I6" s="45">
        <v>36802</v>
      </c>
      <c r="J6" s="39" t="s">
        <v>1112</v>
      </c>
      <c r="K6" s="45">
        <v>31663</v>
      </c>
      <c r="L6" s="44">
        <v>0</v>
      </c>
      <c r="M6" s="45">
        <v>1583</v>
      </c>
      <c r="N6" s="39" t="s">
        <v>1113</v>
      </c>
      <c r="O6" s="39" t="s">
        <v>1113</v>
      </c>
      <c r="P6" s="45">
        <v>0</v>
      </c>
      <c r="Q6" s="41"/>
      <c r="R6" s="42">
        <f t="shared" si="0"/>
        <v>0</v>
      </c>
      <c r="S6" s="42">
        <f t="shared" si="1"/>
        <v>0</v>
      </c>
      <c r="T6" s="46"/>
      <c r="U6" s="46">
        <f t="shared" si="2"/>
        <v>0</v>
      </c>
      <c r="V6" s="46"/>
    </row>
    <row r="7" spans="1:22" ht="14.4">
      <c r="A7" s="39" t="s">
        <v>1092</v>
      </c>
      <c r="B7" s="39" t="s">
        <v>1102</v>
      </c>
      <c r="C7" s="39" t="s">
        <v>1120</v>
      </c>
      <c r="D7" s="40" t="s">
        <v>1121</v>
      </c>
      <c r="E7" s="39" t="s">
        <v>1123</v>
      </c>
      <c r="F7" s="45">
        <v>29122</v>
      </c>
      <c r="G7" s="39">
        <v>5</v>
      </c>
      <c r="H7" s="39" t="s">
        <v>1097</v>
      </c>
      <c r="I7" s="45">
        <v>38272</v>
      </c>
      <c r="J7" s="39" t="s">
        <v>1124</v>
      </c>
      <c r="K7" s="45">
        <v>31640</v>
      </c>
      <c r="L7" s="44">
        <v>0</v>
      </c>
      <c r="M7" s="45">
        <v>1582</v>
      </c>
      <c r="N7" s="39" t="s">
        <v>1126</v>
      </c>
      <c r="O7" s="39" t="s">
        <v>1126</v>
      </c>
      <c r="P7" s="45">
        <v>0</v>
      </c>
      <c r="Q7" s="41"/>
      <c r="R7" s="42">
        <f t="shared" si="0"/>
        <v>0</v>
      </c>
      <c r="S7" s="42">
        <f t="shared" si="1"/>
        <v>0</v>
      </c>
      <c r="T7" s="46"/>
      <c r="U7" s="46">
        <f t="shared" si="2"/>
        <v>0</v>
      </c>
      <c r="V7" s="46"/>
    </row>
    <row r="8" spans="1:22" ht="14.4">
      <c r="A8" s="39" t="s">
        <v>1092</v>
      </c>
      <c r="B8" s="39" t="s">
        <v>1102</v>
      </c>
      <c r="C8" s="39" t="s">
        <v>1128</v>
      </c>
      <c r="D8" s="40" t="s">
        <v>1129</v>
      </c>
      <c r="E8" s="39" t="s">
        <v>1123</v>
      </c>
      <c r="F8" s="45">
        <v>29122</v>
      </c>
      <c r="G8" s="39">
        <v>5</v>
      </c>
      <c r="H8" s="39" t="s">
        <v>1097</v>
      </c>
      <c r="I8" s="45">
        <v>38272</v>
      </c>
      <c r="J8" s="39" t="s">
        <v>1124</v>
      </c>
      <c r="K8" s="45">
        <v>31640</v>
      </c>
      <c r="L8" s="44">
        <v>0</v>
      </c>
      <c r="M8" s="45">
        <v>1582</v>
      </c>
      <c r="N8" s="39" t="s">
        <v>1126</v>
      </c>
      <c r="O8" s="39" t="s">
        <v>1126</v>
      </c>
      <c r="P8" s="45">
        <v>0</v>
      </c>
      <c r="Q8" s="41"/>
      <c r="R8" s="42">
        <f t="shared" si="0"/>
        <v>0</v>
      </c>
      <c r="S8" s="42">
        <f t="shared" si="1"/>
        <v>0</v>
      </c>
      <c r="T8" s="46"/>
      <c r="U8" s="46">
        <f t="shared" si="2"/>
        <v>0</v>
      </c>
      <c r="V8" s="46"/>
    </row>
    <row r="9" spans="1:22" ht="13.2">
      <c r="Q9" s="47"/>
    </row>
    <row r="10" spans="1:22" ht="13.2">
      <c r="Q10" s="47"/>
    </row>
    <row r="11" spans="1:22" ht="13.2">
      <c r="Q11" s="47"/>
    </row>
    <row r="12" spans="1:22" ht="13.2">
      <c r="Q12" s="47"/>
    </row>
    <row r="13" spans="1:22" ht="13.2">
      <c r="Q13" s="47"/>
    </row>
    <row r="14" spans="1:22" ht="13.2">
      <c r="Q14" s="47"/>
    </row>
    <row r="15" spans="1:22" ht="13.2">
      <c r="Q15" s="47"/>
    </row>
    <row r="16" spans="1:22" ht="13.2">
      <c r="Q16" s="47"/>
    </row>
    <row r="17" spans="17:17" ht="13.2">
      <c r="Q17" s="47"/>
    </row>
    <row r="18" spans="17:17" ht="13.2">
      <c r="Q18" s="47"/>
    </row>
    <row r="19" spans="17:17" ht="13.2">
      <c r="Q19" s="47"/>
    </row>
    <row r="20" spans="17:17" ht="13.2">
      <c r="Q20" s="47"/>
    </row>
    <row r="21" spans="17:17" ht="13.2">
      <c r="Q21" s="47"/>
    </row>
    <row r="22" spans="17:17" ht="13.2">
      <c r="Q22" s="47"/>
    </row>
    <row r="23" spans="17:17" ht="13.2">
      <c r="Q23" s="47"/>
    </row>
    <row r="24" spans="17:17" ht="13.2">
      <c r="Q24" s="47"/>
    </row>
    <row r="25" spans="17:17" ht="13.2">
      <c r="Q25" s="47"/>
    </row>
    <row r="26" spans="17:17" ht="13.2">
      <c r="Q26" s="47"/>
    </row>
    <row r="27" spans="17:17" ht="13.2">
      <c r="Q27" s="47"/>
    </row>
    <row r="28" spans="17:17" ht="13.2">
      <c r="Q28" s="47"/>
    </row>
    <row r="29" spans="17:17" ht="13.2">
      <c r="Q29" s="47"/>
    </row>
    <row r="30" spans="17:17" ht="13.2">
      <c r="Q30" s="47"/>
    </row>
    <row r="31" spans="17:17" ht="13.2">
      <c r="Q31" s="47"/>
    </row>
    <row r="32" spans="17:17" ht="13.2">
      <c r="Q32" s="47"/>
    </row>
    <row r="33" spans="17:17" ht="13.2">
      <c r="Q33" s="47"/>
    </row>
    <row r="34" spans="17:17" ht="13.2">
      <c r="Q34" s="47"/>
    </row>
    <row r="35" spans="17:17" ht="13.2">
      <c r="Q35" s="47"/>
    </row>
    <row r="36" spans="17:17" ht="13.2">
      <c r="Q36" s="47"/>
    </row>
    <row r="37" spans="17:17" ht="13.2">
      <c r="Q37" s="47"/>
    </row>
    <row r="38" spans="17:17" ht="13.2">
      <c r="Q38" s="47"/>
    </row>
    <row r="39" spans="17:17" ht="13.2">
      <c r="Q39" s="47"/>
    </row>
    <row r="40" spans="17:17" ht="13.2">
      <c r="Q40" s="47"/>
    </row>
    <row r="41" spans="17:17" ht="13.2">
      <c r="Q41" s="47"/>
    </row>
    <row r="42" spans="17:17" ht="13.2">
      <c r="Q42" s="47"/>
    </row>
    <row r="43" spans="17:17" ht="13.2">
      <c r="Q43" s="47"/>
    </row>
    <row r="44" spans="17:17" ht="13.2">
      <c r="Q44" s="47"/>
    </row>
    <row r="45" spans="17:17" ht="13.2">
      <c r="Q45" s="47"/>
    </row>
    <row r="46" spans="17:17" ht="13.2">
      <c r="Q46" s="47"/>
    </row>
    <row r="47" spans="17:17" ht="13.2">
      <c r="Q47" s="47"/>
    </row>
    <row r="48" spans="17:17" ht="13.2">
      <c r="Q48" s="47"/>
    </row>
    <row r="49" spans="17:17" ht="13.2">
      <c r="Q49" s="47"/>
    </row>
    <row r="50" spans="17:17" ht="13.2">
      <c r="Q50" s="47"/>
    </row>
    <row r="51" spans="17:17" ht="13.2">
      <c r="Q51" s="47"/>
    </row>
    <row r="52" spans="17:17" ht="13.2">
      <c r="Q52" s="47"/>
    </row>
    <row r="53" spans="17:17" ht="13.2">
      <c r="Q53" s="47"/>
    </row>
    <row r="54" spans="17:17" ht="13.2">
      <c r="Q54" s="47"/>
    </row>
    <row r="55" spans="17:17" ht="13.2">
      <c r="Q55" s="47"/>
    </row>
    <row r="56" spans="17:17" ht="13.2">
      <c r="Q56" s="47"/>
    </row>
    <row r="57" spans="17:17" ht="13.2">
      <c r="Q57" s="47"/>
    </row>
    <row r="58" spans="17:17" ht="13.2">
      <c r="Q58" s="47"/>
    </row>
    <row r="59" spans="17:17" ht="13.2">
      <c r="Q59" s="47"/>
    </row>
    <row r="60" spans="17:17" ht="13.2">
      <c r="Q60" s="47"/>
    </row>
    <row r="61" spans="17:17" ht="13.2">
      <c r="Q61" s="47"/>
    </row>
    <row r="62" spans="17:17" ht="13.2">
      <c r="Q62" s="47"/>
    </row>
    <row r="63" spans="17:17" ht="13.2">
      <c r="Q63" s="47"/>
    </row>
    <row r="64" spans="17:17" ht="13.2">
      <c r="Q64" s="47"/>
    </row>
    <row r="65" spans="17:17" ht="13.2">
      <c r="Q65" s="47"/>
    </row>
    <row r="66" spans="17:17" ht="13.2">
      <c r="Q66" s="47"/>
    </row>
    <row r="67" spans="17:17" ht="13.2">
      <c r="Q67" s="47"/>
    </row>
    <row r="68" spans="17:17" ht="13.2">
      <c r="Q68" s="47"/>
    </row>
    <row r="69" spans="17:17" ht="13.2">
      <c r="Q69" s="47"/>
    </row>
    <row r="70" spans="17:17" ht="13.2">
      <c r="Q70" s="47"/>
    </row>
    <row r="71" spans="17:17" ht="13.2">
      <c r="Q71" s="47"/>
    </row>
    <row r="72" spans="17:17" ht="13.2">
      <c r="Q72" s="47"/>
    </row>
    <row r="73" spans="17:17" ht="13.2">
      <c r="Q73" s="47"/>
    </row>
    <row r="74" spans="17:17" ht="13.2">
      <c r="Q74" s="47"/>
    </row>
    <row r="75" spans="17:17" ht="13.2">
      <c r="Q75" s="47"/>
    </row>
    <row r="76" spans="17:17" ht="13.2">
      <c r="Q76" s="47"/>
    </row>
    <row r="77" spans="17:17" ht="13.2">
      <c r="Q77" s="47"/>
    </row>
    <row r="78" spans="17:17" ht="13.2">
      <c r="Q78" s="47"/>
    </row>
    <row r="79" spans="17:17" ht="13.2">
      <c r="Q79" s="47"/>
    </row>
    <row r="80" spans="17:17" ht="13.2">
      <c r="Q80" s="47"/>
    </row>
    <row r="81" spans="17:17" ht="13.2">
      <c r="Q81" s="47"/>
    </row>
    <row r="82" spans="17:17" ht="13.2">
      <c r="Q82" s="47"/>
    </row>
    <row r="83" spans="17:17" ht="13.2">
      <c r="Q83" s="47"/>
    </row>
    <row r="84" spans="17:17" ht="13.2">
      <c r="Q84" s="47"/>
    </row>
    <row r="85" spans="17:17" ht="13.2">
      <c r="Q85" s="47"/>
    </row>
    <row r="86" spans="17:17" ht="13.2">
      <c r="Q86" s="47"/>
    </row>
    <row r="87" spans="17:17" ht="13.2">
      <c r="Q87" s="47"/>
    </row>
    <row r="88" spans="17:17" ht="13.2">
      <c r="Q88" s="47"/>
    </row>
    <row r="89" spans="17:17" ht="13.2">
      <c r="Q89" s="47"/>
    </row>
    <row r="90" spans="17:17" ht="13.2">
      <c r="Q90" s="47"/>
    </row>
    <row r="91" spans="17:17" ht="13.2">
      <c r="Q91" s="47"/>
    </row>
    <row r="92" spans="17:17" ht="13.2">
      <c r="Q92" s="47"/>
    </row>
    <row r="93" spans="17:17" ht="13.2">
      <c r="Q93" s="47"/>
    </row>
    <row r="94" spans="17:17" ht="13.2">
      <c r="Q94" s="47"/>
    </row>
    <row r="95" spans="17:17" ht="13.2">
      <c r="Q95" s="47"/>
    </row>
    <row r="96" spans="17:17" ht="13.2">
      <c r="Q96" s="47"/>
    </row>
    <row r="97" spans="17:17" ht="13.2">
      <c r="Q97" s="47"/>
    </row>
    <row r="98" spans="17:17" ht="13.2">
      <c r="Q98" s="47"/>
    </row>
    <row r="99" spans="17:17" ht="13.2">
      <c r="Q99" s="47"/>
    </row>
    <row r="100" spans="17:17" ht="13.2">
      <c r="Q100" s="47"/>
    </row>
    <row r="101" spans="17:17" ht="13.2">
      <c r="Q101" s="47"/>
    </row>
    <row r="102" spans="17:17" ht="13.2">
      <c r="Q102" s="47"/>
    </row>
    <row r="103" spans="17:17" ht="13.2">
      <c r="Q103" s="47"/>
    </row>
    <row r="104" spans="17:17" ht="13.2">
      <c r="Q104" s="47"/>
    </row>
    <row r="105" spans="17:17" ht="13.2">
      <c r="Q105" s="47"/>
    </row>
    <row r="106" spans="17:17" ht="13.2">
      <c r="Q106" s="47"/>
    </row>
    <row r="107" spans="17:17" ht="13.2">
      <c r="Q107" s="47"/>
    </row>
    <row r="108" spans="17:17" ht="13.2">
      <c r="Q108" s="47"/>
    </row>
    <row r="109" spans="17:17" ht="13.2">
      <c r="Q109" s="47"/>
    </row>
    <row r="110" spans="17:17" ht="13.2">
      <c r="Q110" s="47"/>
    </row>
    <row r="111" spans="17:17" ht="13.2">
      <c r="Q111" s="47"/>
    </row>
    <row r="112" spans="17:17" ht="13.2">
      <c r="Q112" s="47"/>
    </row>
    <row r="113" spans="17:17" ht="13.2">
      <c r="Q113" s="47"/>
    </row>
    <row r="114" spans="17:17" ht="13.2">
      <c r="Q114" s="47"/>
    </row>
    <row r="115" spans="17:17" ht="13.2">
      <c r="Q115" s="47"/>
    </row>
    <row r="116" spans="17:17" ht="13.2">
      <c r="Q116" s="47"/>
    </row>
    <row r="117" spans="17:17" ht="13.2">
      <c r="Q117" s="47"/>
    </row>
    <row r="118" spans="17:17" ht="13.2">
      <c r="Q118" s="47"/>
    </row>
    <row r="119" spans="17:17" ht="13.2">
      <c r="Q119" s="47"/>
    </row>
    <row r="120" spans="17:17" ht="13.2">
      <c r="Q120" s="47"/>
    </row>
    <row r="121" spans="17:17" ht="13.2">
      <c r="Q121" s="47"/>
    </row>
    <row r="122" spans="17:17" ht="13.2">
      <c r="Q122" s="47"/>
    </row>
    <row r="123" spans="17:17" ht="13.2">
      <c r="Q123" s="47"/>
    </row>
    <row r="124" spans="17:17" ht="13.2">
      <c r="Q124" s="47"/>
    </row>
    <row r="125" spans="17:17" ht="13.2">
      <c r="Q125" s="47"/>
    </row>
    <row r="126" spans="17:17" ht="13.2">
      <c r="Q126" s="47"/>
    </row>
    <row r="127" spans="17:17" ht="13.2">
      <c r="Q127" s="47"/>
    </row>
    <row r="128" spans="17:17" ht="13.2">
      <c r="Q128" s="47"/>
    </row>
    <row r="129" spans="17:17" ht="13.2">
      <c r="Q129" s="47"/>
    </row>
    <row r="130" spans="17:17" ht="13.2">
      <c r="Q130" s="47"/>
    </row>
    <row r="131" spans="17:17" ht="13.2">
      <c r="Q131" s="47"/>
    </row>
    <row r="132" spans="17:17" ht="13.2">
      <c r="Q132" s="47"/>
    </row>
    <row r="133" spans="17:17" ht="13.2">
      <c r="Q133" s="47"/>
    </row>
    <row r="134" spans="17:17" ht="13.2">
      <c r="Q134" s="47"/>
    </row>
    <row r="135" spans="17:17" ht="13.2">
      <c r="Q135" s="47"/>
    </row>
    <row r="136" spans="17:17" ht="13.2">
      <c r="Q136" s="47"/>
    </row>
    <row r="137" spans="17:17" ht="13.2">
      <c r="Q137" s="47"/>
    </row>
    <row r="138" spans="17:17" ht="13.2">
      <c r="Q138" s="47"/>
    </row>
    <row r="139" spans="17:17" ht="13.2">
      <c r="Q139" s="47"/>
    </row>
    <row r="140" spans="17:17" ht="13.2">
      <c r="Q140" s="47"/>
    </row>
    <row r="141" spans="17:17" ht="13.2">
      <c r="Q141" s="47"/>
    </row>
    <row r="142" spans="17:17" ht="13.2">
      <c r="Q142" s="47"/>
    </row>
    <row r="143" spans="17:17" ht="13.2">
      <c r="Q143" s="47"/>
    </row>
    <row r="144" spans="17:17" ht="13.2">
      <c r="Q144" s="47"/>
    </row>
    <row r="145" spans="17:17" ht="13.2">
      <c r="Q145" s="47"/>
    </row>
    <row r="146" spans="17:17" ht="13.2">
      <c r="Q146" s="47"/>
    </row>
    <row r="147" spans="17:17" ht="13.2">
      <c r="Q147" s="47"/>
    </row>
    <row r="148" spans="17:17" ht="13.2">
      <c r="Q148" s="47"/>
    </row>
    <row r="149" spans="17:17" ht="13.2">
      <c r="Q149" s="47"/>
    </row>
    <row r="150" spans="17:17" ht="13.2">
      <c r="Q150" s="47"/>
    </row>
    <row r="151" spans="17:17" ht="13.2">
      <c r="Q151" s="47"/>
    </row>
    <row r="152" spans="17:17" ht="13.2">
      <c r="Q152" s="47"/>
    </row>
    <row r="153" spans="17:17" ht="13.2">
      <c r="Q153" s="47"/>
    </row>
    <row r="154" spans="17:17" ht="13.2">
      <c r="Q154" s="47"/>
    </row>
    <row r="155" spans="17:17" ht="13.2">
      <c r="Q155" s="47"/>
    </row>
    <row r="156" spans="17:17" ht="13.2">
      <c r="Q156" s="47"/>
    </row>
    <row r="157" spans="17:17" ht="13.2">
      <c r="Q157" s="47"/>
    </row>
    <row r="158" spans="17:17" ht="13.2">
      <c r="Q158" s="47"/>
    </row>
    <row r="159" spans="17:17" ht="13.2">
      <c r="Q159" s="47"/>
    </row>
    <row r="160" spans="17:17" ht="13.2">
      <c r="Q160" s="47"/>
    </row>
    <row r="161" spans="17:17" ht="13.2">
      <c r="Q161" s="47"/>
    </row>
    <row r="162" spans="17:17" ht="13.2">
      <c r="Q162" s="47"/>
    </row>
    <row r="163" spans="17:17" ht="13.2">
      <c r="Q163" s="47"/>
    </row>
    <row r="164" spans="17:17" ht="13.2">
      <c r="Q164" s="47"/>
    </row>
    <row r="165" spans="17:17" ht="13.2">
      <c r="Q165" s="47"/>
    </row>
    <row r="166" spans="17:17" ht="13.2">
      <c r="Q166" s="47"/>
    </row>
    <row r="167" spans="17:17" ht="13.2">
      <c r="Q167" s="47"/>
    </row>
    <row r="168" spans="17:17" ht="13.2">
      <c r="Q168" s="47"/>
    </row>
    <row r="169" spans="17:17" ht="13.2">
      <c r="Q169" s="47"/>
    </row>
    <row r="170" spans="17:17" ht="13.2">
      <c r="Q170" s="47"/>
    </row>
    <row r="171" spans="17:17" ht="13.2">
      <c r="Q171" s="47"/>
    </row>
    <row r="172" spans="17:17" ht="13.2">
      <c r="Q172" s="47"/>
    </row>
    <row r="173" spans="17:17" ht="13.2">
      <c r="Q173" s="47"/>
    </row>
    <row r="174" spans="17:17" ht="13.2">
      <c r="Q174" s="47"/>
    </row>
    <row r="175" spans="17:17" ht="13.2">
      <c r="Q175" s="47"/>
    </row>
    <row r="176" spans="17:17" ht="13.2">
      <c r="Q176" s="47"/>
    </row>
    <row r="177" spans="17:17" ht="13.2">
      <c r="Q177" s="47"/>
    </row>
    <row r="178" spans="17:17" ht="13.2">
      <c r="Q178" s="47"/>
    </row>
    <row r="179" spans="17:17" ht="13.2">
      <c r="Q179" s="47"/>
    </row>
    <row r="180" spans="17:17" ht="13.2">
      <c r="Q180" s="47"/>
    </row>
    <row r="181" spans="17:17" ht="13.2">
      <c r="Q181" s="47"/>
    </row>
    <row r="182" spans="17:17" ht="13.2">
      <c r="Q182" s="47"/>
    </row>
    <row r="183" spans="17:17" ht="13.2">
      <c r="Q183" s="47"/>
    </row>
    <row r="184" spans="17:17" ht="13.2">
      <c r="Q184" s="47"/>
    </row>
    <row r="185" spans="17:17" ht="13.2">
      <c r="Q185" s="47"/>
    </row>
    <row r="186" spans="17:17" ht="13.2">
      <c r="Q186" s="47"/>
    </row>
    <row r="187" spans="17:17" ht="13.2">
      <c r="Q187" s="47"/>
    </row>
    <row r="188" spans="17:17" ht="13.2">
      <c r="Q188" s="47"/>
    </row>
    <row r="189" spans="17:17" ht="13.2">
      <c r="Q189" s="47"/>
    </row>
    <row r="190" spans="17:17" ht="13.2">
      <c r="Q190" s="47"/>
    </row>
    <row r="191" spans="17:17" ht="13.2">
      <c r="Q191" s="47"/>
    </row>
    <row r="192" spans="17:17" ht="13.2">
      <c r="Q192" s="47"/>
    </row>
    <row r="193" spans="17:17" ht="13.2">
      <c r="Q193" s="47"/>
    </row>
    <row r="194" spans="17:17" ht="13.2">
      <c r="Q194" s="47"/>
    </row>
    <row r="195" spans="17:17" ht="13.2">
      <c r="Q195" s="47"/>
    </row>
    <row r="196" spans="17:17" ht="13.2">
      <c r="Q196" s="47"/>
    </row>
    <row r="197" spans="17:17" ht="13.2">
      <c r="Q197" s="47"/>
    </row>
    <row r="198" spans="17:17" ht="13.2">
      <c r="Q198" s="47"/>
    </row>
    <row r="199" spans="17:17" ht="13.2">
      <c r="Q199" s="47"/>
    </row>
    <row r="200" spans="17:17" ht="13.2">
      <c r="Q200" s="47"/>
    </row>
    <row r="201" spans="17:17" ht="13.2">
      <c r="Q201" s="47"/>
    </row>
    <row r="202" spans="17:17" ht="13.2">
      <c r="Q202" s="47"/>
    </row>
    <row r="203" spans="17:17" ht="13.2">
      <c r="Q203" s="47"/>
    </row>
    <row r="204" spans="17:17" ht="13.2">
      <c r="Q204" s="47"/>
    </row>
    <row r="205" spans="17:17" ht="13.2">
      <c r="Q205" s="47"/>
    </row>
    <row r="206" spans="17:17" ht="13.2">
      <c r="Q206" s="47"/>
    </row>
    <row r="207" spans="17:17" ht="13.2">
      <c r="Q207" s="47"/>
    </row>
    <row r="208" spans="17:17" ht="13.2">
      <c r="Q208" s="47"/>
    </row>
    <row r="209" spans="17:17" ht="13.2">
      <c r="Q209" s="47"/>
    </row>
    <row r="210" spans="17:17" ht="13.2">
      <c r="Q210" s="47"/>
    </row>
    <row r="211" spans="17:17" ht="13.2">
      <c r="Q211" s="47"/>
    </row>
    <row r="212" spans="17:17" ht="13.2">
      <c r="Q212" s="47"/>
    </row>
    <row r="213" spans="17:17" ht="13.2">
      <c r="Q213" s="47"/>
    </row>
    <row r="214" spans="17:17" ht="13.2">
      <c r="Q214" s="47"/>
    </row>
    <row r="215" spans="17:17" ht="13.2">
      <c r="Q215" s="47"/>
    </row>
    <row r="216" spans="17:17" ht="13.2">
      <c r="Q216" s="47"/>
    </row>
    <row r="217" spans="17:17" ht="13.2">
      <c r="Q217" s="47"/>
    </row>
    <row r="218" spans="17:17" ht="13.2">
      <c r="Q218" s="47"/>
    </row>
    <row r="219" spans="17:17" ht="13.2">
      <c r="Q219" s="47"/>
    </row>
    <row r="220" spans="17:17" ht="13.2">
      <c r="Q220" s="47"/>
    </row>
    <row r="221" spans="17:17" ht="13.2">
      <c r="Q221" s="47"/>
    </row>
    <row r="222" spans="17:17" ht="13.2">
      <c r="Q222" s="47"/>
    </row>
    <row r="223" spans="17:17" ht="13.2">
      <c r="Q223" s="47"/>
    </row>
    <row r="224" spans="17:17" ht="13.2">
      <c r="Q224" s="47"/>
    </row>
    <row r="225" spans="17:17" ht="13.2">
      <c r="Q225" s="47"/>
    </row>
    <row r="226" spans="17:17" ht="13.2">
      <c r="Q226" s="47"/>
    </row>
    <row r="227" spans="17:17" ht="13.2">
      <c r="Q227" s="47"/>
    </row>
    <row r="228" spans="17:17" ht="13.2">
      <c r="Q228" s="47"/>
    </row>
    <row r="229" spans="17:17" ht="13.2">
      <c r="Q229" s="47"/>
    </row>
    <row r="230" spans="17:17" ht="13.2">
      <c r="Q230" s="47"/>
    </row>
    <row r="231" spans="17:17" ht="13.2">
      <c r="Q231" s="47"/>
    </row>
    <row r="232" spans="17:17" ht="13.2">
      <c r="Q232" s="47"/>
    </row>
    <row r="233" spans="17:17" ht="13.2">
      <c r="Q233" s="47"/>
    </row>
    <row r="234" spans="17:17" ht="13.2">
      <c r="Q234" s="47"/>
    </row>
    <row r="235" spans="17:17" ht="13.2">
      <c r="Q235" s="47"/>
    </row>
    <row r="236" spans="17:17" ht="13.2">
      <c r="Q236" s="47"/>
    </row>
    <row r="237" spans="17:17" ht="13.2">
      <c r="Q237" s="47"/>
    </row>
    <row r="238" spans="17:17" ht="13.2">
      <c r="Q238" s="47"/>
    </row>
    <row r="239" spans="17:17" ht="13.2">
      <c r="Q239" s="47"/>
    </row>
    <row r="240" spans="17:17" ht="13.2">
      <c r="Q240" s="47"/>
    </row>
    <row r="241" spans="17:17" ht="13.2">
      <c r="Q241" s="47"/>
    </row>
    <row r="242" spans="17:17" ht="13.2">
      <c r="Q242" s="47"/>
    </row>
    <row r="243" spans="17:17" ht="13.2">
      <c r="Q243" s="47"/>
    </row>
    <row r="244" spans="17:17" ht="13.2">
      <c r="Q244" s="47"/>
    </row>
    <row r="245" spans="17:17" ht="13.2">
      <c r="Q245" s="47"/>
    </row>
    <row r="246" spans="17:17" ht="13.2">
      <c r="Q246" s="47"/>
    </row>
    <row r="247" spans="17:17" ht="13.2">
      <c r="Q247" s="47"/>
    </row>
    <row r="248" spans="17:17" ht="13.2">
      <c r="Q248" s="47"/>
    </row>
    <row r="249" spans="17:17" ht="13.2">
      <c r="Q249" s="47"/>
    </row>
    <row r="250" spans="17:17" ht="13.2">
      <c r="Q250" s="47"/>
    </row>
    <row r="251" spans="17:17" ht="13.2">
      <c r="Q251" s="47"/>
    </row>
    <row r="252" spans="17:17" ht="13.2">
      <c r="Q252" s="47"/>
    </row>
    <row r="253" spans="17:17" ht="13.2">
      <c r="Q253" s="47"/>
    </row>
    <row r="254" spans="17:17" ht="13.2">
      <c r="Q254" s="47"/>
    </row>
    <row r="255" spans="17:17" ht="13.2">
      <c r="Q255" s="47"/>
    </row>
    <row r="256" spans="17:17" ht="13.2">
      <c r="Q256" s="47"/>
    </row>
    <row r="257" spans="17:17" ht="13.2">
      <c r="Q257" s="47"/>
    </row>
    <row r="258" spans="17:17" ht="13.2">
      <c r="Q258" s="47"/>
    </row>
    <row r="259" spans="17:17" ht="13.2">
      <c r="Q259" s="47"/>
    </row>
    <row r="260" spans="17:17" ht="13.2">
      <c r="Q260" s="47"/>
    </row>
    <row r="261" spans="17:17" ht="13.2">
      <c r="Q261" s="47"/>
    </row>
    <row r="262" spans="17:17" ht="13.2">
      <c r="Q262" s="47"/>
    </row>
    <row r="263" spans="17:17" ht="13.2">
      <c r="Q263" s="47"/>
    </row>
    <row r="264" spans="17:17" ht="13.2">
      <c r="Q264" s="47"/>
    </row>
    <row r="265" spans="17:17" ht="13.2">
      <c r="Q265" s="47"/>
    </row>
    <row r="266" spans="17:17" ht="13.2">
      <c r="Q266" s="47"/>
    </row>
    <row r="267" spans="17:17" ht="13.2">
      <c r="Q267" s="47"/>
    </row>
    <row r="268" spans="17:17" ht="13.2">
      <c r="Q268" s="47"/>
    </row>
    <row r="269" spans="17:17" ht="13.2">
      <c r="Q269" s="47"/>
    </row>
    <row r="270" spans="17:17" ht="13.2">
      <c r="Q270" s="47"/>
    </row>
    <row r="271" spans="17:17" ht="13.2">
      <c r="Q271" s="47"/>
    </row>
    <row r="272" spans="17:17" ht="13.2">
      <c r="Q272" s="47"/>
    </row>
    <row r="273" spans="17:17" ht="13.2">
      <c r="Q273" s="47"/>
    </row>
    <row r="274" spans="17:17" ht="13.2">
      <c r="Q274" s="47"/>
    </row>
    <row r="275" spans="17:17" ht="13.2">
      <c r="Q275" s="47"/>
    </row>
    <row r="276" spans="17:17" ht="13.2">
      <c r="Q276" s="47"/>
    </row>
    <row r="277" spans="17:17" ht="13.2">
      <c r="Q277" s="47"/>
    </row>
    <row r="278" spans="17:17" ht="13.2">
      <c r="Q278" s="47"/>
    </row>
    <row r="279" spans="17:17" ht="13.2">
      <c r="Q279" s="47"/>
    </row>
    <row r="280" spans="17:17" ht="13.2">
      <c r="Q280" s="47"/>
    </row>
    <row r="281" spans="17:17" ht="13.2">
      <c r="Q281" s="47"/>
    </row>
    <row r="282" spans="17:17" ht="13.2">
      <c r="Q282" s="47"/>
    </row>
    <row r="283" spans="17:17" ht="13.2">
      <c r="Q283" s="47"/>
    </row>
    <row r="284" spans="17:17" ht="13.2">
      <c r="Q284" s="47"/>
    </row>
    <row r="285" spans="17:17" ht="13.2">
      <c r="Q285" s="47"/>
    </row>
    <row r="286" spans="17:17" ht="13.2">
      <c r="Q286" s="47"/>
    </row>
    <row r="287" spans="17:17" ht="13.2">
      <c r="Q287" s="47"/>
    </row>
    <row r="288" spans="17:17" ht="13.2">
      <c r="Q288" s="47"/>
    </row>
    <row r="289" spans="17:17" ht="13.2">
      <c r="Q289" s="47"/>
    </row>
    <row r="290" spans="17:17" ht="13.2">
      <c r="Q290" s="47"/>
    </row>
    <row r="291" spans="17:17" ht="13.2">
      <c r="Q291" s="47"/>
    </row>
    <row r="292" spans="17:17" ht="13.2">
      <c r="Q292" s="47"/>
    </row>
    <row r="293" spans="17:17" ht="13.2">
      <c r="Q293" s="47"/>
    </row>
    <row r="294" spans="17:17" ht="13.2">
      <c r="Q294" s="47"/>
    </row>
    <row r="295" spans="17:17" ht="13.2">
      <c r="Q295" s="47"/>
    </row>
    <row r="296" spans="17:17" ht="13.2">
      <c r="Q296" s="47"/>
    </row>
    <row r="297" spans="17:17" ht="13.2">
      <c r="Q297" s="47"/>
    </row>
    <row r="298" spans="17:17" ht="13.2">
      <c r="Q298" s="47"/>
    </row>
    <row r="299" spans="17:17" ht="13.2">
      <c r="Q299" s="47"/>
    </row>
    <row r="300" spans="17:17" ht="13.2">
      <c r="Q300" s="47"/>
    </row>
    <row r="301" spans="17:17" ht="13.2">
      <c r="Q301" s="47"/>
    </row>
    <row r="302" spans="17:17" ht="13.2">
      <c r="Q302" s="47"/>
    </row>
    <row r="303" spans="17:17" ht="13.2">
      <c r="Q303" s="47"/>
    </row>
    <row r="304" spans="17:17" ht="13.2">
      <c r="Q304" s="47"/>
    </row>
    <row r="305" spans="17:17" ht="13.2">
      <c r="Q305" s="47"/>
    </row>
    <row r="306" spans="17:17" ht="13.2">
      <c r="Q306" s="47"/>
    </row>
    <row r="307" spans="17:17" ht="13.2">
      <c r="Q307" s="47"/>
    </row>
    <row r="308" spans="17:17" ht="13.2">
      <c r="Q308" s="47"/>
    </row>
    <row r="309" spans="17:17" ht="13.2">
      <c r="Q309" s="47"/>
    </row>
    <row r="310" spans="17:17" ht="13.2">
      <c r="Q310" s="47"/>
    </row>
    <row r="311" spans="17:17" ht="13.2">
      <c r="Q311" s="47"/>
    </row>
    <row r="312" spans="17:17" ht="13.2">
      <c r="Q312" s="47"/>
    </row>
    <row r="313" spans="17:17" ht="13.2">
      <c r="Q313" s="47"/>
    </row>
    <row r="314" spans="17:17" ht="13.2">
      <c r="Q314" s="47"/>
    </row>
    <row r="315" spans="17:17" ht="13.2">
      <c r="Q315" s="47"/>
    </row>
    <row r="316" spans="17:17" ht="13.2">
      <c r="Q316" s="47"/>
    </row>
    <row r="317" spans="17:17" ht="13.2">
      <c r="Q317" s="47"/>
    </row>
    <row r="318" spans="17:17" ht="13.2">
      <c r="Q318" s="47"/>
    </row>
    <row r="319" spans="17:17" ht="13.2">
      <c r="Q319" s="47"/>
    </row>
    <row r="320" spans="17:17" ht="13.2">
      <c r="Q320" s="47"/>
    </row>
    <row r="321" spans="17:17" ht="13.2">
      <c r="Q321" s="47"/>
    </row>
    <row r="322" spans="17:17" ht="13.2">
      <c r="Q322" s="47"/>
    </row>
    <row r="323" spans="17:17" ht="13.2">
      <c r="Q323" s="47"/>
    </row>
    <row r="324" spans="17:17" ht="13.2">
      <c r="Q324" s="47"/>
    </row>
    <row r="325" spans="17:17" ht="13.2">
      <c r="Q325" s="47"/>
    </row>
    <row r="326" spans="17:17" ht="13.2">
      <c r="Q326" s="47"/>
    </row>
    <row r="327" spans="17:17" ht="13.2">
      <c r="Q327" s="47"/>
    </row>
    <row r="328" spans="17:17" ht="13.2">
      <c r="Q328" s="47"/>
    </row>
    <row r="329" spans="17:17" ht="13.2">
      <c r="Q329" s="47"/>
    </row>
    <row r="330" spans="17:17" ht="13.2">
      <c r="Q330" s="47"/>
    </row>
    <row r="331" spans="17:17" ht="13.2">
      <c r="Q331" s="47"/>
    </row>
    <row r="332" spans="17:17" ht="13.2">
      <c r="Q332" s="47"/>
    </row>
    <row r="333" spans="17:17" ht="13.2">
      <c r="Q333" s="47"/>
    </row>
    <row r="334" spans="17:17" ht="13.2">
      <c r="Q334" s="47"/>
    </row>
    <row r="335" spans="17:17" ht="13.2">
      <c r="Q335" s="47"/>
    </row>
    <row r="336" spans="17:17" ht="13.2">
      <c r="Q336" s="47"/>
    </row>
    <row r="337" spans="17:17" ht="13.2">
      <c r="Q337" s="47"/>
    </row>
    <row r="338" spans="17:17" ht="13.2">
      <c r="Q338" s="47"/>
    </row>
    <row r="339" spans="17:17" ht="13.2">
      <c r="Q339" s="47"/>
    </row>
    <row r="340" spans="17:17" ht="13.2">
      <c r="Q340" s="47"/>
    </row>
    <row r="341" spans="17:17" ht="13.2">
      <c r="Q341" s="47"/>
    </row>
    <row r="342" spans="17:17" ht="13.2">
      <c r="Q342" s="47"/>
    </row>
    <row r="343" spans="17:17" ht="13.2">
      <c r="Q343" s="47"/>
    </row>
    <row r="344" spans="17:17" ht="13.2">
      <c r="Q344" s="47"/>
    </row>
    <row r="345" spans="17:17" ht="13.2">
      <c r="Q345" s="47"/>
    </row>
    <row r="346" spans="17:17" ht="13.2">
      <c r="Q346" s="47"/>
    </row>
    <row r="347" spans="17:17" ht="13.2">
      <c r="Q347" s="47"/>
    </row>
    <row r="348" spans="17:17" ht="13.2">
      <c r="Q348" s="47"/>
    </row>
    <row r="349" spans="17:17" ht="13.2">
      <c r="Q349" s="47"/>
    </row>
    <row r="350" spans="17:17" ht="13.2">
      <c r="Q350" s="47"/>
    </row>
    <row r="351" spans="17:17" ht="13.2">
      <c r="Q351" s="47"/>
    </row>
    <row r="352" spans="17:17" ht="13.2">
      <c r="Q352" s="47"/>
    </row>
    <row r="353" spans="17:17" ht="13.2">
      <c r="Q353" s="47"/>
    </row>
    <row r="354" spans="17:17" ht="13.2">
      <c r="Q354" s="47"/>
    </row>
    <row r="355" spans="17:17" ht="13.2">
      <c r="Q355" s="47"/>
    </row>
    <row r="356" spans="17:17" ht="13.2">
      <c r="Q356" s="47"/>
    </row>
    <row r="357" spans="17:17" ht="13.2">
      <c r="Q357" s="47"/>
    </row>
    <row r="358" spans="17:17" ht="13.2">
      <c r="Q358" s="47"/>
    </row>
    <row r="359" spans="17:17" ht="13.2">
      <c r="Q359" s="47"/>
    </row>
    <row r="360" spans="17:17" ht="13.2">
      <c r="Q360" s="47"/>
    </row>
    <row r="361" spans="17:17" ht="13.2">
      <c r="Q361" s="47"/>
    </row>
    <row r="362" spans="17:17" ht="13.2">
      <c r="Q362" s="47"/>
    </row>
    <row r="363" spans="17:17" ht="13.2">
      <c r="Q363" s="47"/>
    </row>
    <row r="364" spans="17:17" ht="13.2">
      <c r="Q364" s="47"/>
    </row>
    <row r="365" spans="17:17" ht="13.2">
      <c r="Q365" s="47"/>
    </row>
    <row r="366" spans="17:17" ht="13.2">
      <c r="Q366" s="47"/>
    </row>
    <row r="367" spans="17:17" ht="13.2">
      <c r="Q367" s="47"/>
    </row>
    <row r="368" spans="17:17" ht="13.2">
      <c r="Q368" s="47"/>
    </row>
    <row r="369" spans="17:17" ht="13.2">
      <c r="Q369" s="47"/>
    </row>
    <row r="370" spans="17:17" ht="13.2">
      <c r="Q370" s="47"/>
    </row>
    <row r="371" spans="17:17" ht="13.2">
      <c r="Q371" s="47"/>
    </row>
    <row r="372" spans="17:17" ht="13.2">
      <c r="Q372" s="47"/>
    </row>
    <row r="373" spans="17:17" ht="13.2">
      <c r="Q373" s="47"/>
    </row>
    <row r="374" spans="17:17" ht="13.2">
      <c r="Q374" s="47"/>
    </row>
    <row r="375" spans="17:17" ht="13.2">
      <c r="Q375" s="47"/>
    </row>
    <row r="376" spans="17:17" ht="13.2">
      <c r="Q376" s="47"/>
    </row>
    <row r="377" spans="17:17" ht="13.2">
      <c r="Q377" s="47"/>
    </row>
    <row r="378" spans="17:17" ht="13.2">
      <c r="Q378" s="47"/>
    </row>
    <row r="379" spans="17:17" ht="13.2">
      <c r="Q379" s="47"/>
    </row>
    <row r="380" spans="17:17" ht="13.2">
      <c r="Q380" s="47"/>
    </row>
    <row r="381" spans="17:17" ht="13.2">
      <c r="Q381" s="47"/>
    </row>
    <row r="382" spans="17:17" ht="13.2">
      <c r="Q382" s="47"/>
    </row>
    <row r="383" spans="17:17" ht="13.2">
      <c r="Q383" s="47"/>
    </row>
    <row r="384" spans="17:17" ht="13.2">
      <c r="Q384" s="47"/>
    </row>
    <row r="385" spans="17:17" ht="13.2">
      <c r="Q385" s="47"/>
    </row>
    <row r="386" spans="17:17" ht="13.2">
      <c r="Q386" s="47"/>
    </row>
    <row r="387" spans="17:17" ht="13.2">
      <c r="Q387" s="47"/>
    </row>
    <row r="388" spans="17:17" ht="13.2">
      <c r="Q388" s="47"/>
    </row>
    <row r="389" spans="17:17" ht="13.2">
      <c r="Q389" s="47"/>
    </row>
    <row r="390" spans="17:17" ht="13.2">
      <c r="Q390" s="47"/>
    </row>
    <row r="391" spans="17:17" ht="13.2">
      <c r="Q391" s="47"/>
    </row>
    <row r="392" spans="17:17" ht="13.2">
      <c r="Q392" s="47"/>
    </row>
    <row r="393" spans="17:17" ht="13.2">
      <c r="Q393" s="47"/>
    </row>
    <row r="394" spans="17:17" ht="13.2">
      <c r="Q394" s="47"/>
    </row>
    <row r="395" spans="17:17" ht="13.2">
      <c r="Q395" s="47"/>
    </row>
    <row r="396" spans="17:17" ht="13.2">
      <c r="Q396" s="47"/>
    </row>
    <row r="397" spans="17:17" ht="13.2">
      <c r="Q397" s="47"/>
    </row>
    <row r="398" spans="17:17" ht="13.2">
      <c r="Q398" s="47"/>
    </row>
    <row r="399" spans="17:17" ht="13.2">
      <c r="Q399" s="47"/>
    </row>
    <row r="400" spans="17:17" ht="13.2">
      <c r="Q400" s="47"/>
    </row>
    <row r="401" spans="17:17" ht="13.2">
      <c r="Q401" s="47"/>
    </row>
    <row r="402" spans="17:17" ht="13.2">
      <c r="Q402" s="47"/>
    </row>
    <row r="403" spans="17:17" ht="13.2">
      <c r="Q403" s="47"/>
    </row>
    <row r="404" spans="17:17" ht="13.2">
      <c r="Q404" s="47"/>
    </row>
    <row r="405" spans="17:17" ht="13.2">
      <c r="Q405" s="47"/>
    </row>
    <row r="406" spans="17:17" ht="13.2">
      <c r="Q406" s="47"/>
    </row>
    <row r="407" spans="17:17" ht="13.2">
      <c r="Q407" s="47"/>
    </row>
    <row r="408" spans="17:17" ht="13.2">
      <c r="Q408" s="47"/>
    </row>
    <row r="409" spans="17:17" ht="13.2">
      <c r="Q409" s="47"/>
    </row>
    <row r="410" spans="17:17" ht="13.2">
      <c r="Q410" s="47"/>
    </row>
    <row r="411" spans="17:17" ht="13.2">
      <c r="Q411" s="47"/>
    </row>
    <row r="412" spans="17:17" ht="13.2">
      <c r="Q412" s="47"/>
    </row>
    <row r="413" spans="17:17" ht="13.2">
      <c r="Q413" s="47"/>
    </row>
    <row r="414" spans="17:17" ht="13.2">
      <c r="Q414" s="47"/>
    </row>
    <row r="415" spans="17:17" ht="13.2">
      <c r="Q415" s="47"/>
    </row>
    <row r="416" spans="17:17" ht="13.2">
      <c r="Q416" s="47"/>
    </row>
    <row r="417" spans="17:17" ht="13.2">
      <c r="Q417" s="47"/>
    </row>
    <row r="418" spans="17:17" ht="13.2">
      <c r="Q418" s="47"/>
    </row>
    <row r="419" spans="17:17" ht="13.2">
      <c r="Q419" s="47"/>
    </row>
    <row r="420" spans="17:17" ht="13.2">
      <c r="Q420" s="47"/>
    </row>
    <row r="421" spans="17:17" ht="13.2">
      <c r="Q421" s="47"/>
    </row>
    <row r="422" spans="17:17" ht="13.2">
      <c r="Q422" s="47"/>
    </row>
    <row r="423" spans="17:17" ht="13.2">
      <c r="Q423" s="47"/>
    </row>
    <row r="424" spans="17:17" ht="13.2">
      <c r="Q424" s="47"/>
    </row>
    <row r="425" spans="17:17" ht="13.2">
      <c r="Q425" s="47"/>
    </row>
    <row r="426" spans="17:17" ht="13.2">
      <c r="Q426" s="47"/>
    </row>
    <row r="427" spans="17:17" ht="13.2">
      <c r="Q427" s="47"/>
    </row>
    <row r="428" spans="17:17" ht="13.2">
      <c r="Q428" s="47"/>
    </row>
    <row r="429" spans="17:17" ht="13.2">
      <c r="Q429" s="47"/>
    </row>
    <row r="430" spans="17:17" ht="13.2">
      <c r="Q430" s="47"/>
    </row>
    <row r="431" spans="17:17" ht="13.2">
      <c r="Q431" s="47"/>
    </row>
    <row r="432" spans="17:17" ht="13.2">
      <c r="Q432" s="47"/>
    </row>
    <row r="433" spans="17:17" ht="13.2">
      <c r="Q433" s="47"/>
    </row>
    <row r="434" spans="17:17" ht="13.2">
      <c r="Q434" s="47"/>
    </row>
    <row r="435" spans="17:17" ht="13.2">
      <c r="Q435" s="47"/>
    </row>
    <row r="436" spans="17:17" ht="13.2">
      <c r="Q436" s="47"/>
    </row>
    <row r="437" spans="17:17" ht="13.2">
      <c r="Q437" s="47"/>
    </row>
    <row r="438" spans="17:17" ht="13.2">
      <c r="Q438" s="47"/>
    </row>
    <row r="439" spans="17:17" ht="13.2">
      <c r="Q439" s="47"/>
    </row>
    <row r="440" spans="17:17" ht="13.2">
      <c r="Q440" s="47"/>
    </row>
    <row r="441" spans="17:17" ht="13.2">
      <c r="Q441" s="47"/>
    </row>
    <row r="442" spans="17:17" ht="13.2">
      <c r="Q442" s="47"/>
    </row>
    <row r="443" spans="17:17" ht="13.2">
      <c r="Q443" s="47"/>
    </row>
    <row r="444" spans="17:17" ht="13.2">
      <c r="Q444" s="47"/>
    </row>
    <row r="445" spans="17:17" ht="13.2">
      <c r="Q445" s="47"/>
    </row>
    <row r="446" spans="17:17" ht="13.2">
      <c r="Q446" s="47"/>
    </row>
    <row r="447" spans="17:17" ht="13.2">
      <c r="Q447" s="47"/>
    </row>
    <row r="448" spans="17:17" ht="13.2">
      <c r="Q448" s="47"/>
    </row>
    <row r="449" spans="17:17" ht="13.2">
      <c r="Q449" s="47"/>
    </row>
    <row r="450" spans="17:17" ht="13.2">
      <c r="Q450" s="47"/>
    </row>
    <row r="451" spans="17:17" ht="13.2">
      <c r="Q451" s="47"/>
    </row>
    <row r="452" spans="17:17" ht="13.2">
      <c r="Q452" s="47"/>
    </row>
    <row r="453" spans="17:17" ht="13.2">
      <c r="Q453" s="47"/>
    </row>
    <row r="454" spans="17:17" ht="13.2">
      <c r="Q454" s="47"/>
    </row>
    <row r="455" spans="17:17" ht="13.2">
      <c r="Q455" s="47"/>
    </row>
    <row r="456" spans="17:17" ht="13.2">
      <c r="Q456" s="47"/>
    </row>
    <row r="457" spans="17:17" ht="13.2">
      <c r="Q457" s="47"/>
    </row>
    <row r="458" spans="17:17" ht="13.2">
      <c r="Q458" s="47"/>
    </row>
    <row r="459" spans="17:17" ht="13.2">
      <c r="Q459" s="47"/>
    </row>
    <row r="460" spans="17:17" ht="13.2">
      <c r="Q460" s="47"/>
    </row>
    <row r="461" spans="17:17" ht="13.2">
      <c r="Q461" s="47"/>
    </row>
    <row r="462" spans="17:17" ht="13.2">
      <c r="Q462" s="47"/>
    </row>
    <row r="463" spans="17:17" ht="13.2">
      <c r="Q463" s="47"/>
    </row>
    <row r="464" spans="17:17" ht="13.2">
      <c r="Q464" s="47"/>
    </row>
    <row r="465" spans="17:17" ht="13.2">
      <c r="Q465" s="47"/>
    </row>
    <row r="466" spans="17:17" ht="13.2">
      <c r="Q466" s="47"/>
    </row>
    <row r="467" spans="17:17" ht="13.2">
      <c r="Q467" s="47"/>
    </row>
    <row r="468" spans="17:17" ht="13.2">
      <c r="Q468" s="47"/>
    </row>
    <row r="469" spans="17:17" ht="13.2">
      <c r="Q469" s="47"/>
    </row>
    <row r="470" spans="17:17" ht="13.2">
      <c r="Q470" s="47"/>
    </row>
    <row r="471" spans="17:17" ht="13.2">
      <c r="Q471" s="47"/>
    </row>
    <row r="472" spans="17:17" ht="13.2">
      <c r="Q472" s="47"/>
    </row>
    <row r="473" spans="17:17" ht="13.2">
      <c r="Q473" s="47"/>
    </row>
    <row r="474" spans="17:17" ht="13.2">
      <c r="Q474" s="47"/>
    </row>
    <row r="475" spans="17:17" ht="13.2">
      <c r="Q475" s="47"/>
    </row>
    <row r="476" spans="17:17" ht="13.2">
      <c r="Q476" s="47"/>
    </row>
    <row r="477" spans="17:17" ht="13.2">
      <c r="Q477" s="47"/>
    </row>
    <row r="478" spans="17:17" ht="13.2">
      <c r="Q478" s="47"/>
    </row>
    <row r="479" spans="17:17" ht="13.2">
      <c r="Q479" s="47"/>
    </row>
    <row r="480" spans="17:17" ht="13.2">
      <c r="Q480" s="47"/>
    </row>
    <row r="481" spans="17:17" ht="13.2">
      <c r="Q481" s="47"/>
    </row>
    <row r="482" spans="17:17" ht="13.2">
      <c r="Q482" s="47"/>
    </row>
    <row r="483" spans="17:17" ht="13.2">
      <c r="Q483" s="47"/>
    </row>
    <row r="484" spans="17:17" ht="13.2">
      <c r="Q484" s="47"/>
    </row>
    <row r="485" spans="17:17" ht="13.2">
      <c r="Q485" s="47"/>
    </row>
    <row r="486" spans="17:17" ht="13.2">
      <c r="Q486" s="47"/>
    </row>
    <row r="487" spans="17:17" ht="13.2">
      <c r="Q487" s="47"/>
    </row>
    <row r="488" spans="17:17" ht="13.2">
      <c r="Q488" s="47"/>
    </row>
    <row r="489" spans="17:17" ht="13.2">
      <c r="Q489" s="47"/>
    </row>
    <row r="490" spans="17:17" ht="13.2">
      <c r="Q490" s="47"/>
    </row>
    <row r="491" spans="17:17" ht="13.2">
      <c r="Q491" s="47"/>
    </row>
    <row r="492" spans="17:17" ht="13.2">
      <c r="Q492" s="47"/>
    </row>
    <row r="493" spans="17:17" ht="13.2">
      <c r="Q493" s="47"/>
    </row>
    <row r="494" spans="17:17" ht="13.2">
      <c r="Q494" s="47"/>
    </row>
    <row r="495" spans="17:17" ht="13.2">
      <c r="Q495" s="47"/>
    </row>
    <row r="496" spans="17:17" ht="13.2">
      <c r="Q496" s="47"/>
    </row>
    <row r="497" spans="17:17" ht="13.2">
      <c r="Q497" s="47"/>
    </row>
    <row r="498" spans="17:17" ht="13.2">
      <c r="Q498" s="47"/>
    </row>
    <row r="499" spans="17:17" ht="13.2">
      <c r="Q499" s="47"/>
    </row>
    <row r="500" spans="17:17" ht="13.2">
      <c r="Q500" s="47"/>
    </row>
    <row r="501" spans="17:17" ht="13.2">
      <c r="Q501" s="47"/>
    </row>
    <row r="502" spans="17:17" ht="13.2">
      <c r="Q502" s="47"/>
    </row>
    <row r="503" spans="17:17" ht="13.2">
      <c r="Q503" s="47"/>
    </row>
    <row r="504" spans="17:17" ht="13.2">
      <c r="Q504" s="47"/>
    </row>
    <row r="505" spans="17:17" ht="13.2">
      <c r="Q505" s="47"/>
    </row>
    <row r="506" spans="17:17" ht="13.2">
      <c r="Q506" s="47"/>
    </row>
    <row r="507" spans="17:17" ht="13.2">
      <c r="Q507" s="47"/>
    </row>
    <row r="508" spans="17:17" ht="13.2">
      <c r="Q508" s="47"/>
    </row>
    <row r="509" spans="17:17" ht="13.2">
      <c r="Q509" s="47"/>
    </row>
    <row r="510" spans="17:17" ht="13.2">
      <c r="Q510" s="47"/>
    </row>
    <row r="511" spans="17:17" ht="13.2">
      <c r="Q511" s="47"/>
    </row>
    <row r="512" spans="17:17" ht="13.2">
      <c r="Q512" s="47"/>
    </row>
    <row r="513" spans="17:17" ht="13.2">
      <c r="Q513" s="47"/>
    </row>
    <row r="514" spans="17:17" ht="13.2">
      <c r="Q514" s="47"/>
    </row>
    <row r="515" spans="17:17" ht="13.2">
      <c r="Q515" s="47"/>
    </row>
    <row r="516" spans="17:17" ht="13.2">
      <c r="Q516" s="47"/>
    </row>
    <row r="517" spans="17:17" ht="13.2">
      <c r="Q517" s="47"/>
    </row>
    <row r="518" spans="17:17" ht="13.2">
      <c r="Q518" s="47"/>
    </row>
    <row r="519" spans="17:17" ht="13.2">
      <c r="Q519" s="47"/>
    </row>
    <row r="520" spans="17:17" ht="13.2">
      <c r="Q520" s="47"/>
    </row>
    <row r="521" spans="17:17" ht="13.2">
      <c r="Q521" s="47"/>
    </row>
    <row r="522" spans="17:17" ht="13.2">
      <c r="Q522" s="47"/>
    </row>
    <row r="523" spans="17:17" ht="13.2">
      <c r="Q523" s="47"/>
    </row>
    <row r="524" spans="17:17" ht="13.2">
      <c r="Q524" s="47"/>
    </row>
    <row r="525" spans="17:17" ht="13.2">
      <c r="Q525" s="47"/>
    </row>
    <row r="526" spans="17:17" ht="13.2">
      <c r="Q526" s="47"/>
    </row>
    <row r="527" spans="17:17" ht="13.2">
      <c r="Q527" s="47"/>
    </row>
    <row r="528" spans="17:17" ht="13.2">
      <c r="Q528" s="47"/>
    </row>
    <row r="529" spans="17:17" ht="13.2">
      <c r="Q529" s="47"/>
    </row>
    <row r="530" spans="17:17" ht="13.2">
      <c r="Q530" s="47"/>
    </row>
    <row r="531" spans="17:17" ht="13.2">
      <c r="Q531" s="47"/>
    </row>
    <row r="532" spans="17:17" ht="13.2">
      <c r="Q532" s="47"/>
    </row>
    <row r="533" spans="17:17" ht="13.2">
      <c r="Q533" s="47"/>
    </row>
    <row r="534" spans="17:17" ht="13.2">
      <c r="Q534" s="47"/>
    </row>
    <row r="535" spans="17:17" ht="13.2">
      <c r="Q535" s="47"/>
    </row>
    <row r="536" spans="17:17" ht="13.2">
      <c r="Q536" s="47"/>
    </row>
    <row r="537" spans="17:17" ht="13.2">
      <c r="Q537" s="47"/>
    </row>
    <row r="538" spans="17:17" ht="13.2">
      <c r="Q538" s="47"/>
    </row>
    <row r="539" spans="17:17" ht="13.2">
      <c r="Q539" s="47"/>
    </row>
    <row r="540" spans="17:17" ht="13.2">
      <c r="Q540" s="47"/>
    </row>
    <row r="541" spans="17:17" ht="13.2">
      <c r="Q541" s="47"/>
    </row>
    <row r="542" spans="17:17" ht="13.2">
      <c r="Q542" s="47"/>
    </row>
    <row r="543" spans="17:17" ht="13.2">
      <c r="Q543" s="47"/>
    </row>
    <row r="544" spans="17:17" ht="13.2">
      <c r="Q544" s="47"/>
    </row>
    <row r="545" spans="17:17" ht="13.2">
      <c r="Q545" s="47"/>
    </row>
    <row r="546" spans="17:17" ht="13.2">
      <c r="Q546" s="47"/>
    </row>
    <row r="547" spans="17:17" ht="13.2">
      <c r="Q547" s="47"/>
    </row>
    <row r="548" spans="17:17" ht="13.2">
      <c r="Q548" s="47"/>
    </row>
    <row r="549" spans="17:17" ht="13.2">
      <c r="Q549" s="47"/>
    </row>
    <row r="550" spans="17:17" ht="13.2">
      <c r="Q550" s="47"/>
    </row>
    <row r="551" spans="17:17" ht="13.2">
      <c r="Q551" s="47"/>
    </row>
    <row r="552" spans="17:17" ht="13.2">
      <c r="Q552" s="47"/>
    </row>
    <row r="553" spans="17:17" ht="13.2">
      <c r="Q553" s="47"/>
    </row>
    <row r="554" spans="17:17" ht="13.2">
      <c r="Q554" s="47"/>
    </row>
    <row r="555" spans="17:17" ht="13.2">
      <c r="Q555" s="47"/>
    </row>
    <row r="556" spans="17:17" ht="13.2">
      <c r="Q556" s="47"/>
    </row>
    <row r="557" spans="17:17" ht="13.2">
      <c r="Q557" s="47"/>
    </row>
    <row r="558" spans="17:17" ht="13.2">
      <c r="Q558" s="47"/>
    </row>
    <row r="559" spans="17:17" ht="13.2">
      <c r="Q559" s="47"/>
    </row>
    <row r="560" spans="17:17" ht="13.2">
      <c r="Q560" s="47"/>
    </row>
    <row r="561" spans="17:17" ht="13.2">
      <c r="Q561" s="47"/>
    </row>
    <row r="562" spans="17:17" ht="13.2">
      <c r="Q562" s="47"/>
    </row>
    <row r="563" spans="17:17" ht="13.2">
      <c r="Q563" s="47"/>
    </row>
    <row r="564" spans="17:17" ht="13.2">
      <c r="Q564" s="47"/>
    </row>
    <row r="565" spans="17:17" ht="13.2">
      <c r="Q565" s="47"/>
    </row>
    <row r="566" spans="17:17" ht="13.2">
      <c r="Q566" s="47"/>
    </row>
    <row r="567" spans="17:17" ht="13.2">
      <c r="Q567" s="47"/>
    </row>
    <row r="568" spans="17:17" ht="13.2">
      <c r="Q568" s="47"/>
    </row>
    <row r="569" spans="17:17" ht="13.2">
      <c r="Q569" s="47"/>
    </row>
    <row r="570" spans="17:17" ht="13.2">
      <c r="Q570" s="47"/>
    </row>
    <row r="571" spans="17:17" ht="13.2">
      <c r="Q571" s="47"/>
    </row>
    <row r="572" spans="17:17" ht="13.2">
      <c r="Q572" s="47"/>
    </row>
    <row r="573" spans="17:17" ht="13.2">
      <c r="Q573" s="47"/>
    </row>
    <row r="574" spans="17:17" ht="13.2">
      <c r="Q574" s="47"/>
    </row>
    <row r="575" spans="17:17" ht="13.2">
      <c r="Q575" s="47"/>
    </row>
    <row r="576" spans="17:17" ht="13.2">
      <c r="Q576" s="47"/>
    </row>
    <row r="577" spans="17:17" ht="13.2">
      <c r="Q577" s="47"/>
    </row>
    <row r="578" spans="17:17" ht="13.2">
      <c r="Q578" s="47"/>
    </row>
    <row r="579" spans="17:17" ht="13.2">
      <c r="Q579" s="47"/>
    </row>
    <row r="580" spans="17:17" ht="13.2">
      <c r="Q580" s="47"/>
    </row>
    <row r="581" spans="17:17" ht="13.2">
      <c r="Q581" s="47"/>
    </row>
    <row r="582" spans="17:17" ht="13.2">
      <c r="Q582" s="47"/>
    </row>
    <row r="583" spans="17:17" ht="13.2">
      <c r="Q583" s="47"/>
    </row>
    <row r="584" spans="17:17" ht="13.2">
      <c r="Q584" s="47"/>
    </row>
    <row r="585" spans="17:17" ht="13.2">
      <c r="Q585" s="47"/>
    </row>
    <row r="586" spans="17:17" ht="13.2">
      <c r="Q586" s="47"/>
    </row>
    <row r="587" spans="17:17" ht="13.2">
      <c r="Q587" s="47"/>
    </row>
    <row r="588" spans="17:17" ht="13.2">
      <c r="Q588" s="47"/>
    </row>
    <row r="589" spans="17:17" ht="13.2">
      <c r="Q589" s="47"/>
    </row>
    <row r="590" spans="17:17" ht="13.2">
      <c r="Q590" s="47"/>
    </row>
    <row r="591" spans="17:17" ht="13.2">
      <c r="Q591" s="47"/>
    </row>
    <row r="592" spans="17:17" ht="13.2">
      <c r="Q592" s="47"/>
    </row>
    <row r="593" spans="17:17" ht="13.2">
      <c r="Q593" s="47"/>
    </row>
    <row r="594" spans="17:17" ht="13.2">
      <c r="Q594" s="47"/>
    </row>
    <row r="595" spans="17:17" ht="13.2">
      <c r="Q595" s="47"/>
    </row>
    <row r="596" spans="17:17" ht="13.2">
      <c r="Q596" s="47"/>
    </row>
    <row r="597" spans="17:17" ht="13.2">
      <c r="Q597" s="47"/>
    </row>
    <row r="598" spans="17:17" ht="13.2">
      <c r="Q598" s="47"/>
    </row>
    <row r="599" spans="17:17" ht="13.2">
      <c r="Q599" s="47"/>
    </row>
    <row r="600" spans="17:17" ht="13.2">
      <c r="Q600" s="47"/>
    </row>
    <row r="601" spans="17:17" ht="13.2">
      <c r="Q601" s="47"/>
    </row>
    <row r="602" spans="17:17" ht="13.2">
      <c r="Q602" s="47"/>
    </row>
    <row r="603" spans="17:17" ht="13.2">
      <c r="Q603" s="47"/>
    </row>
    <row r="604" spans="17:17" ht="13.2">
      <c r="Q604" s="47"/>
    </row>
    <row r="605" spans="17:17" ht="13.2">
      <c r="Q605" s="47"/>
    </row>
    <row r="606" spans="17:17" ht="13.2">
      <c r="Q606" s="47"/>
    </row>
    <row r="607" spans="17:17" ht="13.2">
      <c r="Q607" s="47"/>
    </row>
    <row r="608" spans="17:17" ht="13.2">
      <c r="Q608" s="47"/>
    </row>
    <row r="609" spans="17:17" ht="13.2">
      <c r="Q609" s="47"/>
    </row>
    <row r="610" spans="17:17" ht="13.2">
      <c r="Q610" s="47"/>
    </row>
    <row r="611" spans="17:17" ht="13.2">
      <c r="Q611" s="47"/>
    </row>
    <row r="612" spans="17:17" ht="13.2">
      <c r="Q612" s="47"/>
    </row>
    <row r="613" spans="17:17" ht="13.2">
      <c r="Q613" s="47"/>
    </row>
    <row r="614" spans="17:17" ht="13.2">
      <c r="Q614" s="47"/>
    </row>
    <row r="615" spans="17:17" ht="13.2">
      <c r="Q615" s="47"/>
    </row>
    <row r="616" spans="17:17" ht="13.2">
      <c r="Q616" s="47"/>
    </row>
    <row r="617" spans="17:17" ht="13.2">
      <c r="Q617" s="47"/>
    </row>
    <row r="618" spans="17:17" ht="13.2">
      <c r="Q618" s="47"/>
    </row>
    <row r="619" spans="17:17" ht="13.2">
      <c r="Q619" s="47"/>
    </row>
    <row r="620" spans="17:17" ht="13.2">
      <c r="Q620" s="47"/>
    </row>
    <row r="621" spans="17:17" ht="13.2">
      <c r="Q621" s="47"/>
    </row>
    <row r="622" spans="17:17" ht="13.2">
      <c r="Q622" s="47"/>
    </row>
    <row r="623" spans="17:17" ht="13.2">
      <c r="Q623" s="47"/>
    </row>
    <row r="624" spans="17:17" ht="13.2">
      <c r="Q624" s="47"/>
    </row>
    <row r="625" spans="17:17" ht="13.2">
      <c r="Q625" s="47"/>
    </row>
    <row r="626" spans="17:17" ht="13.2">
      <c r="Q626" s="47"/>
    </row>
    <row r="627" spans="17:17" ht="13.2">
      <c r="Q627" s="47"/>
    </row>
    <row r="628" spans="17:17" ht="13.2">
      <c r="Q628" s="47"/>
    </row>
    <row r="629" spans="17:17" ht="13.2">
      <c r="Q629" s="47"/>
    </row>
    <row r="630" spans="17:17" ht="13.2">
      <c r="Q630" s="47"/>
    </row>
    <row r="631" spans="17:17" ht="13.2">
      <c r="Q631" s="47"/>
    </row>
    <row r="632" spans="17:17" ht="13.2">
      <c r="Q632" s="47"/>
    </row>
    <row r="633" spans="17:17" ht="13.2">
      <c r="Q633" s="47"/>
    </row>
    <row r="634" spans="17:17" ht="13.2">
      <c r="Q634" s="47"/>
    </row>
    <row r="635" spans="17:17" ht="13.2">
      <c r="Q635" s="47"/>
    </row>
    <row r="636" spans="17:17" ht="13.2">
      <c r="Q636" s="47"/>
    </row>
    <row r="637" spans="17:17" ht="13.2">
      <c r="Q637" s="47"/>
    </row>
    <row r="638" spans="17:17" ht="13.2">
      <c r="Q638" s="47"/>
    </row>
    <row r="639" spans="17:17" ht="13.2">
      <c r="Q639" s="47"/>
    </row>
    <row r="640" spans="17:17" ht="13.2">
      <c r="Q640" s="47"/>
    </row>
    <row r="641" spans="17:17" ht="13.2">
      <c r="Q641" s="47"/>
    </row>
    <row r="642" spans="17:17" ht="13.2">
      <c r="Q642" s="47"/>
    </row>
    <row r="643" spans="17:17" ht="13.2">
      <c r="Q643" s="47"/>
    </row>
    <row r="644" spans="17:17" ht="13.2">
      <c r="Q644" s="47"/>
    </row>
    <row r="645" spans="17:17" ht="13.2">
      <c r="Q645" s="47"/>
    </row>
    <row r="646" spans="17:17" ht="13.2">
      <c r="Q646" s="47"/>
    </row>
    <row r="647" spans="17:17" ht="13.2">
      <c r="Q647" s="47"/>
    </row>
    <row r="648" spans="17:17" ht="13.2">
      <c r="Q648" s="47"/>
    </row>
    <row r="649" spans="17:17" ht="13.2">
      <c r="Q649" s="47"/>
    </row>
    <row r="650" spans="17:17" ht="13.2">
      <c r="Q650" s="47"/>
    </row>
    <row r="651" spans="17:17" ht="13.2">
      <c r="Q651" s="47"/>
    </row>
    <row r="652" spans="17:17" ht="13.2">
      <c r="Q652" s="47"/>
    </row>
    <row r="653" spans="17:17" ht="13.2">
      <c r="Q653" s="47"/>
    </row>
    <row r="654" spans="17:17" ht="13.2">
      <c r="Q654" s="47"/>
    </row>
    <row r="655" spans="17:17" ht="13.2">
      <c r="Q655" s="47"/>
    </row>
    <row r="656" spans="17:17" ht="13.2">
      <c r="Q656" s="47"/>
    </row>
    <row r="657" spans="17:17" ht="13.2">
      <c r="Q657" s="47"/>
    </row>
    <row r="658" spans="17:17" ht="13.2">
      <c r="Q658" s="47"/>
    </row>
    <row r="659" spans="17:17" ht="13.2">
      <c r="Q659" s="47"/>
    </row>
    <row r="660" spans="17:17" ht="13.2">
      <c r="Q660" s="47"/>
    </row>
    <row r="661" spans="17:17" ht="13.2">
      <c r="Q661" s="47"/>
    </row>
    <row r="662" spans="17:17" ht="13.2">
      <c r="Q662" s="47"/>
    </row>
    <row r="663" spans="17:17" ht="13.2">
      <c r="Q663" s="47"/>
    </row>
    <row r="664" spans="17:17" ht="13.2">
      <c r="Q664" s="47"/>
    </row>
    <row r="665" spans="17:17" ht="13.2">
      <c r="Q665" s="47"/>
    </row>
    <row r="666" spans="17:17" ht="13.2">
      <c r="Q666" s="47"/>
    </row>
    <row r="667" spans="17:17" ht="13.2">
      <c r="Q667" s="47"/>
    </row>
    <row r="668" spans="17:17" ht="13.2">
      <c r="Q668" s="47"/>
    </row>
    <row r="669" spans="17:17" ht="13.2">
      <c r="Q669" s="47"/>
    </row>
    <row r="670" spans="17:17" ht="13.2">
      <c r="Q670" s="47"/>
    </row>
    <row r="671" spans="17:17" ht="13.2">
      <c r="Q671" s="47"/>
    </row>
    <row r="672" spans="17:17" ht="13.2">
      <c r="Q672" s="47"/>
    </row>
    <row r="673" spans="17:17" ht="13.2">
      <c r="Q673" s="47"/>
    </row>
    <row r="674" spans="17:17" ht="13.2">
      <c r="Q674" s="47"/>
    </row>
    <row r="675" spans="17:17" ht="13.2">
      <c r="Q675" s="47"/>
    </row>
    <row r="676" spans="17:17" ht="13.2">
      <c r="Q676" s="47"/>
    </row>
    <row r="677" spans="17:17" ht="13.2">
      <c r="Q677" s="47"/>
    </row>
    <row r="678" spans="17:17" ht="13.2">
      <c r="Q678" s="47"/>
    </row>
    <row r="679" spans="17:17" ht="13.2">
      <c r="Q679" s="47"/>
    </row>
    <row r="680" spans="17:17" ht="13.2">
      <c r="Q680" s="47"/>
    </row>
    <row r="681" spans="17:17" ht="13.2">
      <c r="Q681" s="47"/>
    </row>
    <row r="682" spans="17:17" ht="13.2">
      <c r="Q682" s="47"/>
    </row>
    <row r="683" spans="17:17" ht="13.2">
      <c r="Q683" s="47"/>
    </row>
    <row r="684" spans="17:17" ht="13.2">
      <c r="Q684" s="47"/>
    </row>
    <row r="685" spans="17:17" ht="13.2">
      <c r="Q685" s="47"/>
    </row>
    <row r="686" spans="17:17" ht="13.2">
      <c r="Q686" s="47"/>
    </row>
    <row r="687" spans="17:17" ht="13.2">
      <c r="Q687" s="47"/>
    </row>
    <row r="688" spans="17:17" ht="13.2">
      <c r="Q688" s="47"/>
    </row>
    <row r="689" spans="17:17" ht="13.2">
      <c r="Q689" s="47"/>
    </row>
    <row r="690" spans="17:17" ht="13.2">
      <c r="Q690" s="47"/>
    </row>
    <row r="691" spans="17:17" ht="13.2">
      <c r="Q691" s="47"/>
    </row>
    <row r="692" spans="17:17" ht="13.2">
      <c r="Q692" s="47"/>
    </row>
    <row r="693" spans="17:17" ht="13.2">
      <c r="Q693" s="47"/>
    </row>
    <row r="694" spans="17:17" ht="13.2">
      <c r="Q694" s="47"/>
    </row>
    <row r="695" spans="17:17" ht="13.2">
      <c r="Q695" s="47"/>
    </row>
    <row r="696" spans="17:17" ht="13.2">
      <c r="Q696" s="47"/>
    </row>
    <row r="697" spans="17:17" ht="13.2">
      <c r="Q697" s="47"/>
    </row>
    <row r="698" spans="17:17" ht="13.2">
      <c r="Q698" s="47"/>
    </row>
    <row r="699" spans="17:17" ht="13.2">
      <c r="Q699" s="47"/>
    </row>
    <row r="700" spans="17:17" ht="13.2">
      <c r="Q700" s="47"/>
    </row>
    <row r="701" spans="17:17" ht="13.2">
      <c r="Q701" s="47"/>
    </row>
    <row r="702" spans="17:17" ht="13.2">
      <c r="Q702" s="47"/>
    </row>
    <row r="703" spans="17:17" ht="13.2">
      <c r="Q703" s="47"/>
    </row>
    <row r="704" spans="17:17" ht="13.2">
      <c r="Q704" s="47"/>
    </row>
    <row r="705" spans="17:17" ht="13.2">
      <c r="Q705" s="47"/>
    </row>
    <row r="706" spans="17:17" ht="13.2">
      <c r="Q706" s="47"/>
    </row>
    <row r="707" spans="17:17" ht="13.2">
      <c r="Q707" s="47"/>
    </row>
    <row r="708" spans="17:17" ht="13.2">
      <c r="Q708" s="47"/>
    </row>
    <row r="709" spans="17:17" ht="13.2">
      <c r="Q709" s="47"/>
    </row>
    <row r="710" spans="17:17" ht="13.2">
      <c r="Q710" s="47"/>
    </row>
    <row r="711" spans="17:17" ht="13.2">
      <c r="Q711" s="47"/>
    </row>
    <row r="712" spans="17:17" ht="13.2">
      <c r="Q712" s="47"/>
    </row>
    <row r="713" spans="17:17" ht="13.2">
      <c r="Q713" s="47"/>
    </row>
    <row r="714" spans="17:17" ht="13.2">
      <c r="Q714" s="47"/>
    </row>
    <row r="715" spans="17:17" ht="13.2">
      <c r="Q715" s="47"/>
    </row>
    <row r="716" spans="17:17" ht="13.2">
      <c r="Q716" s="47"/>
    </row>
    <row r="717" spans="17:17" ht="13.2">
      <c r="Q717" s="47"/>
    </row>
    <row r="718" spans="17:17" ht="13.2">
      <c r="Q718" s="47"/>
    </row>
    <row r="719" spans="17:17" ht="13.2">
      <c r="Q719" s="47"/>
    </row>
    <row r="720" spans="17:17" ht="13.2">
      <c r="Q720" s="47"/>
    </row>
    <row r="721" spans="17:17" ht="13.2">
      <c r="Q721" s="47"/>
    </row>
    <row r="722" spans="17:17" ht="13.2">
      <c r="Q722" s="47"/>
    </row>
    <row r="723" spans="17:17" ht="13.2">
      <c r="Q723" s="47"/>
    </row>
    <row r="724" spans="17:17" ht="13.2">
      <c r="Q724" s="47"/>
    </row>
    <row r="725" spans="17:17" ht="13.2">
      <c r="Q725" s="47"/>
    </row>
    <row r="726" spans="17:17" ht="13.2">
      <c r="Q726" s="47"/>
    </row>
    <row r="727" spans="17:17" ht="13.2">
      <c r="Q727" s="47"/>
    </row>
    <row r="728" spans="17:17" ht="13.2">
      <c r="Q728" s="47"/>
    </row>
    <row r="729" spans="17:17" ht="13.2">
      <c r="Q729" s="47"/>
    </row>
    <row r="730" spans="17:17" ht="13.2">
      <c r="Q730" s="47"/>
    </row>
    <row r="731" spans="17:17" ht="13.2">
      <c r="Q731" s="47"/>
    </row>
    <row r="732" spans="17:17" ht="13.2">
      <c r="Q732" s="47"/>
    </row>
    <row r="733" spans="17:17" ht="13.2">
      <c r="Q733" s="47"/>
    </row>
    <row r="734" spans="17:17" ht="13.2">
      <c r="Q734" s="47"/>
    </row>
    <row r="735" spans="17:17" ht="13.2">
      <c r="Q735" s="47"/>
    </row>
    <row r="736" spans="17:17" ht="13.2">
      <c r="Q736" s="47"/>
    </row>
    <row r="737" spans="17:17" ht="13.2">
      <c r="Q737" s="47"/>
    </row>
    <row r="738" spans="17:17" ht="13.2">
      <c r="Q738" s="47"/>
    </row>
    <row r="739" spans="17:17" ht="13.2">
      <c r="Q739" s="47"/>
    </row>
    <row r="740" spans="17:17" ht="13.2">
      <c r="Q740" s="47"/>
    </row>
    <row r="741" spans="17:17" ht="13.2">
      <c r="Q741" s="47"/>
    </row>
    <row r="742" spans="17:17" ht="13.2">
      <c r="Q742" s="47"/>
    </row>
    <row r="743" spans="17:17" ht="13.2">
      <c r="Q743" s="47"/>
    </row>
    <row r="744" spans="17:17" ht="13.2">
      <c r="Q744" s="47"/>
    </row>
    <row r="745" spans="17:17" ht="13.2">
      <c r="Q745" s="47"/>
    </row>
    <row r="746" spans="17:17" ht="13.2">
      <c r="Q746" s="47"/>
    </row>
    <row r="747" spans="17:17" ht="13.2">
      <c r="Q747" s="47"/>
    </row>
    <row r="748" spans="17:17" ht="13.2">
      <c r="Q748" s="47"/>
    </row>
    <row r="749" spans="17:17" ht="13.2">
      <c r="Q749" s="47"/>
    </row>
    <row r="750" spans="17:17" ht="13.2">
      <c r="Q750" s="47"/>
    </row>
    <row r="751" spans="17:17" ht="13.2">
      <c r="Q751" s="47"/>
    </row>
    <row r="752" spans="17:17" ht="13.2">
      <c r="Q752" s="47"/>
    </row>
    <row r="753" spans="17:17" ht="13.2">
      <c r="Q753" s="47"/>
    </row>
    <row r="754" spans="17:17" ht="13.2">
      <c r="Q754" s="47"/>
    </row>
    <row r="755" spans="17:17" ht="13.2">
      <c r="Q755" s="47"/>
    </row>
    <row r="756" spans="17:17" ht="13.2">
      <c r="Q756" s="47"/>
    </row>
    <row r="757" spans="17:17" ht="13.2">
      <c r="Q757" s="47"/>
    </row>
    <row r="758" spans="17:17" ht="13.2">
      <c r="Q758" s="47"/>
    </row>
    <row r="759" spans="17:17" ht="13.2">
      <c r="Q759" s="47"/>
    </row>
    <row r="760" spans="17:17" ht="13.2">
      <c r="Q760" s="47"/>
    </row>
    <row r="761" spans="17:17" ht="13.2">
      <c r="Q761" s="47"/>
    </row>
    <row r="762" spans="17:17" ht="13.2">
      <c r="Q762" s="47"/>
    </row>
    <row r="763" spans="17:17" ht="13.2">
      <c r="Q763" s="47"/>
    </row>
    <row r="764" spans="17:17" ht="13.2">
      <c r="Q764" s="47"/>
    </row>
    <row r="765" spans="17:17" ht="13.2">
      <c r="Q765" s="47"/>
    </row>
    <row r="766" spans="17:17" ht="13.2">
      <c r="Q766" s="47"/>
    </row>
    <row r="767" spans="17:17" ht="13.2">
      <c r="Q767" s="47"/>
    </row>
    <row r="768" spans="17:17" ht="13.2">
      <c r="Q768" s="47"/>
    </row>
    <row r="769" spans="17:17" ht="13.2">
      <c r="Q769" s="47"/>
    </row>
    <row r="770" spans="17:17" ht="13.2">
      <c r="Q770" s="47"/>
    </row>
    <row r="771" spans="17:17" ht="13.2">
      <c r="Q771" s="47"/>
    </row>
    <row r="772" spans="17:17" ht="13.2">
      <c r="Q772" s="47"/>
    </row>
    <row r="773" spans="17:17" ht="13.2">
      <c r="Q773" s="47"/>
    </row>
    <row r="774" spans="17:17" ht="13.2">
      <c r="Q774" s="47"/>
    </row>
    <row r="775" spans="17:17" ht="13.2">
      <c r="Q775" s="47"/>
    </row>
    <row r="776" spans="17:17" ht="13.2">
      <c r="Q776" s="47"/>
    </row>
    <row r="777" spans="17:17" ht="13.2">
      <c r="Q777" s="47"/>
    </row>
    <row r="778" spans="17:17" ht="13.2">
      <c r="Q778" s="47"/>
    </row>
    <row r="779" spans="17:17" ht="13.2">
      <c r="Q779" s="47"/>
    </row>
    <row r="780" spans="17:17" ht="13.2">
      <c r="Q780" s="47"/>
    </row>
    <row r="781" spans="17:17" ht="13.2">
      <c r="Q781" s="47"/>
    </row>
    <row r="782" spans="17:17" ht="13.2">
      <c r="Q782" s="47"/>
    </row>
    <row r="783" spans="17:17" ht="13.2">
      <c r="Q783" s="47"/>
    </row>
    <row r="784" spans="17:17" ht="13.2">
      <c r="Q784" s="47"/>
    </row>
    <row r="785" spans="17:17" ht="13.2">
      <c r="Q785" s="47"/>
    </row>
    <row r="786" spans="17:17" ht="13.2">
      <c r="Q786" s="47"/>
    </row>
    <row r="787" spans="17:17" ht="13.2">
      <c r="Q787" s="47"/>
    </row>
    <row r="788" spans="17:17" ht="13.2">
      <c r="Q788" s="47"/>
    </row>
    <row r="789" spans="17:17" ht="13.2">
      <c r="Q789" s="47"/>
    </row>
    <row r="790" spans="17:17" ht="13.2">
      <c r="Q790" s="47"/>
    </row>
    <row r="791" spans="17:17" ht="13.2">
      <c r="Q791" s="47"/>
    </row>
    <row r="792" spans="17:17" ht="13.2">
      <c r="Q792" s="47"/>
    </row>
    <row r="793" spans="17:17" ht="13.2">
      <c r="Q793" s="47"/>
    </row>
    <row r="794" spans="17:17" ht="13.2">
      <c r="Q794" s="47"/>
    </row>
    <row r="795" spans="17:17" ht="13.2">
      <c r="Q795" s="47"/>
    </row>
    <row r="796" spans="17:17" ht="13.2">
      <c r="Q796" s="47"/>
    </row>
    <row r="797" spans="17:17" ht="13.2">
      <c r="Q797" s="47"/>
    </row>
    <row r="798" spans="17:17" ht="13.2">
      <c r="Q798" s="47"/>
    </row>
    <row r="799" spans="17:17" ht="13.2">
      <c r="Q799" s="47"/>
    </row>
    <row r="800" spans="17:17" ht="13.2">
      <c r="Q800" s="47"/>
    </row>
    <row r="801" spans="17:17" ht="13.2">
      <c r="Q801" s="47"/>
    </row>
    <row r="802" spans="17:17" ht="13.2">
      <c r="Q802" s="47"/>
    </row>
    <row r="803" spans="17:17" ht="13.2">
      <c r="Q803" s="47"/>
    </row>
    <row r="804" spans="17:17" ht="13.2">
      <c r="Q804" s="47"/>
    </row>
    <row r="805" spans="17:17" ht="13.2">
      <c r="Q805" s="47"/>
    </row>
    <row r="806" spans="17:17" ht="13.2">
      <c r="Q806" s="47"/>
    </row>
    <row r="807" spans="17:17" ht="13.2">
      <c r="Q807" s="47"/>
    </row>
    <row r="808" spans="17:17" ht="13.2">
      <c r="Q808" s="47"/>
    </row>
    <row r="809" spans="17:17" ht="13.2">
      <c r="Q809" s="47"/>
    </row>
    <row r="810" spans="17:17" ht="13.2">
      <c r="Q810" s="47"/>
    </row>
    <row r="811" spans="17:17" ht="13.2">
      <c r="Q811" s="47"/>
    </row>
    <row r="812" spans="17:17" ht="13.2">
      <c r="Q812" s="47"/>
    </row>
    <row r="813" spans="17:17" ht="13.2">
      <c r="Q813" s="47"/>
    </row>
    <row r="814" spans="17:17" ht="13.2">
      <c r="Q814" s="47"/>
    </row>
    <row r="815" spans="17:17" ht="13.2">
      <c r="Q815" s="47"/>
    </row>
    <row r="816" spans="17:17" ht="13.2">
      <c r="Q816" s="47"/>
    </row>
    <row r="817" spans="17:17" ht="13.2">
      <c r="Q817" s="47"/>
    </row>
    <row r="818" spans="17:17" ht="13.2">
      <c r="Q818" s="47"/>
    </row>
    <row r="819" spans="17:17" ht="13.2">
      <c r="Q819" s="47"/>
    </row>
    <row r="820" spans="17:17" ht="13.2">
      <c r="Q820" s="47"/>
    </row>
    <row r="821" spans="17:17" ht="13.2">
      <c r="Q821" s="47"/>
    </row>
    <row r="822" spans="17:17" ht="13.2">
      <c r="Q822" s="47"/>
    </row>
    <row r="823" spans="17:17" ht="13.2">
      <c r="Q823" s="47"/>
    </row>
    <row r="824" spans="17:17" ht="13.2">
      <c r="Q824" s="47"/>
    </row>
    <row r="825" spans="17:17" ht="13.2">
      <c r="Q825" s="47"/>
    </row>
    <row r="826" spans="17:17" ht="13.2">
      <c r="Q826" s="47"/>
    </row>
    <row r="827" spans="17:17" ht="13.2">
      <c r="Q827" s="47"/>
    </row>
    <row r="828" spans="17:17" ht="13.2">
      <c r="Q828" s="47"/>
    </row>
    <row r="829" spans="17:17" ht="13.2">
      <c r="Q829" s="47"/>
    </row>
    <row r="830" spans="17:17" ht="13.2">
      <c r="Q830" s="47"/>
    </row>
    <row r="831" spans="17:17" ht="13.2">
      <c r="Q831" s="47"/>
    </row>
    <row r="832" spans="17:17" ht="13.2">
      <c r="Q832" s="47"/>
    </row>
    <row r="833" spans="17:17" ht="13.2">
      <c r="Q833" s="47"/>
    </row>
    <row r="834" spans="17:17" ht="13.2">
      <c r="Q834" s="47"/>
    </row>
    <row r="835" spans="17:17" ht="13.2">
      <c r="Q835" s="47"/>
    </row>
    <row r="836" spans="17:17" ht="13.2">
      <c r="Q836" s="47"/>
    </row>
    <row r="837" spans="17:17" ht="13.2">
      <c r="Q837" s="47"/>
    </row>
    <row r="838" spans="17:17" ht="13.2">
      <c r="Q838" s="47"/>
    </row>
    <row r="839" spans="17:17" ht="13.2">
      <c r="Q839" s="47"/>
    </row>
    <row r="840" spans="17:17" ht="13.2">
      <c r="Q840" s="47"/>
    </row>
    <row r="841" spans="17:17" ht="13.2">
      <c r="Q841" s="47"/>
    </row>
    <row r="842" spans="17:17" ht="13.2">
      <c r="Q842" s="47"/>
    </row>
    <row r="843" spans="17:17" ht="13.2">
      <c r="Q843" s="47"/>
    </row>
    <row r="844" spans="17:17" ht="13.2">
      <c r="Q844" s="47"/>
    </row>
    <row r="845" spans="17:17" ht="13.2">
      <c r="Q845" s="47"/>
    </row>
    <row r="846" spans="17:17" ht="13.2">
      <c r="Q846" s="47"/>
    </row>
    <row r="847" spans="17:17" ht="13.2">
      <c r="Q847" s="47"/>
    </row>
    <row r="848" spans="17:17" ht="13.2">
      <c r="Q848" s="47"/>
    </row>
    <row r="849" spans="17:17" ht="13.2">
      <c r="Q849" s="47"/>
    </row>
    <row r="850" spans="17:17" ht="13.2">
      <c r="Q850" s="47"/>
    </row>
    <row r="851" spans="17:17" ht="13.2">
      <c r="Q851" s="47"/>
    </row>
    <row r="852" spans="17:17" ht="13.2">
      <c r="Q852" s="47"/>
    </row>
    <row r="853" spans="17:17" ht="13.2">
      <c r="Q853" s="47"/>
    </row>
    <row r="854" spans="17:17" ht="13.2">
      <c r="Q854" s="47"/>
    </row>
    <row r="855" spans="17:17" ht="13.2">
      <c r="Q855" s="47"/>
    </row>
    <row r="856" spans="17:17" ht="13.2">
      <c r="Q856" s="47"/>
    </row>
    <row r="857" spans="17:17" ht="13.2">
      <c r="Q857" s="47"/>
    </row>
    <row r="858" spans="17:17" ht="13.2">
      <c r="Q858" s="47"/>
    </row>
    <row r="859" spans="17:17" ht="13.2">
      <c r="Q859" s="47"/>
    </row>
    <row r="860" spans="17:17" ht="13.2">
      <c r="Q860" s="47"/>
    </row>
    <row r="861" spans="17:17" ht="13.2">
      <c r="Q861" s="47"/>
    </row>
    <row r="862" spans="17:17" ht="13.2">
      <c r="Q862" s="47"/>
    </row>
    <row r="863" spans="17:17" ht="13.2">
      <c r="Q863" s="47"/>
    </row>
    <row r="864" spans="17:17" ht="13.2">
      <c r="Q864" s="47"/>
    </row>
    <row r="865" spans="17:17" ht="13.2">
      <c r="Q865" s="47"/>
    </row>
    <row r="866" spans="17:17" ht="13.2">
      <c r="Q866" s="47"/>
    </row>
    <row r="867" spans="17:17" ht="13.2">
      <c r="Q867" s="47"/>
    </row>
    <row r="868" spans="17:17" ht="13.2">
      <c r="Q868" s="47"/>
    </row>
    <row r="869" spans="17:17" ht="13.2">
      <c r="Q869" s="47"/>
    </row>
    <row r="870" spans="17:17" ht="13.2">
      <c r="Q870" s="47"/>
    </row>
    <row r="871" spans="17:17" ht="13.2">
      <c r="Q871" s="47"/>
    </row>
    <row r="872" spans="17:17" ht="13.2">
      <c r="Q872" s="47"/>
    </row>
    <row r="873" spans="17:17" ht="13.2">
      <c r="Q873" s="47"/>
    </row>
    <row r="874" spans="17:17" ht="13.2">
      <c r="Q874" s="47"/>
    </row>
    <row r="875" spans="17:17" ht="13.2">
      <c r="Q875" s="47"/>
    </row>
    <row r="876" spans="17:17" ht="13.2">
      <c r="Q876" s="47"/>
    </row>
    <row r="877" spans="17:17" ht="13.2">
      <c r="Q877" s="47"/>
    </row>
    <row r="878" spans="17:17" ht="13.2">
      <c r="Q878" s="47"/>
    </row>
    <row r="879" spans="17:17" ht="13.2">
      <c r="Q879" s="47"/>
    </row>
    <row r="880" spans="17:17" ht="13.2">
      <c r="Q880" s="47"/>
    </row>
    <row r="881" spans="17:17" ht="13.2">
      <c r="Q881" s="47"/>
    </row>
    <row r="882" spans="17:17" ht="13.2">
      <c r="Q882" s="47"/>
    </row>
    <row r="883" spans="17:17" ht="13.2">
      <c r="Q883" s="47"/>
    </row>
    <row r="884" spans="17:17" ht="13.2">
      <c r="Q884" s="47"/>
    </row>
    <row r="885" spans="17:17" ht="13.2">
      <c r="Q885" s="47"/>
    </row>
    <row r="886" spans="17:17" ht="13.2">
      <c r="Q886" s="47"/>
    </row>
    <row r="887" spans="17:17" ht="13.2">
      <c r="Q887" s="47"/>
    </row>
    <row r="888" spans="17:17" ht="13.2">
      <c r="Q888" s="47"/>
    </row>
    <row r="889" spans="17:17" ht="13.2">
      <c r="Q889" s="47"/>
    </row>
    <row r="890" spans="17:17" ht="13.2">
      <c r="Q890" s="47"/>
    </row>
    <row r="891" spans="17:17" ht="13.2">
      <c r="Q891" s="47"/>
    </row>
    <row r="892" spans="17:17" ht="13.2">
      <c r="Q892" s="47"/>
    </row>
    <row r="893" spans="17:17" ht="13.2">
      <c r="Q893" s="47"/>
    </row>
    <row r="894" spans="17:17" ht="13.2">
      <c r="Q894" s="4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928"/>
  <sheetViews>
    <sheetView workbookViewId="0">
      <selection activeCell="A5" sqref="A5:XFD67"/>
    </sheetView>
  </sheetViews>
  <sheetFormatPr defaultColWidth="12.6640625" defaultRowHeight="15.75" customHeight="1"/>
  <cols>
    <col min="1" max="1" width="7.44140625" customWidth="1"/>
    <col min="2" max="2" width="17.21875" customWidth="1"/>
    <col min="3" max="3" width="29.44140625" customWidth="1"/>
    <col min="4" max="4" width="21.44140625" customWidth="1"/>
    <col min="5" max="5" width="15.44140625" customWidth="1"/>
    <col min="6" max="6" width="9.44140625" customWidth="1"/>
    <col min="7" max="7" width="11.88671875" customWidth="1"/>
    <col min="8" max="8" width="24.44140625" customWidth="1"/>
    <col min="9" max="9" width="8.88671875" customWidth="1"/>
    <col min="10" max="10" width="15.88671875" customWidth="1"/>
    <col min="11" max="11" width="16.33203125" customWidth="1"/>
    <col min="12" max="12" width="26.88671875" customWidth="1"/>
    <col min="13" max="13" width="39.6640625" customWidth="1"/>
    <col min="14" max="14" width="38.44140625" customWidth="1"/>
    <col min="15" max="15" width="19.109375" customWidth="1"/>
    <col min="16" max="16" width="16.6640625" customWidth="1"/>
    <col min="17" max="17" width="23.21875" customWidth="1"/>
    <col min="18" max="18" width="16" customWidth="1"/>
    <col min="19" max="19" width="25.77734375" customWidth="1"/>
    <col min="20" max="20" width="23.88671875" customWidth="1"/>
    <col min="21" max="21" width="40.88671875" customWidth="1"/>
    <col min="22" max="22" width="9.44140625" customWidth="1"/>
    <col min="23" max="23" width="20.44140625" customWidth="1"/>
    <col min="24" max="24" width="1" customWidth="1"/>
    <col min="25" max="25" width="18" customWidth="1"/>
    <col min="26" max="26" width="16.88671875" customWidth="1"/>
    <col min="27" max="27" width="23.21875" customWidth="1"/>
    <col min="28" max="28" width="38.33203125" customWidth="1"/>
  </cols>
  <sheetData>
    <row r="1" spans="1:28" ht="15.75" customHeight="1">
      <c r="A1" s="48" t="s">
        <v>1082</v>
      </c>
      <c r="B1" s="48" t="s">
        <v>1162</v>
      </c>
      <c r="C1" s="48" t="s">
        <v>1163</v>
      </c>
      <c r="D1" s="48" t="s">
        <v>1164</v>
      </c>
      <c r="E1" s="48" t="s">
        <v>1165</v>
      </c>
      <c r="F1" s="49" t="s">
        <v>1166</v>
      </c>
      <c r="G1" s="49" t="s">
        <v>1167</v>
      </c>
      <c r="H1" s="48" t="s">
        <v>1168</v>
      </c>
      <c r="I1" s="48" t="s">
        <v>1169</v>
      </c>
      <c r="J1" s="48" t="s">
        <v>1170</v>
      </c>
      <c r="K1" s="48" t="s">
        <v>1171</v>
      </c>
      <c r="L1" s="48" t="s">
        <v>1172</v>
      </c>
      <c r="M1" s="48" t="s">
        <v>1173</v>
      </c>
      <c r="N1" s="48" t="s">
        <v>1174</v>
      </c>
      <c r="O1" s="48" t="s">
        <v>1175</v>
      </c>
      <c r="P1" s="48" t="s">
        <v>1176</v>
      </c>
      <c r="Q1" s="48" t="s">
        <v>1177</v>
      </c>
      <c r="R1" s="48" t="s">
        <v>1178</v>
      </c>
      <c r="S1" s="48" t="s">
        <v>1179</v>
      </c>
      <c r="T1" s="48" t="s">
        <v>1180</v>
      </c>
      <c r="U1" s="48" t="s">
        <v>1181</v>
      </c>
      <c r="V1" s="48" t="s">
        <v>1166</v>
      </c>
      <c r="W1" s="48" t="s">
        <v>1182</v>
      </c>
      <c r="X1" s="50"/>
      <c r="Y1" s="51" t="s">
        <v>312</v>
      </c>
      <c r="Z1" s="51" t="s">
        <v>314</v>
      </c>
      <c r="AA1" s="52" t="s">
        <v>315</v>
      </c>
      <c r="AB1" s="51" t="s">
        <v>316</v>
      </c>
    </row>
    <row r="2" spans="1:28" ht="15.75" customHeight="1">
      <c r="A2" s="16" t="s">
        <v>1092</v>
      </c>
      <c r="B2" s="16" t="s">
        <v>849</v>
      </c>
      <c r="C2" s="16" t="s">
        <v>850</v>
      </c>
      <c r="D2" s="16" t="s">
        <v>850</v>
      </c>
      <c r="E2" s="16" t="s">
        <v>841</v>
      </c>
      <c r="F2" s="16">
        <v>20000</v>
      </c>
      <c r="G2" s="16">
        <v>19048</v>
      </c>
      <c r="H2" s="16" t="s">
        <v>1183</v>
      </c>
      <c r="I2" s="53">
        <v>11875</v>
      </c>
      <c r="J2" s="16" t="s">
        <v>1097</v>
      </c>
      <c r="K2" s="16" t="s">
        <v>1184</v>
      </c>
      <c r="L2" s="53">
        <v>15631</v>
      </c>
      <c r="M2" s="16" t="s">
        <v>1185</v>
      </c>
      <c r="N2" s="16" t="s">
        <v>1185</v>
      </c>
      <c r="O2" s="53">
        <v>19518</v>
      </c>
      <c r="P2" s="16">
        <v>976</v>
      </c>
      <c r="Q2" s="16" t="s">
        <v>1186</v>
      </c>
      <c r="R2" s="54"/>
      <c r="S2" s="54"/>
      <c r="T2" s="54"/>
      <c r="U2" s="16" t="s">
        <v>1186</v>
      </c>
      <c r="V2" s="53">
        <v>20000</v>
      </c>
      <c r="W2" s="16" t="s">
        <v>1187</v>
      </c>
      <c r="X2" s="41"/>
      <c r="Y2" s="55">
        <f t="shared" ref="Y2:Y7" si="0">V2/(100%+5%)</f>
        <v>19047.619047619046</v>
      </c>
      <c r="Z2" s="56">
        <f t="shared" ref="Z2:Z7" si="1">AA2/(100%+5%)</f>
        <v>0</v>
      </c>
      <c r="AA2" s="56">
        <v>0</v>
      </c>
      <c r="AB2" s="57">
        <f t="shared" ref="AB2:AB7" si="2">V2+AA2</f>
        <v>20000</v>
      </c>
    </row>
    <row r="3" spans="1:28" ht="15.75" customHeight="1">
      <c r="A3" s="16" t="s">
        <v>1092</v>
      </c>
      <c r="B3" s="16" t="s">
        <v>849</v>
      </c>
      <c r="C3" s="16" t="s">
        <v>850</v>
      </c>
      <c r="D3" s="16" t="s">
        <v>850</v>
      </c>
      <c r="E3" s="16" t="s">
        <v>841</v>
      </c>
      <c r="F3" s="16">
        <v>20000</v>
      </c>
      <c r="G3" s="16">
        <v>19048</v>
      </c>
      <c r="H3" s="16" t="s">
        <v>1183</v>
      </c>
      <c r="I3" s="53">
        <v>11875</v>
      </c>
      <c r="J3" s="16" t="s">
        <v>1097</v>
      </c>
      <c r="K3" s="16" t="s">
        <v>1184</v>
      </c>
      <c r="L3" s="53">
        <v>15631</v>
      </c>
      <c r="M3" s="16" t="s">
        <v>1185</v>
      </c>
      <c r="N3" s="16" t="s">
        <v>1185</v>
      </c>
      <c r="O3" s="53">
        <v>19518</v>
      </c>
      <c r="P3" s="16">
        <v>976</v>
      </c>
      <c r="Q3" s="16" t="s">
        <v>1186</v>
      </c>
      <c r="R3" s="54"/>
      <c r="S3" s="54"/>
      <c r="T3" s="54"/>
      <c r="U3" s="16" t="s">
        <v>1186</v>
      </c>
      <c r="V3" s="53">
        <v>20000</v>
      </c>
      <c r="W3" s="16" t="s">
        <v>1187</v>
      </c>
      <c r="X3" s="41"/>
      <c r="Y3" s="55">
        <f t="shared" si="0"/>
        <v>19047.619047619046</v>
      </c>
      <c r="Z3" s="56">
        <f t="shared" si="1"/>
        <v>0</v>
      </c>
      <c r="AA3" s="56">
        <v>0</v>
      </c>
      <c r="AB3" s="57">
        <f t="shared" si="2"/>
        <v>20000</v>
      </c>
    </row>
    <row r="4" spans="1:28" ht="15.75" customHeight="1">
      <c r="A4" s="16" t="s">
        <v>1092</v>
      </c>
      <c r="B4" s="16" t="s">
        <v>853</v>
      </c>
      <c r="C4" s="16" t="s">
        <v>854</v>
      </c>
      <c r="D4" s="16" t="s">
        <v>854</v>
      </c>
      <c r="E4" s="16" t="s">
        <v>841</v>
      </c>
      <c r="F4" s="16">
        <v>20000</v>
      </c>
      <c r="G4" s="16">
        <v>19048</v>
      </c>
      <c r="H4" s="16" t="s">
        <v>1188</v>
      </c>
      <c r="I4" s="53">
        <v>11875</v>
      </c>
      <c r="J4" s="16" t="s">
        <v>1097</v>
      </c>
      <c r="K4" s="16" t="s">
        <v>1189</v>
      </c>
      <c r="L4" s="53">
        <v>15133</v>
      </c>
      <c r="M4" s="16" t="s">
        <v>1190</v>
      </c>
      <c r="N4" s="16" t="s">
        <v>1190</v>
      </c>
      <c r="O4" s="53">
        <v>19625</v>
      </c>
      <c r="P4" s="16">
        <v>981</v>
      </c>
      <c r="Q4" s="16" t="s">
        <v>1191</v>
      </c>
      <c r="R4" s="54"/>
      <c r="S4" s="54"/>
      <c r="T4" s="54"/>
      <c r="U4" s="16" t="s">
        <v>1191</v>
      </c>
      <c r="V4" s="53">
        <v>20000</v>
      </c>
      <c r="W4" s="16" t="s">
        <v>1192</v>
      </c>
      <c r="X4" s="41"/>
      <c r="Y4" s="55">
        <f t="shared" si="0"/>
        <v>19047.619047619046</v>
      </c>
      <c r="Z4" s="56">
        <f t="shared" si="1"/>
        <v>0</v>
      </c>
      <c r="AA4" s="56">
        <v>0</v>
      </c>
      <c r="AB4" s="57">
        <f t="shared" si="2"/>
        <v>20000</v>
      </c>
    </row>
    <row r="5" spans="1:28" ht="14.4">
      <c r="A5" s="16" t="s">
        <v>1092</v>
      </c>
      <c r="B5" s="16" t="s">
        <v>926</v>
      </c>
      <c r="C5" s="16" t="s">
        <v>923</v>
      </c>
      <c r="D5" s="16" t="s">
        <v>923</v>
      </c>
      <c r="E5" s="16" t="s">
        <v>922</v>
      </c>
      <c r="F5" s="16">
        <v>25300</v>
      </c>
      <c r="G5" s="16">
        <v>24095</v>
      </c>
      <c r="H5" s="16" t="s">
        <v>1402</v>
      </c>
      <c r="I5" s="53">
        <v>14000</v>
      </c>
      <c r="J5" s="16" t="s">
        <v>1097</v>
      </c>
      <c r="K5" s="16" t="s">
        <v>1403</v>
      </c>
      <c r="L5" s="53">
        <v>17955</v>
      </c>
      <c r="M5" s="16" t="s">
        <v>1404</v>
      </c>
      <c r="N5" s="16" t="s">
        <v>1404</v>
      </c>
      <c r="O5" s="53">
        <v>17000</v>
      </c>
      <c r="P5" s="16">
        <v>850</v>
      </c>
      <c r="Q5" s="16" t="s">
        <v>1405</v>
      </c>
      <c r="R5" s="54"/>
      <c r="S5" s="54"/>
      <c r="T5" s="54"/>
      <c r="U5" s="16" t="s">
        <v>1405</v>
      </c>
      <c r="V5" s="53">
        <v>25300</v>
      </c>
      <c r="W5" s="16" t="s">
        <v>1406</v>
      </c>
      <c r="X5" s="41"/>
      <c r="Y5" s="55">
        <f t="shared" si="0"/>
        <v>24095.238095238095</v>
      </c>
      <c r="Z5" s="56">
        <f t="shared" si="1"/>
        <v>0</v>
      </c>
      <c r="AA5" s="56">
        <v>0</v>
      </c>
      <c r="AB5" s="57">
        <f t="shared" si="2"/>
        <v>25300</v>
      </c>
    </row>
    <row r="6" spans="1:28" ht="14.4">
      <c r="A6" s="16" t="s">
        <v>1092</v>
      </c>
      <c r="B6" s="16" t="s">
        <v>927</v>
      </c>
      <c r="C6" s="16" t="s">
        <v>923</v>
      </c>
      <c r="D6" s="16" t="s">
        <v>923</v>
      </c>
      <c r="E6" s="16" t="s">
        <v>922</v>
      </c>
      <c r="F6" s="16">
        <v>25300</v>
      </c>
      <c r="G6" s="16">
        <v>24095</v>
      </c>
      <c r="H6" s="16" t="s">
        <v>1402</v>
      </c>
      <c r="I6" s="53">
        <v>14000</v>
      </c>
      <c r="J6" s="16" t="s">
        <v>1097</v>
      </c>
      <c r="K6" s="16" t="s">
        <v>1403</v>
      </c>
      <c r="L6" s="53">
        <v>17955</v>
      </c>
      <c r="M6" s="16" t="s">
        <v>1404</v>
      </c>
      <c r="N6" s="16" t="s">
        <v>1404</v>
      </c>
      <c r="O6" s="53">
        <v>17000</v>
      </c>
      <c r="P6" s="16">
        <v>850</v>
      </c>
      <c r="Q6" s="16" t="s">
        <v>1405</v>
      </c>
      <c r="R6" s="54"/>
      <c r="S6" s="54"/>
      <c r="T6" s="54"/>
      <c r="U6" s="16" t="s">
        <v>1405</v>
      </c>
      <c r="V6" s="53">
        <v>25300</v>
      </c>
      <c r="W6" s="16" t="s">
        <v>1406</v>
      </c>
      <c r="X6" s="41"/>
      <c r="Y6" s="55">
        <f t="shared" si="0"/>
        <v>24095.238095238095</v>
      </c>
      <c r="Z6" s="56">
        <f t="shared" si="1"/>
        <v>0</v>
      </c>
      <c r="AA6" s="56">
        <v>0</v>
      </c>
      <c r="AB6" s="57">
        <f t="shared" si="2"/>
        <v>25300</v>
      </c>
    </row>
    <row r="7" spans="1:28" ht="14.4">
      <c r="A7" s="16" t="s">
        <v>1092</v>
      </c>
      <c r="B7" s="16" t="s">
        <v>928</v>
      </c>
      <c r="C7" s="16" t="s">
        <v>923</v>
      </c>
      <c r="D7" s="16" t="s">
        <v>923</v>
      </c>
      <c r="E7" s="16" t="s">
        <v>922</v>
      </c>
      <c r="F7" s="16">
        <v>25300</v>
      </c>
      <c r="G7" s="16">
        <v>24095</v>
      </c>
      <c r="H7" s="16" t="s">
        <v>1402</v>
      </c>
      <c r="I7" s="53">
        <v>14000</v>
      </c>
      <c r="J7" s="16" t="s">
        <v>1097</v>
      </c>
      <c r="K7" s="16" t="s">
        <v>1403</v>
      </c>
      <c r="L7" s="53">
        <v>17955</v>
      </c>
      <c r="M7" s="16" t="s">
        <v>1404</v>
      </c>
      <c r="N7" s="16" t="s">
        <v>1404</v>
      </c>
      <c r="O7" s="53">
        <v>17000</v>
      </c>
      <c r="P7" s="16">
        <v>850</v>
      </c>
      <c r="Q7" s="16" t="s">
        <v>1405</v>
      </c>
      <c r="R7" s="54"/>
      <c r="S7" s="54"/>
      <c r="T7" s="54"/>
      <c r="U7" s="16" t="s">
        <v>1405</v>
      </c>
      <c r="V7" s="53">
        <v>25300</v>
      </c>
      <c r="W7" s="16" t="s">
        <v>1406</v>
      </c>
      <c r="X7" s="41"/>
      <c r="Y7" s="55">
        <f t="shared" si="0"/>
        <v>24095.238095238095</v>
      </c>
      <c r="Z7" s="56">
        <f t="shared" si="1"/>
        <v>0</v>
      </c>
      <c r="AA7" s="56">
        <v>0</v>
      </c>
      <c r="AB7" s="57">
        <f t="shared" si="2"/>
        <v>25300</v>
      </c>
    </row>
    <row r="8" spans="1:28" ht="13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71"/>
      <c r="Y8" s="13"/>
      <c r="Z8" s="13"/>
      <c r="AA8" s="13"/>
      <c r="AB8" s="13"/>
    </row>
    <row r="9" spans="1:28" ht="13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71"/>
      <c r="Y9" s="13"/>
      <c r="Z9" s="13"/>
      <c r="AA9" s="13"/>
      <c r="AB9" s="13"/>
    </row>
    <row r="10" spans="1:28" ht="13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71"/>
      <c r="Y10" s="13"/>
      <c r="Z10" s="13"/>
      <c r="AA10" s="13"/>
      <c r="AB10" s="13"/>
    </row>
    <row r="11" spans="1:28" ht="13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71"/>
      <c r="Y11" s="13"/>
      <c r="Z11" s="13"/>
      <c r="AA11" s="13"/>
      <c r="AB11" s="13"/>
    </row>
    <row r="12" spans="1:28" ht="13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71"/>
      <c r="Y12" s="13"/>
      <c r="Z12" s="13"/>
      <c r="AA12" s="13"/>
      <c r="AB12" s="13"/>
    </row>
    <row r="13" spans="1:28" ht="13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71"/>
      <c r="Y13" s="13"/>
      <c r="Z13" s="13"/>
      <c r="AA13" s="13"/>
      <c r="AB13" s="13"/>
    </row>
    <row r="14" spans="1:28" ht="13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71"/>
      <c r="Y14" s="13"/>
      <c r="Z14" s="13"/>
      <c r="AA14" s="13"/>
      <c r="AB14" s="13"/>
    </row>
    <row r="15" spans="1:28" ht="13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71"/>
      <c r="Y15" s="13"/>
      <c r="Z15" s="13"/>
      <c r="AA15" s="13"/>
      <c r="AB15" s="13"/>
    </row>
    <row r="16" spans="1:28" ht="13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71"/>
      <c r="Y16" s="13"/>
      <c r="Z16" s="13"/>
      <c r="AA16" s="13"/>
      <c r="AB16" s="13"/>
    </row>
    <row r="17" spans="1:28" ht="13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71"/>
      <c r="Y17" s="13"/>
      <c r="Z17" s="13"/>
      <c r="AA17" s="13"/>
      <c r="AB17" s="13"/>
    </row>
    <row r="18" spans="1:28" ht="13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71"/>
      <c r="Y18" s="13"/>
      <c r="Z18" s="13"/>
      <c r="AA18" s="13"/>
      <c r="AB18" s="13"/>
    </row>
    <row r="19" spans="1:28" ht="13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71"/>
      <c r="Y19" s="13"/>
      <c r="Z19" s="13"/>
      <c r="AA19" s="13"/>
      <c r="AB19" s="13"/>
    </row>
    <row r="20" spans="1:28" ht="13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71"/>
      <c r="Y20" s="13"/>
      <c r="Z20" s="13"/>
      <c r="AA20" s="13"/>
      <c r="AB20" s="13"/>
    </row>
    <row r="21" spans="1:28" ht="13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71"/>
      <c r="Y21" s="13"/>
      <c r="Z21" s="13"/>
      <c r="AA21" s="13"/>
      <c r="AB21" s="13"/>
    </row>
    <row r="22" spans="1:28" ht="13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71"/>
      <c r="Y22" s="13"/>
      <c r="Z22" s="13"/>
      <c r="AA22" s="13"/>
      <c r="AB22" s="13"/>
    </row>
    <row r="23" spans="1:28" ht="13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71"/>
      <c r="Y23" s="13"/>
      <c r="Z23" s="13"/>
      <c r="AA23" s="13"/>
      <c r="AB23" s="13"/>
    </row>
    <row r="24" spans="1:28" ht="13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71"/>
      <c r="Y24" s="13"/>
      <c r="Z24" s="13"/>
      <c r="AA24" s="13"/>
      <c r="AB24" s="13"/>
    </row>
    <row r="25" spans="1:28" ht="13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71"/>
      <c r="Y25" s="13"/>
      <c r="Z25" s="13"/>
      <c r="AA25" s="13"/>
      <c r="AB25" s="13"/>
    </row>
    <row r="26" spans="1:28" ht="13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71"/>
      <c r="Y26" s="13"/>
      <c r="Z26" s="13"/>
      <c r="AA26" s="13"/>
      <c r="AB26" s="13"/>
    </row>
    <row r="27" spans="1:28" ht="13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71"/>
      <c r="Y27" s="13"/>
      <c r="Z27" s="13"/>
      <c r="AA27" s="13"/>
      <c r="AB27" s="13"/>
    </row>
    <row r="28" spans="1:28" ht="13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71"/>
      <c r="Y28" s="13"/>
      <c r="Z28" s="13"/>
      <c r="AA28" s="13"/>
      <c r="AB28" s="13"/>
    </row>
    <row r="29" spans="1:28" ht="13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71"/>
      <c r="Y29" s="13"/>
      <c r="Z29" s="13"/>
      <c r="AA29" s="13"/>
      <c r="AB29" s="13"/>
    </row>
    <row r="30" spans="1:28" ht="13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71"/>
      <c r="Y30" s="13"/>
      <c r="Z30" s="13"/>
      <c r="AA30" s="13"/>
      <c r="AB30" s="13"/>
    </row>
    <row r="31" spans="1:28" ht="13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71"/>
      <c r="Y31" s="13"/>
      <c r="Z31" s="13"/>
      <c r="AA31" s="13"/>
      <c r="AB31" s="13"/>
    </row>
    <row r="32" spans="1:28" ht="13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71"/>
      <c r="Y32" s="13"/>
      <c r="Z32" s="13"/>
      <c r="AA32" s="13"/>
      <c r="AB32" s="13"/>
    </row>
    <row r="33" spans="1:28" ht="13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71"/>
      <c r="Y33" s="13"/>
      <c r="Z33" s="13"/>
      <c r="AA33" s="13"/>
      <c r="AB33" s="13"/>
    </row>
    <row r="34" spans="1:28" ht="13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71"/>
      <c r="Y34" s="13"/>
      <c r="Z34" s="13"/>
      <c r="AA34" s="13"/>
      <c r="AB34" s="13"/>
    </row>
    <row r="35" spans="1:28" ht="13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71"/>
      <c r="Y35" s="13"/>
      <c r="Z35" s="13"/>
      <c r="AA35" s="13"/>
      <c r="AB35" s="13"/>
    </row>
    <row r="36" spans="1:28" ht="13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71"/>
      <c r="Y36" s="13"/>
      <c r="Z36" s="13"/>
      <c r="AA36" s="13"/>
      <c r="AB36" s="13"/>
    </row>
    <row r="37" spans="1:28" ht="13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71"/>
      <c r="Y37" s="13"/>
      <c r="Z37" s="13"/>
      <c r="AA37" s="13"/>
      <c r="AB37" s="13"/>
    </row>
    <row r="38" spans="1:28" ht="13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71"/>
      <c r="Y38" s="13"/>
      <c r="Z38" s="13"/>
      <c r="AA38" s="13"/>
      <c r="AB38" s="13"/>
    </row>
    <row r="39" spans="1:28" ht="13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71"/>
      <c r="Y39" s="13"/>
      <c r="Z39" s="13"/>
      <c r="AA39" s="13"/>
      <c r="AB39" s="13"/>
    </row>
    <row r="40" spans="1:28" ht="13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71"/>
      <c r="Y40" s="13"/>
      <c r="Z40" s="13"/>
      <c r="AA40" s="13"/>
      <c r="AB40" s="13"/>
    </row>
    <row r="41" spans="1:28" ht="13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71"/>
      <c r="Y41" s="13"/>
      <c r="Z41" s="13"/>
      <c r="AA41" s="13"/>
      <c r="AB41" s="13"/>
    </row>
    <row r="42" spans="1:28" ht="13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71"/>
      <c r="Y42" s="13"/>
      <c r="Z42" s="13"/>
      <c r="AA42" s="13"/>
      <c r="AB42" s="13"/>
    </row>
    <row r="43" spans="1:28" ht="13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71"/>
      <c r="Y43" s="13"/>
      <c r="Z43" s="13"/>
      <c r="AA43" s="13"/>
      <c r="AB43" s="13"/>
    </row>
    <row r="44" spans="1:28" ht="13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71"/>
      <c r="Y44" s="13"/>
      <c r="Z44" s="13"/>
      <c r="AA44" s="13"/>
      <c r="AB44" s="13"/>
    </row>
    <row r="45" spans="1:28" ht="13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71"/>
      <c r="Y45" s="13"/>
      <c r="Z45" s="13"/>
      <c r="AA45" s="13"/>
      <c r="AB45" s="13"/>
    </row>
    <row r="46" spans="1:28" ht="13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71"/>
      <c r="Y46" s="13"/>
      <c r="Z46" s="13"/>
      <c r="AA46" s="13"/>
      <c r="AB46" s="13"/>
    </row>
    <row r="47" spans="1:28" ht="13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71"/>
      <c r="Y47" s="13"/>
      <c r="Z47" s="13"/>
      <c r="AA47" s="13"/>
      <c r="AB47" s="13"/>
    </row>
    <row r="48" spans="1:28" ht="13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71"/>
      <c r="Y48" s="13"/>
      <c r="Z48" s="13"/>
      <c r="AA48" s="13"/>
      <c r="AB48" s="13"/>
    </row>
    <row r="49" spans="1:28" ht="13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71"/>
      <c r="Y49" s="13"/>
      <c r="Z49" s="13"/>
      <c r="AA49" s="13"/>
      <c r="AB49" s="13"/>
    </row>
    <row r="50" spans="1:28" ht="13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71"/>
      <c r="Y50" s="13"/>
      <c r="Z50" s="13"/>
      <c r="AA50" s="13"/>
      <c r="AB50" s="13"/>
    </row>
    <row r="51" spans="1:28" ht="13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71"/>
      <c r="Y51" s="13"/>
      <c r="Z51" s="13"/>
      <c r="AA51" s="13"/>
      <c r="AB51" s="13"/>
    </row>
    <row r="52" spans="1:28" ht="13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71"/>
      <c r="Y52" s="13"/>
      <c r="Z52" s="13"/>
      <c r="AA52" s="13"/>
      <c r="AB52" s="13"/>
    </row>
    <row r="53" spans="1:28" ht="13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71"/>
      <c r="Y53" s="13"/>
      <c r="Z53" s="13"/>
      <c r="AA53" s="13"/>
      <c r="AB53" s="13"/>
    </row>
    <row r="54" spans="1:28" ht="13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71"/>
      <c r="Y54" s="13"/>
      <c r="Z54" s="13"/>
      <c r="AA54" s="13"/>
      <c r="AB54" s="13"/>
    </row>
    <row r="55" spans="1:28" ht="13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71"/>
      <c r="Y55" s="13"/>
      <c r="Z55" s="13"/>
      <c r="AA55" s="13"/>
      <c r="AB55" s="13"/>
    </row>
    <row r="56" spans="1:28" ht="13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71"/>
      <c r="Y56" s="13"/>
      <c r="Z56" s="13"/>
      <c r="AA56" s="13"/>
      <c r="AB56" s="13"/>
    </row>
    <row r="57" spans="1:28" ht="13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71"/>
      <c r="Y57" s="13"/>
      <c r="Z57" s="13"/>
      <c r="AA57" s="13"/>
      <c r="AB57" s="13"/>
    </row>
    <row r="58" spans="1:28" ht="13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71"/>
      <c r="Y58" s="13"/>
      <c r="Z58" s="13"/>
      <c r="AA58" s="13"/>
      <c r="AB58" s="13"/>
    </row>
    <row r="59" spans="1:28" ht="13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71"/>
      <c r="Y59" s="13"/>
      <c r="Z59" s="13"/>
      <c r="AA59" s="13"/>
      <c r="AB59" s="13"/>
    </row>
    <row r="60" spans="1:28" ht="13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71"/>
      <c r="Y60" s="13"/>
      <c r="Z60" s="13"/>
      <c r="AA60" s="13"/>
      <c r="AB60" s="13"/>
    </row>
    <row r="61" spans="1:28" ht="13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71"/>
      <c r="Y61" s="13"/>
      <c r="Z61" s="13"/>
      <c r="AA61" s="13"/>
      <c r="AB61" s="13"/>
    </row>
    <row r="62" spans="1:28" ht="13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71"/>
      <c r="Y62" s="13"/>
      <c r="Z62" s="13"/>
      <c r="AA62" s="13"/>
      <c r="AB62" s="13"/>
    </row>
    <row r="63" spans="1:28" ht="13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71"/>
      <c r="Y63" s="13"/>
      <c r="Z63" s="13"/>
      <c r="AA63" s="13"/>
      <c r="AB63" s="13"/>
    </row>
    <row r="64" spans="1:28" ht="13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71"/>
      <c r="Y64" s="13"/>
      <c r="Z64" s="13"/>
      <c r="AA64" s="13"/>
      <c r="AB64" s="13"/>
    </row>
    <row r="65" spans="1:28" ht="13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71"/>
      <c r="Y65" s="13"/>
      <c r="Z65" s="13"/>
      <c r="AA65" s="13"/>
      <c r="AB65" s="13"/>
    </row>
    <row r="66" spans="1:28" ht="13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71"/>
      <c r="Y66" s="13"/>
      <c r="Z66" s="13"/>
      <c r="AA66" s="13"/>
      <c r="AB66" s="13"/>
    </row>
    <row r="67" spans="1:28" ht="13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71"/>
      <c r="Y67" s="13"/>
      <c r="Z67" s="13"/>
      <c r="AA67" s="13"/>
      <c r="AB67" s="13"/>
    </row>
    <row r="68" spans="1:28" ht="13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71"/>
      <c r="Y68" s="13"/>
      <c r="Z68" s="13"/>
      <c r="AA68" s="13"/>
      <c r="AB68" s="13"/>
    </row>
    <row r="69" spans="1:28" ht="13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71"/>
      <c r="Y69" s="13"/>
      <c r="Z69" s="13"/>
      <c r="AA69" s="13"/>
      <c r="AB69" s="13"/>
    </row>
    <row r="70" spans="1:28" ht="13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71"/>
      <c r="Y70" s="13"/>
      <c r="Z70" s="13"/>
      <c r="AA70" s="13"/>
      <c r="AB70" s="13"/>
    </row>
    <row r="71" spans="1:28" ht="13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71"/>
      <c r="Y71" s="13"/>
      <c r="Z71" s="13"/>
      <c r="AA71" s="13"/>
      <c r="AB71" s="13"/>
    </row>
    <row r="72" spans="1:28" ht="13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71"/>
      <c r="Y72" s="13"/>
      <c r="Z72" s="13"/>
      <c r="AA72" s="13"/>
      <c r="AB72" s="13"/>
    </row>
    <row r="73" spans="1:28" ht="13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71"/>
      <c r="Y73" s="13"/>
      <c r="Z73" s="13"/>
      <c r="AA73" s="13"/>
      <c r="AB73" s="13"/>
    </row>
    <row r="74" spans="1:28" ht="13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71"/>
      <c r="Y74" s="13"/>
      <c r="Z74" s="13"/>
      <c r="AA74" s="13"/>
      <c r="AB74" s="13"/>
    </row>
    <row r="75" spans="1:28" ht="13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71"/>
      <c r="Y75" s="13"/>
      <c r="Z75" s="13"/>
      <c r="AA75" s="13"/>
      <c r="AB75" s="13"/>
    </row>
    <row r="76" spans="1:28" ht="13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71"/>
      <c r="Y76" s="13"/>
      <c r="Z76" s="13"/>
      <c r="AA76" s="13"/>
      <c r="AB76" s="13"/>
    </row>
    <row r="77" spans="1:28" ht="13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71"/>
      <c r="Y77" s="13"/>
      <c r="Z77" s="13"/>
      <c r="AA77" s="13"/>
      <c r="AB77" s="13"/>
    </row>
    <row r="78" spans="1:28" ht="13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71"/>
      <c r="Y78" s="13"/>
      <c r="Z78" s="13"/>
      <c r="AA78" s="13"/>
      <c r="AB78" s="13"/>
    </row>
    <row r="79" spans="1:28" ht="13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71"/>
      <c r="Y79" s="13"/>
      <c r="Z79" s="13"/>
      <c r="AA79" s="13"/>
      <c r="AB79" s="13"/>
    </row>
    <row r="80" spans="1:28" ht="13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71"/>
      <c r="Y80" s="13"/>
      <c r="Z80" s="13"/>
      <c r="AA80" s="13"/>
      <c r="AB80" s="13"/>
    </row>
    <row r="81" spans="1:28" ht="13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71"/>
      <c r="Y81" s="13"/>
      <c r="Z81" s="13"/>
      <c r="AA81" s="13"/>
      <c r="AB81" s="13"/>
    </row>
    <row r="82" spans="1:28" ht="13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71"/>
      <c r="Y82" s="13"/>
      <c r="Z82" s="13"/>
      <c r="AA82" s="13"/>
      <c r="AB82" s="13"/>
    </row>
    <row r="83" spans="1:28" ht="13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71"/>
      <c r="Y83" s="13"/>
      <c r="Z83" s="13"/>
      <c r="AA83" s="13"/>
      <c r="AB83" s="13"/>
    </row>
    <row r="84" spans="1:28" ht="13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71"/>
      <c r="Y84" s="13"/>
      <c r="Z84" s="13"/>
      <c r="AA84" s="13"/>
      <c r="AB84" s="13"/>
    </row>
    <row r="85" spans="1:28" ht="13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71"/>
      <c r="Y85" s="13"/>
      <c r="Z85" s="13"/>
      <c r="AA85" s="13"/>
      <c r="AB85" s="13"/>
    </row>
    <row r="86" spans="1:28" ht="13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71"/>
      <c r="Y86" s="13"/>
      <c r="Z86" s="13"/>
      <c r="AA86" s="13"/>
      <c r="AB86" s="13"/>
    </row>
    <row r="87" spans="1:28" ht="13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71"/>
      <c r="Y87" s="13"/>
      <c r="Z87" s="13"/>
      <c r="AA87" s="13"/>
      <c r="AB87" s="13"/>
    </row>
    <row r="88" spans="1:28" ht="13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71"/>
      <c r="Y88" s="13"/>
      <c r="Z88" s="13"/>
      <c r="AA88" s="13"/>
      <c r="AB88" s="13"/>
    </row>
    <row r="89" spans="1:28" ht="13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71"/>
      <c r="Y89" s="13"/>
      <c r="Z89" s="13"/>
      <c r="AA89" s="13"/>
      <c r="AB89" s="13"/>
    </row>
    <row r="90" spans="1:28" ht="13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71"/>
      <c r="Y90" s="13"/>
      <c r="Z90" s="13"/>
      <c r="AA90" s="13"/>
      <c r="AB90" s="13"/>
    </row>
    <row r="91" spans="1:28" ht="13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71"/>
      <c r="Y91" s="13"/>
      <c r="Z91" s="13"/>
      <c r="AA91" s="13"/>
      <c r="AB91" s="13"/>
    </row>
    <row r="92" spans="1:28" ht="13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71"/>
      <c r="Y92" s="13"/>
      <c r="Z92" s="13"/>
      <c r="AA92" s="13"/>
      <c r="AB92" s="13"/>
    </row>
    <row r="93" spans="1:28" ht="13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71"/>
      <c r="Y93" s="13"/>
      <c r="Z93" s="13"/>
      <c r="AA93" s="13"/>
      <c r="AB93" s="13"/>
    </row>
    <row r="94" spans="1:28" ht="13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71"/>
      <c r="Y94" s="13"/>
      <c r="Z94" s="13"/>
      <c r="AA94" s="13"/>
      <c r="AB94" s="13"/>
    </row>
    <row r="95" spans="1:28" ht="13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71"/>
      <c r="Y95" s="13"/>
      <c r="Z95" s="13"/>
      <c r="AA95" s="13"/>
      <c r="AB95" s="13"/>
    </row>
    <row r="96" spans="1:28" ht="13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71"/>
      <c r="Y96" s="13"/>
      <c r="Z96" s="13"/>
      <c r="AA96" s="13"/>
      <c r="AB96" s="13"/>
    </row>
    <row r="97" spans="1:28" ht="13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71"/>
      <c r="Y97" s="13"/>
      <c r="Z97" s="13"/>
      <c r="AA97" s="13"/>
      <c r="AB97" s="13"/>
    </row>
    <row r="98" spans="1:28" ht="13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71"/>
      <c r="Y98" s="13"/>
      <c r="Z98" s="13"/>
      <c r="AA98" s="13"/>
      <c r="AB98" s="13"/>
    </row>
    <row r="99" spans="1:28" ht="13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71"/>
      <c r="Y99" s="13"/>
      <c r="Z99" s="13"/>
      <c r="AA99" s="13"/>
      <c r="AB99" s="13"/>
    </row>
    <row r="100" spans="1:28" ht="13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71"/>
      <c r="Y100" s="13"/>
      <c r="Z100" s="13"/>
      <c r="AA100" s="13"/>
      <c r="AB100" s="13"/>
    </row>
    <row r="101" spans="1:28" ht="13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71"/>
      <c r="Y101" s="13"/>
      <c r="Z101" s="13"/>
      <c r="AA101" s="13"/>
      <c r="AB101" s="13"/>
    </row>
    <row r="102" spans="1:28" ht="13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71"/>
      <c r="Y102" s="13"/>
      <c r="Z102" s="13"/>
      <c r="AA102" s="13"/>
      <c r="AB102" s="13"/>
    </row>
    <row r="103" spans="1:28" ht="13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71"/>
      <c r="Y103" s="13"/>
      <c r="Z103" s="13"/>
      <c r="AA103" s="13"/>
      <c r="AB103" s="13"/>
    </row>
    <row r="104" spans="1:28" ht="13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71"/>
      <c r="Y104" s="13"/>
      <c r="Z104" s="13"/>
      <c r="AA104" s="13"/>
      <c r="AB104" s="13"/>
    </row>
    <row r="105" spans="1:28" ht="13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71"/>
      <c r="Y105" s="13"/>
      <c r="Z105" s="13"/>
      <c r="AA105" s="13"/>
      <c r="AB105" s="13"/>
    </row>
    <row r="106" spans="1:28" ht="13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71"/>
      <c r="Y106" s="13"/>
      <c r="Z106" s="13"/>
      <c r="AA106" s="13"/>
      <c r="AB106" s="13"/>
    </row>
    <row r="107" spans="1:28" ht="13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71"/>
      <c r="Y107" s="13"/>
      <c r="Z107" s="13"/>
      <c r="AA107" s="13"/>
      <c r="AB107" s="13"/>
    </row>
    <row r="108" spans="1:28" ht="13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71"/>
      <c r="Y108" s="13"/>
      <c r="Z108" s="13"/>
      <c r="AA108" s="13"/>
      <c r="AB108" s="13"/>
    </row>
    <row r="109" spans="1:28" ht="13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71"/>
      <c r="Y109" s="13"/>
      <c r="Z109" s="13"/>
      <c r="AA109" s="13"/>
      <c r="AB109" s="13"/>
    </row>
    <row r="110" spans="1:28" ht="13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71"/>
      <c r="Y110" s="13"/>
      <c r="Z110" s="13"/>
      <c r="AA110" s="13"/>
      <c r="AB110" s="13"/>
    </row>
    <row r="111" spans="1:28" ht="13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71"/>
      <c r="Y111" s="13"/>
      <c r="Z111" s="13"/>
      <c r="AA111" s="13"/>
      <c r="AB111" s="13"/>
    </row>
    <row r="112" spans="1:28" ht="13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71"/>
      <c r="Y112" s="13"/>
      <c r="Z112" s="13"/>
      <c r="AA112" s="13"/>
      <c r="AB112" s="13"/>
    </row>
    <row r="113" spans="1:28" ht="13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71"/>
      <c r="Y113" s="13"/>
      <c r="Z113" s="13"/>
      <c r="AA113" s="13"/>
      <c r="AB113" s="13"/>
    </row>
    <row r="114" spans="1:28" ht="13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71"/>
      <c r="Y114" s="13"/>
      <c r="Z114" s="13"/>
      <c r="AA114" s="13"/>
      <c r="AB114" s="13"/>
    </row>
    <row r="115" spans="1:28" ht="13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71"/>
      <c r="Y115" s="13"/>
      <c r="Z115" s="13"/>
      <c r="AA115" s="13"/>
      <c r="AB115" s="13"/>
    </row>
    <row r="116" spans="1:28" ht="13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71"/>
      <c r="Y116" s="13"/>
      <c r="Z116" s="13"/>
      <c r="AA116" s="13"/>
      <c r="AB116" s="13"/>
    </row>
    <row r="117" spans="1:28" ht="13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71"/>
      <c r="Y117" s="13"/>
      <c r="Z117" s="13"/>
      <c r="AA117" s="13"/>
      <c r="AB117" s="13"/>
    </row>
    <row r="118" spans="1:28" ht="13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71"/>
      <c r="Y118" s="13"/>
      <c r="Z118" s="13"/>
      <c r="AA118" s="13"/>
      <c r="AB118" s="13"/>
    </row>
    <row r="119" spans="1:28" ht="13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71"/>
      <c r="Y119" s="13"/>
      <c r="Z119" s="13"/>
      <c r="AA119" s="13"/>
      <c r="AB119" s="13"/>
    </row>
    <row r="120" spans="1:28" ht="13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71"/>
      <c r="Y120" s="13"/>
      <c r="Z120" s="13"/>
      <c r="AA120" s="13"/>
      <c r="AB120" s="13"/>
    </row>
    <row r="121" spans="1:28" ht="13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71"/>
      <c r="Y121" s="13"/>
      <c r="Z121" s="13"/>
      <c r="AA121" s="13"/>
      <c r="AB121" s="13"/>
    </row>
    <row r="122" spans="1:28" ht="13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71"/>
      <c r="Y122" s="13"/>
      <c r="Z122" s="13"/>
      <c r="AA122" s="13"/>
      <c r="AB122" s="13"/>
    </row>
    <row r="123" spans="1:28" ht="13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71"/>
      <c r="Y123" s="13"/>
      <c r="Z123" s="13"/>
      <c r="AA123" s="13"/>
      <c r="AB123" s="13"/>
    </row>
    <row r="124" spans="1:28" ht="13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71"/>
      <c r="Y124" s="13"/>
      <c r="Z124" s="13"/>
      <c r="AA124" s="13"/>
      <c r="AB124" s="13"/>
    </row>
    <row r="125" spans="1:28" ht="13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71"/>
      <c r="Y125" s="13"/>
      <c r="Z125" s="13"/>
      <c r="AA125" s="13"/>
      <c r="AB125" s="13"/>
    </row>
    <row r="126" spans="1:28" ht="13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71"/>
      <c r="Y126" s="13"/>
      <c r="Z126" s="13"/>
      <c r="AA126" s="13"/>
      <c r="AB126" s="13"/>
    </row>
    <row r="127" spans="1:28" ht="13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71"/>
      <c r="Y127" s="13"/>
      <c r="Z127" s="13"/>
      <c r="AA127" s="13"/>
      <c r="AB127" s="13"/>
    </row>
    <row r="128" spans="1:28" ht="13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71"/>
      <c r="Y128" s="13"/>
      <c r="Z128" s="13"/>
      <c r="AA128" s="13"/>
      <c r="AB128" s="13"/>
    </row>
    <row r="129" spans="1:28" ht="13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71"/>
      <c r="Y129" s="13"/>
      <c r="Z129" s="13"/>
      <c r="AA129" s="13"/>
      <c r="AB129" s="13"/>
    </row>
    <row r="130" spans="1:28" ht="13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71"/>
      <c r="Y130" s="13"/>
      <c r="Z130" s="13"/>
      <c r="AA130" s="13"/>
      <c r="AB130" s="13"/>
    </row>
    <row r="131" spans="1:28" ht="13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71"/>
      <c r="Y131" s="13"/>
      <c r="Z131" s="13"/>
      <c r="AA131" s="13"/>
      <c r="AB131" s="13"/>
    </row>
    <row r="132" spans="1:28" ht="13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71"/>
      <c r="Y132" s="13"/>
      <c r="Z132" s="13"/>
      <c r="AA132" s="13"/>
      <c r="AB132" s="13"/>
    </row>
    <row r="133" spans="1:28" ht="13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71"/>
      <c r="Y133" s="13"/>
      <c r="Z133" s="13"/>
      <c r="AA133" s="13"/>
      <c r="AB133" s="13"/>
    </row>
    <row r="134" spans="1:28" ht="13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71"/>
      <c r="Y134" s="13"/>
      <c r="Z134" s="13"/>
      <c r="AA134" s="13"/>
      <c r="AB134" s="13"/>
    </row>
    <row r="135" spans="1:28" ht="13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71"/>
      <c r="Y135" s="13"/>
      <c r="Z135" s="13"/>
      <c r="AA135" s="13"/>
      <c r="AB135" s="13"/>
    </row>
    <row r="136" spans="1:28" ht="13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71"/>
      <c r="Y136" s="13"/>
      <c r="Z136" s="13"/>
      <c r="AA136" s="13"/>
      <c r="AB136" s="13"/>
    </row>
    <row r="137" spans="1:28" ht="13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71"/>
      <c r="Y137" s="13"/>
      <c r="Z137" s="13"/>
      <c r="AA137" s="13"/>
      <c r="AB137" s="13"/>
    </row>
    <row r="138" spans="1:28" ht="13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71"/>
      <c r="Y138" s="13"/>
      <c r="Z138" s="13"/>
      <c r="AA138" s="13"/>
      <c r="AB138" s="13"/>
    </row>
    <row r="139" spans="1:28" ht="13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71"/>
      <c r="Y139" s="13"/>
      <c r="Z139" s="13"/>
      <c r="AA139" s="13"/>
      <c r="AB139" s="13"/>
    </row>
    <row r="140" spans="1:28" ht="13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71"/>
      <c r="Y140" s="13"/>
      <c r="Z140" s="13"/>
      <c r="AA140" s="13"/>
      <c r="AB140" s="13"/>
    </row>
    <row r="141" spans="1:28" ht="13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71"/>
      <c r="Y141" s="13"/>
      <c r="Z141" s="13"/>
      <c r="AA141" s="13"/>
      <c r="AB141" s="13"/>
    </row>
    <row r="142" spans="1:28" ht="13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71"/>
      <c r="Y142" s="13"/>
      <c r="Z142" s="13"/>
      <c r="AA142" s="13"/>
      <c r="AB142" s="13"/>
    </row>
    <row r="143" spans="1:28" ht="13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71"/>
      <c r="Y143" s="13"/>
      <c r="Z143" s="13"/>
      <c r="AA143" s="13"/>
      <c r="AB143" s="13"/>
    </row>
    <row r="144" spans="1:28" ht="13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71"/>
      <c r="Y144" s="13"/>
      <c r="Z144" s="13"/>
      <c r="AA144" s="13"/>
      <c r="AB144" s="13"/>
    </row>
    <row r="145" spans="1:28" ht="13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71"/>
      <c r="Y145" s="13"/>
      <c r="Z145" s="13"/>
      <c r="AA145" s="13"/>
      <c r="AB145" s="13"/>
    </row>
    <row r="146" spans="1:28" ht="13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71"/>
      <c r="Y146" s="13"/>
      <c r="Z146" s="13"/>
      <c r="AA146" s="13"/>
      <c r="AB146" s="13"/>
    </row>
    <row r="147" spans="1:28" ht="13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71"/>
      <c r="Y147" s="13"/>
      <c r="Z147" s="13"/>
      <c r="AA147" s="13"/>
      <c r="AB147" s="13"/>
    </row>
    <row r="148" spans="1:28" ht="13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71"/>
      <c r="Y148" s="13"/>
      <c r="Z148" s="13"/>
      <c r="AA148" s="13"/>
      <c r="AB148" s="13"/>
    </row>
    <row r="149" spans="1:28" ht="13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71"/>
      <c r="Y149" s="13"/>
      <c r="Z149" s="13"/>
      <c r="AA149" s="13"/>
      <c r="AB149" s="13"/>
    </row>
    <row r="150" spans="1:28" ht="13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71"/>
      <c r="Y150" s="13"/>
      <c r="Z150" s="13"/>
      <c r="AA150" s="13"/>
      <c r="AB150" s="13"/>
    </row>
    <row r="151" spans="1:28" ht="13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71"/>
      <c r="Y151" s="13"/>
      <c r="Z151" s="13"/>
      <c r="AA151" s="13"/>
      <c r="AB151" s="13"/>
    </row>
    <row r="152" spans="1:28" ht="13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71"/>
      <c r="Y152" s="13"/>
      <c r="Z152" s="13"/>
      <c r="AA152" s="13"/>
      <c r="AB152" s="13"/>
    </row>
    <row r="153" spans="1:28" ht="13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71"/>
      <c r="Y153" s="13"/>
      <c r="Z153" s="13"/>
      <c r="AA153" s="13"/>
      <c r="AB153" s="13"/>
    </row>
    <row r="154" spans="1:28" ht="13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71"/>
      <c r="Y154" s="13"/>
      <c r="Z154" s="13"/>
      <c r="AA154" s="13"/>
      <c r="AB154" s="13"/>
    </row>
    <row r="155" spans="1:28" ht="13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71"/>
      <c r="Y155" s="13"/>
      <c r="Z155" s="13"/>
      <c r="AA155" s="13"/>
      <c r="AB155" s="13"/>
    </row>
    <row r="156" spans="1:28" ht="13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71"/>
      <c r="Y156" s="13"/>
      <c r="Z156" s="13"/>
      <c r="AA156" s="13"/>
      <c r="AB156" s="13"/>
    </row>
    <row r="157" spans="1:28" ht="13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71"/>
      <c r="Y157" s="13"/>
      <c r="Z157" s="13"/>
      <c r="AA157" s="13"/>
      <c r="AB157" s="13"/>
    </row>
    <row r="158" spans="1:28" ht="13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71"/>
      <c r="Y158" s="13"/>
      <c r="Z158" s="13"/>
      <c r="AA158" s="13"/>
      <c r="AB158" s="13"/>
    </row>
    <row r="159" spans="1:28" ht="13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71"/>
      <c r="Y159" s="13"/>
      <c r="Z159" s="13"/>
      <c r="AA159" s="13"/>
      <c r="AB159" s="13"/>
    </row>
    <row r="160" spans="1:28" ht="13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71"/>
      <c r="Y160" s="13"/>
      <c r="Z160" s="13"/>
      <c r="AA160" s="13"/>
      <c r="AB160" s="13"/>
    </row>
    <row r="161" spans="1:28" ht="13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71"/>
      <c r="Y161" s="13"/>
      <c r="Z161" s="13"/>
      <c r="AA161" s="13"/>
      <c r="AB161" s="13"/>
    </row>
    <row r="162" spans="1:28" ht="13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71"/>
      <c r="Y162" s="13"/>
      <c r="Z162" s="13"/>
      <c r="AA162" s="13"/>
      <c r="AB162" s="13"/>
    </row>
    <row r="163" spans="1:28" ht="13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71"/>
      <c r="Y163" s="13"/>
      <c r="Z163" s="13"/>
      <c r="AA163" s="13"/>
      <c r="AB163" s="13"/>
    </row>
    <row r="164" spans="1:28" ht="13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71"/>
      <c r="Y164" s="13"/>
      <c r="Z164" s="13"/>
      <c r="AA164" s="13"/>
      <c r="AB164" s="13"/>
    </row>
    <row r="165" spans="1:28" ht="13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71"/>
      <c r="Y165" s="13"/>
      <c r="Z165" s="13"/>
      <c r="AA165" s="13"/>
      <c r="AB165" s="13"/>
    </row>
    <row r="166" spans="1:28" ht="13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71"/>
      <c r="Y166" s="13"/>
      <c r="Z166" s="13"/>
      <c r="AA166" s="13"/>
      <c r="AB166" s="13"/>
    </row>
    <row r="167" spans="1:28" ht="13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71"/>
      <c r="Y167" s="13"/>
      <c r="Z167" s="13"/>
      <c r="AA167" s="13"/>
      <c r="AB167" s="13"/>
    </row>
    <row r="168" spans="1:28" ht="13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71"/>
      <c r="Y168" s="13"/>
      <c r="Z168" s="13"/>
      <c r="AA168" s="13"/>
      <c r="AB168" s="13"/>
    </row>
    <row r="169" spans="1:28" ht="13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71"/>
      <c r="Y169" s="13"/>
      <c r="Z169" s="13"/>
      <c r="AA169" s="13"/>
      <c r="AB169" s="13"/>
    </row>
    <row r="170" spans="1:28" ht="13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71"/>
      <c r="Y170" s="13"/>
      <c r="Z170" s="13"/>
      <c r="AA170" s="13"/>
      <c r="AB170" s="13"/>
    </row>
    <row r="171" spans="1:28" ht="13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71"/>
      <c r="Y171" s="13"/>
      <c r="Z171" s="13"/>
      <c r="AA171" s="13"/>
      <c r="AB171" s="13"/>
    </row>
    <row r="172" spans="1:28" ht="13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71"/>
      <c r="Y172" s="13"/>
      <c r="Z172" s="13"/>
      <c r="AA172" s="13"/>
      <c r="AB172" s="13"/>
    </row>
    <row r="173" spans="1:28" ht="13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71"/>
      <c r="Y173" s="13"/>
      <c r="Z173" s="13"/>
      <c r="AA173" s="13"/>
      <c r="AB173" s="13"/>
    </row>
    <row r="174" spans="1:28" ht="13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71"/>
      <c r="Y174" s="13"/>
      <c r="Z174" s="13"/>
      <c r="AA174" s="13"/>
      <c r="AB174" s="13"/>
    </row>
    <row r="175" spans="1:28" ht="13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71"/>
      <c r="Y175" s="13"/>
      <c r="Z175" s="13"/>
      <c r="AA175" s="13"/>
      <c r="AB175" s="13"/>
    </row>
    <row r="176" spans="1:28" ht="13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71"/>
      <c r="Y176" s="13"/>
      <c r="Z176" s="13"/>
      <c r="AA176" s="13"/>
      <c r="AB176" s="13"/>
    </row>
    <row r="177" spans="1:28" ht="13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71"/>
      <c r="Y177" s="13"/>
      <c r="Z177" s="13"/>
      <c r="AA177" s="13"/>
      <c r="AB177" s="13"/>
    </row>
    <row r="178" spans="1:28" ht="13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71"/>
      <c r="Y178" s="13"/>
      <c r="Z178" s="13"/>
      <c r="AA178" s="13"/>
      <c r="AB178" s="13"/>
    </row>
    <row r="179" spans="1:28" ht="13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71"/>
      <c r="Y179" s="13"/>
      <c r="Z179" s="13"/>
      <c r="AA179" s="13"/>
      <c r="AB179" s="13"/>
    </row>
    <row r="180" spans="1:28" ht="13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71"/>
      <c r="Y180" s="13"/>
      <c r="Z180" s="13"/>
      <c r="AA180" s="13"/>
      <c r="AB180" s="13"/>
    </row>
    <row r="181" spans="1:28" ht="13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71"/>
      <c r="Y181" s="13"/>
      <c r="Z181" s="13"/>
      <c r="AA181" s="13"/>
      <c r="AB181" s="13"/>
    </row>
    <row r="182" spans="1:28" ht="13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71"/>
      <c r="Y182" s="13"/>
      <c r="Z182" s="13"/>
      <c r="AA182" s="13"/>
      <c r="AB182" s="13"/>
    </row>
    <row r="183" spans="1:28" ht="13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71"/>
      <c r="Y183" s="13"/>
      <c r="Z183" s="13"/>
      <c r="AA183" s="13"/>
      <c r="AB183" s="13"/>
    </row>
    <row r="184" spans="1:28" ht="13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71"/>
      <c r="Y184" s="13"/>
      <c r="Z184" s="13"/>
      <c r="AA184" s="13"/>
      <c r="AB184" s="13"/>
    </row>
    <row r="185" spans="1:28" ht="13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71"/>
      <c r="Y185" s="13"/>
      <c r="Z185" s="13"/>
      <c r="AA185" s="13"/>
      <c r="AB185" s="13"/>
    </row>
    <row r="186" spans="1:28" ht="13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71"/>
      <c r="Y186" s="13"/>
      <c r="Z186" s="13"/>
      <c r="AA186" s="13"/>
      <c r="AB186" s="13"/>
    </row>
    <row r="187" spans="1:28" ht="13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71"/>
      <c r="Y187" s="13"/>
      <c r="Z187" s="13"/>
      <c r="AA187" s="13"/>
      <c r="AB187" s="13"/>
    </row>
    <row r="188" spans="1:28" ht="13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71"/>
      <c r="Y188" s="13"/>
      <c r="Z188" s="13"/>
      <c r="AA188" s="13"/>
      <c r="AB188" s="13"/>
    </row>
    <row r="189" spans="1:28" ht="13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71"/>
      <c r="Y189" s="13"/>
      <c r="Z189" s="13"/>
      <c r="AA189" s="13"/>
      <c r="AB189" s="13"/>
    </row>
    <row r="190" spans="1:28" ht="13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71"/>
      <c r="Y190" s="13"/>
      <c r="Z190" s="13"/>
      <c r="AA190" s="13"/>
      <c r="AB190" s="13"/>
    </row>
    <row r="191" spans="1:28" ht="13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71"/>
      <c r="Y191" s="13"/>
      <c r="Z191" s="13"/>
      <c r="AA191" s="13"/>
      <c r="AB191" s="13"/>
    </row>
    <row r="192" spans="1:28" ht="13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71"/>
      <c r="Y192" s="13"/>
      <c r="Z192" s="13"/>
      <c r="AA192" s="13"/>
      <c r="AB192" s="13"/>
    </row>
    <row r="193" spans="1:28" ht="13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71"/>
      <c r="Y193" s="13"/>
      <c r="Z193" s="13"/>
      <c r="AA193" s="13"/>
      <c r="AB193" s="13"/>
    </row>
    <row r="194" spans="1:28" ht="13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71"/>
      <c r="Y194" s="13"/>
      <c r="Z194" s="13"/>
      <c r="AA194" s="13"/>
      <c r="AB194" s="13"/>
    </row>
    <row r="195" spans="1:28" ht="13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71"/>
      <c r="Y195" s="13"/>
      <c r="Z195" s="13"/>
      <c r="AA195" s="13"/>
      <c r="AB195" s="13"/>
    </row>
    <row r="196" spans="1:28" ht="13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71"/>
      <c r="Y196" s="13"/>
      <c r="Z196" s="13"/>
      <c r="AA196" s="13"/>
      <c r="AB196" s="13"/>
    </row>
    <row r="197" spans="1:28" ht="13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71"/>
      <c r="Y197" s="13"/>
      <c r="Z197" s="13"/>
      <c r="AA197" s="13"/>
      <c r="AB197" s="13"/>
    </row>
    <row r="198" spans="1:28" ht="13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71"/>
      <c r="Y198" s="13"/>
      <c r="Z198" s="13"/>
      <c r="AA198" s="13"/>
      <c r="AB198" s="13"/>
    </row>
    <row r="199" spans="1:28" ht="13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71"/>
      <c r="Y199" s="13"/>
      <c r="Z199" s="13"/>
      <c r="AA199" s="13"/>
      <c r="AB199" s="13"/>
    </row>
    <row r="200" spans="1:28" ht="13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71"/>
      <c r="Y200" s="13"/>
      <c r="Z200" s="13"/>
      <c r="AA200" s="13"/>
      <c r="AB200" s="13"/>
    </row>
    <row r="201" spans="1:28" ht="13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71"/>
      <c r="Y201" s="13"/>
      <c r="Z201" s="13"/>
      <c r="AA201" s="13"/>
      <c r="AB201" s="13"/>
    </row>
    <row r="202" spans="1:28" ht="13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71"/>
      <c r="Y202" s="13"/>
      <c r="Z202" s="13"/>
      <c r="AA202" s="13"/>
      <c r="AB202" s="13"/>
    </row>
    <row r="203" spans="1:28" ht="13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71"/>
      <c r="Y203" s="13"/>
      <c r="Z203" s="13"/>
      <c r="AA203" s="13"/>
      <c r="AB203" s="13"/>
    </row>
    <row r="204" spans="1:28" ht="13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71"/>
      <c r="Y204" s="13"/>
      <c r="Z204" s="13"/>
      <c r="AA204" s="13"/>
      <c r="AB204" s="13"/>
    </row>
    <row r="205" spans="1:28" ht="13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71"/>
      <c r="Y205" s="13"/>
      <c r="Z205" s="13"/>
      <c r="AA205" s="13"/>
      <c r="AB205" s="13"/>
    </row>
    <row r="206" spans="1:28" ht="13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71"/>
      <c r="Y206" s="13"/>
      <c r="Z206" s="13"/>
      <c r="AA206" s="13"/>
      <c r="AB206" s="13"/>
    </row>
    <row r="207" spans="1:28" ht="13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71"/>
      <c r="Y207" s="13"/>
      <c r="Z207" s="13"/>
      <c r="AA207" s="13"/>
      <c r="AB207" s="13"/>
    </row>
    <row r="208" spans="1:28" ht="13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71"/>
      <c r="Y208" s="13"/>
      <c r="Z208" s="13"/>
      <c r="AA208" s="13"/>
      <c r="AB208" s="13"/>
    </row>
    <row r="209" spans="1:28" ht="13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71"/>
      <c r="Y209" s="13"/>
      <c r="Z209" s="13"/>
      <c r="AA209" s="13"/>
      <c r="AB209" s="13"/>
    </row>
    <row r="210" spans="1:28" ht="13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71"/>
      <c r="Y210" s="13"/>
      <c r="Z210" s="13"/>
      <c r="AA210" s="13"/>
      <c r="AB210" s="13"/>
    </row>
    <row r="211" spans="1:28" ht="13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71"/>
      <c r="Y211" s="13"/>
      <c r="Z211" s="13"/>
      <c r="AA211" s="13"/>
      <c r="AB211" s="13"/>
    </row>
    <row r="212" spans="1:28" ht="13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71"/>
      <c r="Y212" s="13"/>
      <c r="Z212" s="13"/>
      <c r="AA212" s="13"/>
      <c r="AB212" s="13"/>
    </row>
    <row r="213" spans="1:28" ht="13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71"/>
      <c r="Y213" s="13"/>
      <c r="Z213" s="13"/>
      <c r="AA213" s="13"/>
      <c r="AB213" s="13"/>
    </row>
    <row r="214" spans="1:28" ht="13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71"/>
      <c r="Y214" s="13"/>
      <c r="Z214" s="13"/>
      <c r="AA214" s="13"/>
      <c r="AB214" s="13"/>
    </row>
    <row r="215" spans="1:28" ht="13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71"/>
      <c r="Y215" s="13"/>
      <c r="Z215" s="13"/>
      <c r="AA215" s="13"/>
      <c r="AB215" s="13"/>
    </row>
    <row r="216" spans="1:28" ht="13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71"/>
      <c r="Y216" s="13"/>
      <c r="Z216" s="13"/>
      <c r="AA216" s="13"/>
      <c r="AB216" s="13"/>
    </row>
    <row r="217" spans="1:28" ht="13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71"/>
      <c r="Y217" s="13"/>
      <c r="Z217" s="13"/>
      <c r="AA217" s="13"/>
      <c r="AB217" s="13"/>
    </row>
    <row r="218" spans="1:28" ht="13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71"/>
      <c r="Y218" s="13"/>
      <c r="Z218" s="13"/>
      <c r="AA218" s="13"/>
      <c r="AB218" s="13"/>
    </row>
    <row r="219" spans="1:28" ht="13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71"/>
      <c r="Y219" s="13"/>
      <c r="Z219" s="13"/>
      <c r="AA219" s="13"/>
      <c r="AB219" s="13"/>
    </row>
    <row r="220" spans="1:28" ht="13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71"/>
      <c r="Y220" s="13"/>
      <c r="Z220" s="13"/>
      <c r="AA220" s="13"/>
      <c r="AB220" s="13"/>
    </row>
    <row r="221" spans="1:28" ht="13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71"/>
      <c r="Y221" s="13"/>
      <c r="Z221" s="13"/>
      <c r="AA221" s="13"/>
      <c r="AB221" s="13"/>
    </row>
    <row r="222" spans="1:28" ht="13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71"/>
      <c r="Y222" s="13"/>
      <c r="Z222" s="13"/>
      <c r="AA222" s="13"/>
      <c r="AB222" s="13"/>
    </row>
    <row r="223" spans="1:28" ht="13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71"/>
      <c r="Y223" s="13"/>
      <c r="Z223" s="13"/>
      <c r="AA223" s="13"/>
      <c r="AB223" s="13"/>
    </row>
    <row r="224" spans="1:28" ht="13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71"/>
      <c r="Y224" s="13"/>
      <c r="Z224" s="13"/>
      <c r="AA224" s="13"/>
      <c r="AB224" s="13"/>
    </row>
    <row r="225" spans="1:28" ht="13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71"/>
      <c r="Y225" s="13"/>
      <c r="Z225" s="13"/>
      <c r="AA225" s="13"/>
      <c r="AB225" s="13"/>
    </row>
    <row r="226" spans="1:28" ht="13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71"/>
      <c r="Y226" s="13"/>
      <c r="Z226" s="13"/>
      <c r="AA226" s="13"/>
      <c r="AB226" s="13"/>
    </row>
    <row r="227" spans="1:28" ht="13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71"/>
      <c r="Y227" s="13"/>
      <c r="Z227" s="13"/>
      <c r="AA227" s="13"/>
      <c r="AB227" s="13"/>
    </row>
    <row r="228" spans="1:28" ht="13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71"/>
      <c r="Y228" s="13"/>
      <c r="Z228" s="13"/>
      <c r="AA228" s="13"/>
      <c r="AB228" s="13"/>
    </row>
    <row r="229" spans="1:28" ht="13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71"/>
      <c r="Y229" s="13"/>
      <c r="Z229" s="13"/>
      <c r="AA229" s="13"/>
      <c r="AB229" s="13"/>
    </row>
    <row r="230" spans="1:28" ht="13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71"/>
      <c r="Y230" s="13"/>
      <c r="Z230" s="13"/>
      <c r="AA230" s="13"/>
      <c r="AB230" s="13"/>
    </row>
    <row r="231" spans="1:28" ht="13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71"/>
      <c r="Y231" s="13"/>
      <c r="Z231" s="13"/>
      <c r="AA231" s="13"/>
      <c r="AB231" s="13"/>
    </row>
    <row r="232" spans="1:28" ht="13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71"/>
      <c r="Y232" s="13"/>
      <c r="Z232" s="13"/>
      <c r="AA232" s="13"/>
      <c r="AB232" s="13"/>
    </row>
    <row r="233" spans="1:28" ht="13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71"/>
      <c r="Y233" s="13"/>
      <c r="Z233" s="13"/>
      <c r="AA233" s="13"/>
      <c r="AB233" s="13"/>
    </row>
    <row r="234" spans="1:28" ht="13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71"/>
      <c r="Y234" s="13"/>
      <c r="Z234" s="13"/>
      <c r="AA234" s="13"/>
      <c r="AB234" s="13"/>
    </row>
    <row r="235" spans="1:28" ht="13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71"/>
      <c r="Y235" s="13"/>
      <c r="Z235" s="13"/>
      <c r="AA235" s="13"/>
      <c r="AB235" s="13"/>
    </row>
    <row r="236" spans="1:28" ht="13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71"/>
      <c r="Y236" s="13"/>
      <c r="Z236" s="13"/>
      <c r="AA236" s="13"/>
      <c r="AB236" s="13"/>
    </row>
    <row r="237" spans="1:28" ht="13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71"/>
      <c r="Y237" s="13"/>
      <c r="Z237" s="13"/>
      <c r="AA237" s="13"/>
      <c r="AB237" s="13"/>
    </row>
    <row r="238" spans="1:28" ht="13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71"/>
      <c r="Y238" s="13"/>
      <c r="Z238" s="13"/>
      <c r="AA238" s="13"/>
      <c r="AB238" s="13"/>
    </row>
    <row r="239" spans="1:28" ht="13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71"/>
      <c r="Y239" s="13"/>
      <c r="Z239" s="13"/>
      <c r="AA239" s="13"/>
      <c r="AB239" s="13"/>
    </row>
    <row r="240" spans="1:28" ht="13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71"/>
      <c r="Y240" s="13"/>
      <c r="Z240" s="13"/>
      <c r="AA240" s="13"/>
      <c r="AB240" s="13"/>
    </row>
    <row r="241" spans="1:28" ht="13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71"/>
      <c r="Y241" s="13"/>
      <c r="Z241" s="13"/>
      <c r="AA241" s="13"/>
      <c r="AB241" s="13"/>
    </row>
    <row r="242" spans="1:28" ht="13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71"/>
      <c r="Y242" s="13"/>
      <c r="Z242" s="13"/>
      <c r="AA242" s="13"/>
      <c r="AB242" s="13"/>
    </row>
    <row r="243" spans="1:28" ht="13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71"/>
      <c r="Y243" s="13"/>
      <c r="Z243" s="13"/>
      <c r="AA243" s="13"/>
      <c r="AB243" s="13"/>
    </row>
    <row r="244" spans="1:28" ht="13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71"/>
      <c r="Y244" s="13"/>
      <c r="Z244" s="13"/>
      <c r="AA244" s="13"/>
      <c r="AB244" s="13"/>
    </row>
    <row r="245" spans="1:28" ht="13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71"/>
      <c r="Y245" s="13"/>
      <c r="Z245" s="13"/>
      <c r="AA245" s="13"/>
      <c r="AB245" s="13"/>
    </row>
    <row r="246" spans="1:28" ht="13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71"/>
      <c r="Y246" s="13"/>
      <c r="Z246" s="13"/>
      <c r="AA246" s="13"/>
      <c r="AB246" s="13"/>
    </row>
    <row r="247" spans="1:28" ht="13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71"/>
      <c r="Y247" s="13"/>
      <c r="Z247" s="13"/>
      <c r="AA247" s="13"/>
      <c r="AB247" s="13"/>
    </row>
    <row r="248" spans="1:28" ht="13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71"/>
      <c r="Y248" s="13"/>
      <c r="Z248" s="13"/>
      <c r="AA248" s="13"/>
      <c r="AB248" s="13"/>
    </row>
    <row r="249" spans="1:28" ht="13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71"/>
      <c r="Y249" s="13"/>
      <c r="Z249" s="13"/>
      <c r="AA249" s="13"/>
      <c r="AB249" s="13"/>
    </row>
    <row r="250" spans="1:28" ht="13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71"/>
      <c r="Y250" s="13"/>
      <c r="Z250" s="13"/>
      <c r="AA250" s="13"/>
      <c r="AB250" s="13"/>
    </row>
    <row r="251" spans="1:28" ht="13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71"/>
      <c r="Y251" s="13"/>
      <c r="Z251" s="13"/>
      <c r="AA251" s="13"/>
      <c r="AB251" s="13"/>
    </row>
    <row r="252" spans="1:28" ht="13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71"/>
      <c r="Y252" s="13"/>
      <c r="Z252" s="13"/>
      <c r="AA252" s="13"/>
      <c r="AB252" s="13"/>
    </row>
    <row r="253" spans="1:28" ht="13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71"/>
      <c r="Y253" s="13"/>
      <c r="Z253" s="13"/>
      <c r="AA253" s="13"/>
      <c r="AB253" s="13"/>
    </row>
    <row r="254" spans="1:28" ht="13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71"/>
      <c r="Y254" s="13"/>
      <c r="Z254" s="13"/>
      <c r="AA254" s="13"/>
      <c r="AB254" s="13"/>
    </row>
    <row r="255" spans="1:28" ht="13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71"/>
      <c r="Y255" s="13"/>
      <c r="Z255" s="13"/>
      <c r="AA255" s="13"/>
      <c r="AB255" s="13"/>
    </row>
    <row r="256" spans="1:28" ht="13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71"/>
      <c r="Y256" s="13"/>
      <c r="Z256" s="13"/>
      <c r="AA256" s="13"/>
      <c r="AB256" s="13"/>
    </row>
    <row r="257" spans="1:28" ht="13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71"/>
      <c r="Y257" s="13"/>
      <c r="Z257" s="13"/>
      <c r="AA257" s="13"/>
      <c r="AB257" s="13"/>
    </row>
    <row r="258" spans="1:28" ht="13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71"/>
      <c r="Y258" s="13"/>
      <c r="Z258" s="13"/>
      <c r="AA258" s="13"/>
      <c r="AB258" s="13"/>
    </row>
    <row r="259" spans="1:28" ht="13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71"/>
      <c r="Y259" s="13"/>
      <c r="Z259" s="13"/>
      <c r="AA259" s="13"/>
      <c r="AB259" s="13"/>
    </row>
    <row r="260" spans="1:28" ht="13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71"/>
      <c r="Y260" s="13"/>
      <c r="Z260" s="13"/>
      <c r="AA260" s="13"/>
      <c r="AB260" s="13"/>
    </row>
    <row r="261" spans="1:28" ht="13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71"/>
      <c r="Y261" s="13"/>
      <c r="Z261" s="13"/>
      <c r="AA261" s="13"/>
      <c r="AB261" s="13"/>
    </row>
    <row r="262" spans="1:28" ht="13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71"/>
      <c r="Y262" s="13"/>
      <c r="Z262" s="13"/>
      <c r="AA262" s="13"/>
      <c r="AB262" s="13"/>
    </row>
    <row r="263" spans="1:28" ht="13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71"/>
      <c r="Y263" s="13"/>
      <c r="Z263" s="13"/>
      <c r="AA263" s="13"/>
      <c r="AB263" s="13"/>
    </row>
    <row r="264" spans="1:28" ht="13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71"/>
      <c r="Y264" s="13"/>
      <c r="Z264" s="13"/>
      <c r="AA264" s="13"/>
      <c r="AB264" s="13"/>
    </row>
    <row r="265" spans="1:28" ht="13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71"/>
      <c r="Y265" s="13"/>
      <c r="Z265" s="13"/>
      <c r="AA265" s="13"/>
      <c r="AB265" s="13"/>
    </row>
    <row r="266" spans="1:28" ht="13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71"/>
      <c r="Y266" s="13"/>
      <c r="Z266" s="13"/>
      <c r="AA266" s="13"/>
      <c r="AB266" s="13"/>
    </row>
    <row r="267" spans="1:28" ht="13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71"/>
      <c r="Y267" s="13"/>
      <c r="Z267" s="13"/>
      <c r="AA267" s="13"/>
      <c r="AB267" s="13"/>
    </row>
    <row r="268" spans="1:28" ht="13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71"/>
      <c r="Y268" s="13"/>
      <c r="Z268" s="13"/>
      <c r="AA268" s="13"/>
      <c r="AB268" s="13"/>
    </row>
    <row r="269" spans="1:28" ht="13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71"/>
      <c r="Y269" s="13"/>
      <c r="Z269" s="13"/>
      <c r="AA269" s="13"/>
      <c r="AB269" s="13"/>
    </row>
    <row r="270" spans="1:28" ht="13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71"/>
      <c r="Y270" s="13"/>
      <c r="Z270" s="13"/>
      <c r="AA270" s="13"/>
      <c r="AB270" s="13"/>
    </row>
    <row r="271" spans="1:28" ht="13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71"/>
      <c r="Y271" s="13"/>
      <c r="Z271" s="13"/>
      <c r="AA271" s="13"/>
      <c r="AB271" s="13"/>
    </row>
    <row r="272" spans="1:28" ht="13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71"/>
      <c r="Y272" s="13"/>
      <c r="Z272" s="13"/>
      <c r="AA272" s="13"/>
      <c r="AB272" s="13"/>
    </row>
    <row r="273" spans="1:28" ht="13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71"/>
      <c r="Y273" s="13"/>
      <c r="Z273" s="13"/>
      <c r="AA273" s="13"/>
      <c r="AB273" s="13"/>
    </row>
    <row r="274" spans="1:28" ht="13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71"/>
      <c r="Y274" s="13"/>
      <c r="Z274" s="13"/>
      <c r="AA274" s="13"/>
      <c r="AB274" s="13"/>
    </row>
    <row r="275" spans="1:28" ht="13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71"/>
      <c r="Y275" s="13"/>
      <c r="Z275" s="13"/>
      <c r="AA275" s="13"/>
      <c r="AB275" s="13"/>
    </row>
    <row r="276" spans="1:28" ht="13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71"/>
      <c r="Y276" s="13"/>
      <c r="Z276" s="13"/>
      <c r="AA276" s="13"/>
      <c r="AB276" s="13"/>
    </row>
    <row r="277" spans="1:28" ht="13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71"/>
      <c r="Y277" s="13"/>
      <c r="Z277" s="13"/>
      <c r="AA277" s="13"/>
      <c r="AB277" s="13"/>
    </row>
    <row r="278" spans="1:28" ht="13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71"/>
      <c r="Y278" s="13"/>
      <c r="Z278" s="13"/>
      <c r="AA278" s="13"/>
      <c r="AB278" s="13"/>
    </row>
    <row r="279" spans="1:28" ht="13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71"/>
      <c r="Y279" s="13"/>
      <c r="Z279" s="13"/>
      <c r="AA279" s="13"/>
      <c r="AB279" s="13"/>
    </row>
    <row r="280" spans="1:28" ht="13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71"/>
      <c r="Y280" s="13"/>
      <c r="Z280" s="13"/>
      <c r="AA280" s="13"/>
      <c r="AB280" s="13"/>
    </row>
    <row r="281" spans="1:28" ht="13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71"/>
      <c r="Y281" s="13"/>
      <c r="Z281" s="13"/>
      <c r="AA281" s="13"/>
      <c r="AB281" s="13"/>
    </row>
    <row r="282" spans="1:28" ht="13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71"/>
      <c r="Y282" s="13"/>
      <c r="Z282" s="13"/>
      <c r="AA282" s="13"/>
      <c r="AB282" s="13"/>
    </row>
    <row r="283" spans="1:28" ht="13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71"/>
      <c r="Y283" s="13"/>
      <c r="Z283" s="13"/>
      <c r="AA283" s="13"/>
      <c r="AB283" s="13"/>
    </row>
    <row r="284" spans="1:28" ht="13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71"/>
      <c r="Y284" s="13"/>
      <c r="Z284" s="13"/>
      <c r="AA284" s="13"/>
      <c r="AB284" s="13"/>
    </row>
    <row r="285" spans="1:28" ht="13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71"/>
      <c r="Y285" s="13"/>
      <c r="Z285" s="13"/>
      <c r="AA285" s="13"/>
      <c r="AB285" s="13"/>
    </row>
    <row r="286" spans="1:28" ht="13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71"/>
      <c r="Y286" s="13"/>
      <c r="Z286" s="13"/>
      <c r="AA286" s="13"/>
      <c r="AB286" s="13"/>
    </row>
    <row r="287" spans="1:28" ht="13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71"/>
      <c r="Y287" s="13"/>
      <c r="Z287" s="13"/>
      <c r="AA287" s="13"/>
      <c r="AB287" s="13"/>
    </row>
    <row r="288" spans="1:28" ht="13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71"/>
      <c r="Y288" s="13"/>
      <c r="Z288" s="13"/>
      <c r="AA288" s="13"/>
      <c r="AB288" s="13"/>
    </row>
    <row r="289" spans="1:28" ht="13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71"/>
      <c r="Y289" s="13"/>
      <c r="Z289" s="13"/>
      <c r="AA289" s="13"/>
      <c r="AB289" s="13"/>
    </row>
    <row r="290" spans="1:28" ht="13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71"/>
      <c r="Y290" s="13"/>
      <c r="Z290" s="13"/>
      <c r="AA290" s="13"/>
      <c r="AB290" s="13"/>
    </row>
    <row r="291" spans="1:28" ht="13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71"/>
      <c r="Y291" s="13"/>
      <c r="Z291" s="13"/>
      <c r="AA291" s="13"/>
      <c r="AB291" s="13"/>
    </row>
    <row r="292" spans="1:28" ht="13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71"/>
      <c r="Y292" s="13"/>
      <c r="Z292" s="13"/>
      <c r="AA292" s="13"/>
      <c r="AB292" s="13"/>
    </row>
    <row r="293" spans="1:28" ht="13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71"/>
      <c r="Y293" s="13"/>
      <c r="Z293" s="13"/>
      <c r="AA293" s="13"/>
      <c r="AB293" s="13"/>
    </row>
    <row r="294" spans="1:28" ht="13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71"/>
      <c r="Y294" s="13"/>
      <c r="Z294" s="13"/>
      <c r="AA294" s="13"/>
      <c r="AB294" s="13"/>
    </row>
    <row r="295" spans="1:28" ht="13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71"/>
      <c r="Y295" s="13"/>
      <c r="Z295" s="13"/>
      <c r="AA295" s="13"/>
      <c r="AB295" s="13"/>
    </row>
    <row r="296" spans="1:28" ht="13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71"/>
      <c r="Y296" s="13"/>
      <c r="Z296" s="13"/>
      <c r="AA296" s="13"/>
      <c r="AB296" s="13"/>
    </row>
    <row r="297" spans="1:28" ht="13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71"/>
      <c r="Y297" s="13"/>
      <c r="Z297" s="13"/>
      <c r="AA297" s="13"/>
      <c r="AB297" s="13"/>
    </row>
    <row r="298" spans="1:28" ht="13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71"/>
      <c r="Y298" s="13"/>
      <c r="Z298" s="13"/>
      <c r="AA298" s="13"/>
      <c r="AB298" s="13"/>
    </row>
    <row r="299" spans="1:28" ht="13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71"/>
      <c r="Y299" s="13"/>
      <c r="Z299" s="13"/>
      <c r="AA299" s="13"/>
      <c r="AB299" s="13"/>
    </row>
    <row r="300" spans="1:28" ht="13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71"/>
      <c r="Y300" s="13"/>
      <c r="Z300" s="13"/>
      <c r="AA300" s="13"/>
      <c r="AB300" s="13"/>
    </row>
    <row r="301" spans="1:28" ht="13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71"/>
      <c r="Y301" s="13"/>
      <c r="Z301" s="13"/>
      <c r="AA301" s="13"/>
      <c r="AB301" s="13"/>
    </row>
    <row r="302" spans="1:28" ht="13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71"/>
      <c r="Y302" s="13"/>
      <c r="Z302" s="13"/>
      <c r="AA302" s="13"/>
      <c r="AB302" s="13"/>
    </row>
    <row r="303" spans="1:28" ht="13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71"/>
      <c r="Y303" s="13"/>
      <c r="Z303" s="13"/>
      <c r="AA303" s="13"/>
      <c r="AB303" s="13"/>
    </row>
    <row r="304" spans="1:28" ht="13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71"/>
      <c r="Y304" s="13"/>
      <c r="Z304" s="13"/>
      <c r="AA304" s="13"/>
      <c r="AB304" s="13"/>
    </row>
    <row r="305" spans="1:28" ht="13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71"/>
      <c r="Y305" s="13"/>
      <c r="Z305" s="13"/>
      <c r="AA305" s="13"/>
      <c r="AB305" s="13"/>
    </row>
    <row r="306" spans="1:28" ht="13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71"/>
      <c r="Y306" s="13"/>
      <c r="Z306" s="13"/>
      <c r="AA306" s="13"/>
      <c r="AB306" s="13"/>
    </row>
    <row r="307" spans="1:28" ht="13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71"/>
      <c r="Y307" s="13"/>
      <c r="Z307" s="13"/>
      <c r="AA307" s="13"/>
      <c r="AB307" s="13"/>
    </row>
    <row r="308" spans="1:28" ht="13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71"/>
      <c r="Y308" s="13"/>
      <c r="Z308" s="13"/>
      <c r="AA308" s="13"/>
      <c r="AB308" s="13"/>
    </row>
    <row r="309" spans="1:28" ht="13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71"/>
      <c r="Y309" s="13"/>
      <c r="Z309" s="13"/>
      <c r="AA309" s="13"/>
      <c r="AB309" s="13"/>
    </row>
    <row r="310" spans="1:28" ht="13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71"/>
      <c r="Y310" s="13"/>
      <c r="Z310" s="13"/>
      <c r="AA310" s="13"/>
      <c r="AB310" s="13"/>
    </row>
    <row r="311" spans="1:28" ht="13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71"/>
      <c r="Y311" s="13"/>
      <c r="Z311" s="13"/>
      <c r="AA311" s="13"/>
      <c r="AB311" s="13"/>
    </row>
    <row r="312" spans="1:28" ht="13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71"/>
      <c r="Y312" s="13"/>
      <c r="Z312" s="13"/>
      <c r="AA312" s="13"/>
      <c r="AB312" s="13"/>
    </row>
    <row r="313" spans="1:28" ht="13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71"/>
      <c r="Y313" s="13"/>
      <c r="Z313" s="13"/>
      <c r="AA313" s="13"/>
      <c r="AB313" s="13"/>
    </row>
    <row r="314" spans="1:28" ht="13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71"/>
      <c r="Y314" s="13"/>
      <c r="Z314" s="13"/>
      <c r="AA314" s="13"/>
      <c r="AB314" s="13"/>
    </row>
    <row r="315" spans="1:28" ht="13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71"/>
      <c r="Y315" s="13"/>
      <c r="Z315" s="13"/>
      <c r="AA315" s="13"/>
      <c r="AB315" s="13"/>
    </row>
    <row r="316" spans="1:28" ht="13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71"/>
      <c r="Y316" s="13"/>
      <c r="Z316" s="13"/>
      <c r="AA316" s="13"/>
      <c r="AB316" s="13"/>
    </row>
    <row r="317" spans="1:28" ht="13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71"/>
      <c r="Y317" s="13"/>
      <c r="Z317" s="13"/>
      <c r="AA317" s="13"/>
      <c r="AB317" s="13"/>
    </row>
    <row r="318" spans="1:28" ht="13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71"/>
      <c r="Y318" s="13"/>
      <c r="Z318" s="13"/>
      <c r="AA318" s="13"/>
      <c r="AB318" s="13"/>
    </row>
    <row r="319" spans="1:28" ht="13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71"/>
      <c r="Y319" s="13"/>
      <c r="Z319" s="13"/>
      <c r="AA319" s="13"/>
      <c r="AB319" s="13"/>
    </row>
    <row r="320" spans="1:28" ht="13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71"/>
      <c r="Y320" s="13"/>
      <c r="Z320" s="13"/>
      <c r="AA320" s="13"/>
      <c r="AB320" s="13"/>
    </row>
    <row r="321" spans="1:28" ht="13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71"/>
      <c r="Y321" s="13"/>
      <c r="Z321" s="13"/>
      <c r="AA321" s="13"/>
      <c r="AB321" s="13"/>
    </row>
    <row r="322" spans="1:28" ht="13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71"/>
      <c r="Y322" s="13"/>
      <c r="Z322" s="13"/>
      <c r="AA322" s="13"/>
      <c r="AB322" s="13"/>
    </row>
    <row r="323" spans="1:28" ht="13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71"/>
      <c r="Y323" s="13"/>
      <c r="Z323" s="13"/>
      <c r="AA323" s="13"/>
      <c r="AB323" s="13"/>
    </row>
    <row r="324" spans="1:28" ht="13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71"/>
      <c r="Y324" s="13"/>
      <c r="Z324" s="13"/>
      <c r="AA324" s="13"/>
      <c r="AB324" s="13"/>
    </row>
    <row r="325" spans="1:28" ht="13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71"/>
      <c r="Y325" s="13"/>
      <c r="Z325" s="13"/>
      <c r="AA325" s="13"/>
      <c r="AB325" s="13"/>
    </row>
    <row r="326" spans="1:28" ht="13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71"/>
      <c r="Y326" s="13"/>
      <c r="Z326" s="13"/>
      <c r="AA326" s="13"/>
      <c r="AB326" s="13"/>
    </row>
    <row r="327" spans="1:28" ht="13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71"/>
      <c r="Y327" s="13"/>
      <c r="Z327" s="13"/>
      <c r="AA327" s="13"/>
      <c r="AB327" s="13"/>
    </row>
    <row r="328" spans="1:28" ht="13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71"/>
      <c r="Y328" s="13"/>
      <c r="Z328" s="13"/>
      <c r="AA328" s="13"/>
      <c r="AB328" s="13"/>
    </row>
    <row r="329" spans="1:28" ht="13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71"/>
      <c r="Y329" s="13"/>
      <c r="Z329" s="13"/>
      <c r="AA329" s="13"/>
      <c r="AB329" s="13"/>
    </row>
    <row r="330" spans="1:28" ht="13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71"/>
      <c r="Y330" s="13"/>
      <c r="Z330" s="13"/>
      <c r="AA330" s="13"/>
      <c r="AB330" s="13"/>
    </row>
    <row r="331" spans="1:28" ht="13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71"/>
      <c r="Y331" s="13"/>
      <c r="Z331" s="13"/>
      <c r="AA331" s="13"/>
      <c r="AB331" s="13"/>
    </row>
    <row r="332" spans="1:28" ht="13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71"/>
      <c r="Y332" s="13"/>
      <c r="Z332" s="13"/>
      <c r="AA332" s="13"/>
      <c r="AB332" s="13"/>
    </row>
    <row r="333" spans="1:28" ht="13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71"/>
      <c r="Y333" s="13"/>
      <c r="Z333" s="13"/>
      <c r="AA333" s="13"/>
      <c r="AB333" s="13"/>
    </row>
    <row r="334" spans="1:28" ht="13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71"/>
      <c r="Y334" s="13"/>
      <c r="Z334" s="13"/>
      <c r="AA334" s="13"/>
      <c r="AB334" s="13"/>
    </row>
    <row r="335" spans="1:28" ht="13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71"/>
      <c r="Y335" s="13"/>
      <c r="Z335" s="13"/>
      <c r="AA335" s="13"/>
      <c r="AB335" s="13"/>
    </row>
    <row r="336" spans="1:28" ht="13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71"/>
      <c r="Y336" s="13"/>
      <c r="Z336" s="13"/>
      <c r="AA336" s="13"/>
      <c r="AB336" s="13"/>
    </row>
    <row r="337" spans="1:28" ht="13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71"/>
      <c r="Y337" s="13"/>
      <c r="Z337" s="13"/>
      <c r="AA337" s="13"/>
      <c r="AB337" s="13"/>
    </row>
    <row r="338" spans="1:28" ht="13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71"/>
      <c r="Y338" s="13"/>
      <c r="Z338" s="13"/>
      <c r="AA338" s="13"/>
      <c r="AB338" s="13"/>
    </row>
    <row r="339" spans="1:28" ht="13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71"/>
      <c r="Y339" s="13"/>
      <c r="Z339" s="13"/>
      <c r="AA339" s="13"/>
      <c r="AB339" s="13"/>
    </row>
    <row r="340" spans="1:28" ht="13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71"/>
      <c r="Y340" s="13"/>
      <c r="Z340" s="13"/>
      <c r="AA340" s="13"/>
      <c r="AB340" s="13"/>
    </row>
    <row r="341" spans="1:28" ht="13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71"/>
      <c r="Y341" s="13"/>
      <c r="Z341" s="13"/>
      <c r="AA341" s="13"/>
      <c r="AB341" s="13"/>
    </row>
    <row r="342" spans="1:28" ht="13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71"/>
      <c r="Y342" s="13"/>
      <c r="Z342" s="13"/>
      <c r="AA342" s="13"/>
      <c r="AB342" s="13"/>
    </row>
    <row r="343" spans="1:28" ht="13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71"/>
      <c r="Y343" s="13"/>
      <c r="Z343" s="13"/>
      <c r="AA343" s="13"/>
      <c r="AB343" s="13"/>
    </row>
    <row r="344" spans="1:28" ht="13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71"/>
      <c r="Y344" s="13"/>
      <c r="Z344" s="13"/>
      <c r="AA344" s="13"/>
      <c r="AB344" s="13"/>
    </row>
    <row r="345" spans="1:28" ht="13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71"/>
      <c r="Y345" s="13"/>
      <c r="Z345" s="13"/>
      <c r="AA345" s="13"/>
      <c r="AB345" s="13"/>
    </row>
    <row r="346" spans="1:28" ht="13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71"/>
      <c r="Y346" s="13"/>
      <c r="Z346" s="13"/>
      <c r="AA346" s="13"/>
      <c r="AB346" s="13"/>
    </row>
    <row r="347" spans="1:28" ht="13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71"/>
      <c r="Y347" s="13"/>
      <c r="Z347" s="13"/>
      <c r="AA347" s="13"/>
      <c r="AB347" s="13"/>
    </row>
    <row r="348" spans="1:28" ht="13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71"/>
      <c r="Y348" s="13"/>
      <c r="Z348" s="13"/>
      <c r="AA348" s="13"/>
      <c r="AB348" s="13"/>
    </row>
    <row r="349" spans="1:28" ht="13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71"/>
      <c r="Y349" s="13"/>
      <c r="Z349" s="13"/>
      <c r="AA349" s="13"/>
      <c r="AB349" s="13"/>
    </row>
    <row r="350" spans="1:28" ht="13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71"/>
      <c r="Y350" s="13"/>
      <c r="Z350" s="13"/>
      <c r="AA350" s="13"/>
      <c r="AB350" s="13"/>
    </row>
    <row r="351" spans="1:28" ht="13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71"/>
      <c r="Y351" s="13"/>
      <c r="Z351" s="13"/>
      <c r="AA351" s="13"/>
      <c r="AB351" s="13"/>
    </row>
    <row r="352" spans="1:28" ht="13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71"/>
      <c r="Y352" s="13"/>
      <c r="Z352" s="13"/>
      <c r="AA352" s="13"/>
      <c r="AB352" s="13"/>
    </row>
    <row r="353" spans="1:28" ht="13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71"/>
      <c r="Y353" s="13"/>
      <c r="Z353" s="13"/>
      <c r="AA353" s="13"/>
      <c r="AB353" s="13"/>
    </row>
    <row r="354" spans="1:28" ht="13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71"/>
      <c r="Y354" s="13"/>
      <c r="Z354" s="13"/>
      <c r="AA354" s="13"/>
      <c r="AB354" s="13"/>
    </row>
    <row r="355" spans="1:28" ht="13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71"/>
      <c r="Y355" s="13"/>
      <c r="Z355" s="13"/>
      <c r="AA355" s="13"/>
      <c r="AB355" s="13"/>
    </row>
    <row r="356" spans="1:28" ht="13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71"/>
      <c r="Y356" s="13"/>
      <c r="Z356" s="13"/>
      <c r="AA356" s="13"/>
      <c r="AB356" s="13"/>
    </row>
    <row r="357" spans="1:28" ht="13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71"/>
      <c r="Y357" s="13"/>
      <c r="Z357" s="13"/>
      <c r="AA357" s="13"/>
      <c r="AB357" s="13"/>
    </row>
    <row r="358" spans="1:28" ht="13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71"/>
      <c r="Y358" s="13"/>
      <c r="Z358" s="13"/>
      <c r="AA358" s="13"/>
      <c r="AB358" s="13"/>
    </row>
    <row r="359" spans="1:28" ht="13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71"/>
      <c r="Y359" s="13"/>
      <c r="Z359" s="13"/>
      <c r="AA359" s="13"/>
      <c r="AB359" s="13"/>
    </row>
    <row r="360" spans="1:28" ht="13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71"/>
      <c r="Y360" s="13"/>
      <c r="Z360" s="13"/>
      <c r="AA360" s="13"/>
      <c r="AB360" s="13"/>
    </row>
    <row r="361" spans="1:28" ht="13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71"/>
      <c r="Y361" s="13"/>
      <c r="Z361" s="13"/>
      <c r="AA361" s="13"/>
      <c r="AB361" s="13"/>
    </row>
    <row r="362" spans="1:28" ht="13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71"/>
      <c r="Y362" s="13"/>
      <c r="Z362" s="13"/>
      <c r="AA362" s="13"/>
      <c r="AB362" s="13"/>
    </row>
    <row r="363" spans="1:28" ht="13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71"/>
      <c r="Y363" s="13"/>
      <c r="Z363" s="13"/>
      <c r="AA363" s="13"/>
      <c r="AB363" s="13"/>
    </row>
    <row r="364" spans="1:28" ht="13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71"/>
      <c r="Y364" s="13"/>
      <c r="Z364" s="13"/>
      <c r="AA364" s="13"/>
      <c r="AB364" s="13"/>
    </row>
    <row r="365" spans="1:28" ht="13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71"/>
      <c r="Y365" s="13"/>
      <c r="Z365" s="13"/>
      <c r="AA365" s="13"/>
      <c r="AB365" s="13"/>
    </row>
    <row r="366" spans="1:28" ht="13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71"/>
      <c r="Y366" s="13"/>
      <c r="Z366" s="13"/>
      <c r="AA366" s="13"/>
      <c r="AB366" s="13"/>
    </row>
    <row r="367" spans="1:28" ht="13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71"/>
      <c r="Y367" s="13"/>
      <c r="Z367" s="13"/>
      <c r="AA367" s="13"/>
      <c r="AB367" s="13"/>
    </row>
    <row r="368" spans="1:28" ht="13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71"/>
      <c r="Y368" s="13"/>
      <c r="Z368" s="13"/>
      <c r="AA368" s="13"/>
      <c r="AB368" s="13"/>
    </row>
    <row r="369" spans="1:28" ht="13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71"/>
      <c r="Y369" s="13"/>
      <c r="Z369" s="13"/>
      <c r="AA369" s="13"/>
      <c r="AB369" s="13"/>
    </row>
    <row r="370" spans="1:28" ht="13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71"/>
      <c r="Y370" s="13"/>
      <c r="Z370" s="13"/>
      <c r="AA370" s="13"/>
      <c r="AB370" s="13"/>
    </row>
    <row r="371" spans="1:28" ht="13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71"/>
      <c r="Y371" s="13"/>
      <c r="Z371" s="13"/>
      <c r="AA371" s="13"/>
      <c r="AB371" s="13"/>
    </row>
    <row r="372" spans="1:28" ht="13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71"/>
      <c r="Y372" s="13"/>
      <c r="Z372" s="13"/>
      <c r="AA372" s="13"/>
      <c r="AB372" s="13"/>
    </row>
    <row r="373" spans="1:28" ht="13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71"/>
      <c r="Y373" s="13"/>
      <c r="Z373" s="13"/>
      <c r="AA373" s="13"/>
      <c r="AB373" s="13"/>
    </row>
    <row r="374" spans="1:28" ht="13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71"/>
      <c r="Y374" s="13"/>
      <c r="Z374" s="13"/>
      <c r="AA374" s="13"/>
      <c r="AB374" s="13"/>
    </row>
    <row r="375" spans="1:28" ht="13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71"/>
      <c r="Y375" s="13"/>
      <c r="Z375" s="13"/>
      <c r="AA375" s="13"/>
      <c r="AB375" s="13"/>
    </row>
    <row r="376" spans="1:28" ht="13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71"/>
      <c r="Y376" s="13"/>
      <c r="Z376" s="13"/>
      <c r="AA376" s="13"/>
      <c r="AB376" s="13"/>
    </row>
    <row r="377" spans="1:28" ht="13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71"/>
      <c r="Y377" s="13"/>
      <c r="Z377" s="13"/>
      <c r="AA377" s="13"/>
      <c r="AB377" s="13"/>
    </row>
    <row r="378" spans="1:28" ht="13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71"/>
      <c r="Y378" s="13"/>
      <c r="Z378" s="13"/>
      <c r="AA378" s="13"/>
      <c r="AB378" s="13"/>
    </row>
    <row r="379" spans="1:28" ht="13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71"/>
      <c r="Y379" s="13"/>
      <c r="Z379" s="13"/>
      <c r="AA379" s="13"/>
      <c r="AB379" s="13"/>
    </row>
    <row r="380" spans="1:28" ht="13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71"/>
      <c r="Y380" s="13"/>
      <c r="Z380" s="13"/>
      <c r="AA380" s="13"/>
      <c r="AB380" s="13"/>
    </row>
    <row r="381" spans="1:28" ht="13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71"/>
      <c r="Y381" s="13"/>
      <c r="Z381" s="13"/>
      <c r="AA381" s="13"/>
      <c r="AB381" s="13"/>
    </row>
    <row r="382" spans="1:28" ht="13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71"/>
      <c r="Y382" s="13"/>
      <c r="Z382" s="13"/>
      <c r="AA382" s="13"/>
      <c r="AB382" s="13"/>
    </row>
    <row r="383" spans="1:28" ht="13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71"/>
      <c r="Y383" s="13"/>
      <c r="Z383" s="13"/>
      <c r="AA383" s="13"/>
      <c r="AB383" s="13"/>
    </row>
    <row r="384" spans="1:28" ht="13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71"/>
      <c r="Y384" s="13"/>
      <c r="Z384" s="13"/>
      <c r="AA384" s="13"/>
      <c r="AB384" s="13"/>
    </row>
    <row r="385" spans="1:28" ht="13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71"/>
      <c r="Y385" s="13"/>
      <c r="Z385" s="13"/>
      <c r="AA385" s="13"/>
      <c r="AB385" s="13"/>
    </row>
    <row r="386" spans="1:28" ht="13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71"/>
      <c r="Y386" s="13"/>
      <c r="Z386" s="13"/>
      <c r="AA386" s="13"/>
      <c r="AB386" s="13"/>
    </row>
    <row r="387" spans="1:28" ht="13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71"/>
      <c r="Y387" s="13"/>
      <c r="Z387" s="13"/>
      <c r="AA387" s="13"/>
      <c r="AB387" s="13"/>
    </row>
    <row r="388" spans="1:28" ht="13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71"/>
      <c r="Y388" s="13"/>
      <c r="Z388" s="13"/>
      <c r="AA388" s="13"/>
      <c r="AB388" s="13"/>
    </row>
    <row r="389" spans="1:28" ht="13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71"/>
      <c r="Y389" s="13"/>
      <c r="Z389" s="13"/>
      <c r="AA389" s="13"/>
      <c r="AB389" s="13"/>
    </row>
    <row r="390" spans="1:28" ht="13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71"/>
      <c r="Y390" s="13"/>
      <c r="Z390" s="13"/>
      <c r="AA390" s="13"/>
      <c r="AB390" s="13"/>
    </row>
    <row r="391" spans="1:28" ht="13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71"/>
      <c r="Y391" s="13"/>
      <c r="Z391" s="13"/>
      <c r="AA391" s="13"/>
      <c r="AB391" s="13"/>
    </row>
    <row r="392" spans="1:28" ht="13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71"/>
      <c r="Y392" s="13"/>
      <c r="Z392" s="13"/>
      <c r="AA392" s="13"/>
      <c r="AB392" s="13"/>
    </row>
    <row r="393" spans="1:28" ht="13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71"/>
      <c r="Y393" s="13"/>
      <c r="Z393" s="13"/>
      <c r="AA393" s="13"/>
      <c r="AB393" s="13"/>
    </row>
    <row r="394" spans="1:28" ht="13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71"/>
      <c r="Y394" s="13"/>
      <c r="Z394" s="13"/>
      <c r="AA394" s="13"/>
      <c r="AB394" s="13"/>
    </row>
    <row r="395" spans="1:28" ht="13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71"/>
      <c r="Y395" s="13"/>
      <c r="Z395" s="13"/>
      <c r="AA395" s="13"/>
      <c r="AB395" s="13"/>
    </row>
    <row r="396" spans="1:28" ht="13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71"/>
      <c r="Y396" s="13"/>
      <c r="Z396" s="13"/>
      <c r="AA396" s="13"/>
      <c r="AB396" s="13"/>
    </row>
    <row r="397" spans="1:28" ht="13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71"/>
      <c r="Y397" s="13"/>
      <c r="Z397" s="13"/>
      <c r="AA397" s="13"/>
      <c r="AB397" s="13"/>
    </row>
    <row r="398" spans="1:28" ht="13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71"/>
      <c r="Y398" s="13"/>
      <c r="Z398" s="13"/>
      <c r="AA398" s="13"/>
      <c r="AB398" s="13"/>
    </row>
    <row r="399" spans="1:28" ht="13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71"/>
      <c r="Y399" s="13"/>
      <c r="Z399" s="13"/>
      <c r="AA399" s="13"/>
      <c r="AB399" s="13"/>
    </row>
    <row r="400" spans="1:28" ht="13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71"/>
      <c r="Y400" s="13"/>
      <c r="Z400" s="13"/>
      <c r="AA400" s="13"/>
      <c r="AB400" s="13"/>
    </row>
    <row r="401" spans="1:28" ht="13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71"/>
      <c r="Y401" s="13"/>
      <c r="Z401" s="13"/>
      <c r="AA401" s="13"/>
      <c r="AB401" s="13"/>
    </row>
    <row r="402" spans="1:28" ht="13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71"/>
      <c r="Y402" s="13"/>
      <c r="Z402" s="13"/>
      <c r="AA402" s="13"/>
      <c r="AB402" s="13"/>
    </row>
    <row r="403" spans="1:28" ht="13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71"/>
      <c r="Y403" s="13"/>
      <c r="Z403" s="13"/>
      <c r="AA403" s="13"/>
      <c r="AB403" s="13"/>
    </row>
    <row r="404" spans="1:28" ht="13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71"/>
      <c r="Y404" s="13"/>
      <c r="Z404" s="13"/>
      <c r="AA404" s="13"/>
      <c r="AB404" s="13"/>
    </row>
    <row r="405" spans="1:28" ht="13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71"/>
      <c r="Y405" s="13"/>
      <c r="Z405" s="13"/>
      <c r="AA405" s="13"/>
      <c r="AB405" s="13"/>
    </row>
    <row r="406" spans="1:28" ht="13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71"/>
      <c r="Y406" s="13"/>
      <c r="Z406" s="13"/>
      <c r="AA406" s="13"/>
      <c r="AB406" s="13"/>
    </row>
    <row r="407" spans="1:28" ht="13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71"/>
      <c r="Y407" s="13"/>
      <c r="Z407" s="13"/>
      <c r="AA407" s="13"/>
      <c r="AB407" s="13"/>
    </row>
    <row r="408" spans="1:28" ht="13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71"/>
      <c r="Y408" s="13"/>
      <c r="Z408" s="13"/>
      <c r="AA408" s="13"/>
      <c r="AB408" s="13"/>
    </row>
    <row r="409" spans="1:28" ht="13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71"/>
      <c r="Y409" s="13"/>
      <c r="Z409" s="13"/>
      <c r="AA409" s="13"/>
      <c r="AB409" s="13"/>
    </row>
    <row r="410" spans="1:28" ht="13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71"/>
      <c r="Y410" s="13"/>
      <c r="Z410" s="13"/>
      <c r="AA410" s="13"/>
      <c r="AB410" s="13"/>
    </row>
    <row r="411" spans="1:28" ht="13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71"/>
      <c r="Y411" s="13"/>
      <c r="Z411" s="13"/>
      <c r="AA411" s="13"/>
      <c r="AB411" s="13"/>
    </row>
    <row r="412" spans="1:28" ht="13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71"/>
      <c r="Y412" s="13"/>
      <c r="Z412" s="13"/>
      <c r="AA412" s="13"/>
      <c r="AB412" s="13"/>
    </row>
    <row r="413" spans="1:28" ht="13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71"/>
      <c r="Y413" s="13"/>
      <c r="Z413" s="13"/>
      <c r="AA413" s="13"/>
      <c r="AB413" s="13"/>
    </row>
    <row r="414" spans="1:28" ht="13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71"/>
      <c r="Y414" s="13"/>
      <c r="Z414" s="13"/>
      <c r="AA414" s="13"/>
      <c r="AB414" s="13"/>
    </row>
    <row r="415" spans="1:28" ht="13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71"/>
      <c r="Y415" s="13"/>
      <c r="Z415" s="13"/>
      <c r="AA415" s="13"/>
      <c r="AB415" s="13"/>
    </row>
    <row r="416" spans="1:28" ht="13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71"/>
      <c r="Y416" s="13"/>
      <c r="Z416" s="13"/>
      <c r="AA416" s="13"/>
      <c r="AB416" s="13"/>
    </row>
    <row r="417" spans="1:28" ht="13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71"/>
      <c r="Y417" s="13"/>
      <c r="Z417" s="13"/>
      <c r="AA417" s="13"/>
      <c r="AB417" s="13"/>
    </row>
    <row r="418" spans="1:28" ht="13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71"/>
      <c r="Y418" s="13"/>
      <c r="Z418" s="13"/>
      <c r="AA418" s="13"/>
      <c r="AB418" s="13"/>
    </row>
    <row r="419" spans="1:28" ht="13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71"/>
      <c r="Y419" s="13"/>
      <c r="Z419" s="13"/>
      <c r="AA419" s="13"/>
      <c r="AB419" s="13"/>
    </row>
    <row r="420" spans="1:28" ht="13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71"/>
      <c r="Y420" s="13"/>
      <c r="Z420" s="13"/>
      <c r="AA420" s="13"/>
      <c r="AB420" s="13"/>
    </row>
    <row r="421" spans="1:28" ht="13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71"/>
      <c r="Y421" s="13"/>
      <c r="Z421" s="13"/>
      <c r="AA421" s="13"/>
      <c r="AB421" s="13"/>
    </row>
    <row r="422" spans="1:28" ht="13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71"/>
      <c r="Y422" s="13"/>
      <c r="Z422" s="13"/>
      <c r="AA422" s="13"/>
      <c r="AB422" s="13"/>
    </row>
    <row r="423" spans="1:28" ht="13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71"/>
      <c r="Y423" s="13"/>
      <c r="Z423" s="13"/>
      <c r="AA423" s="13"/>
      <c r="AB423" s="13"/>
    </row>
    <row r="424" spans="1:28" ht="13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71"/>
      <c r="Y424" s="13"/>
      <c r="Z424" s="13"/>
      <c r="AA424" s="13"/>
      <c r="AB424" s="13"/>
    </row>
    <row r="425" spans="1:28" ht="13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71"/>
      <c r="Y425" s="13"/>
      <c r="Z425" s="13"/>
      <c r="AA425" s="13"/>
      <c r="AB425" s="13"/>
    </row>
    <row r="426" spans="1:28" ht="13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71"/>
      <c r="Y426" s="13"/>
      <c r="Z426" s="13"/>
      <c r="AA426" s="13"/>
      <c r="AB426" s="13"/>
    </row>
    <row r="427" spans="1:28" ht="13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71"/>
      <c r="Y427" s="13"/>
      <c r="Z427" s="13"/>
      <c r="AA427" s="13"/>
      <c r="AB427" s="13"/>
    </row>
    <row r="428" spans="1:28" ht="13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71"/>
      <c r="Y428" s="13"/>
      <c r="Z428" s="13"/>
      <c r="AA428" s="13"/>
      <c r="AB428" s="13"/>
    </row>
    <row r="429" spans="1:28" ht="13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71"/>
      <c r="Y429" s="13"/>
      <c r="Z429" s="13"/>
      <c r="AA429" s="13"/>
      <c r="AB429" s="13"/>
    </row>
    <row r="430" spans="1:28" ht="13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71"/>
      <c r="Y430" s="13"/>
      <c r="Z430" s="13"/>
      <c r="AA430" s="13"/>
      <c r="AB430" s="13"/>
    </row>
    <row r="431" spans="1:28" ht="13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71"/>
      <c r="Y431" s="13"/>
      <c r="Z431" s="13"/>
      <c r="AA431" s="13"/>
      <c r="AB431" s="13"/>
    </row>
    <row r="432" spans="1:28" ht="13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71"/>
      <c r="Y432" s="13"/>
      <c r="Z432" s="13"/>
      <c r="AA432" s="13"/>
      <c r="AB432" s="13"/>
    </row>
    <row r="433" spans="1:28" ht="13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71"/>
      <c r="Y433" s="13"/>
      <c r="Z433" s="13"/>
      <c r="AA433" s="13"/>
      <c r="AB433" s="13"/>
    </row>
    <row r="434" spans="1:28" ht="13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71"/>
      <c r="Y434" s="13"/>
      <c r="Z434" s="13"/>
      <c r="AA434" s="13"/>
      <c r="AB434" s="13"/>
    </row>
    <row r="435" spans="1:28" ht="13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71"/>
      <c r="Y435" s="13"/>
      <c r="Z435" s="13"/>
      <c r="AA435" s="13"/>
      <c r="AB435" s="13"/>
    </row>
    <row r="436" spans="1:28" ht="13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71"/>
      <c r="Y436" s="13"/>
      <c r="Z436" s="13"/>
      <c r="AA436" s="13"/>
      <c r="AB436" s="13"/>
    </row>
    <row r="437" spans="1:28" ht="13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71"/>
      <c r="Y437" s="13"/>
      <c r="Z437" s="13"/>
      <c r="AA437" s="13"/>
      <c r="AB437" s="13"/>
    </row>
    <row r="438" spans="1:28" ht="13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71"/>
      <c r="Y438" s="13"/>
      <c r="Z438" s="13"/>
      <c r="AA438" s="13"/>
      <c r="AB438" s="13"/>
    </row>
    <row r="439" spans="1:28" ht="13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71"/>
      <c r="Y439" s="13"/>
      <c r="Z439" s="13"/>
      <c r="AA439" s="13"/>
      <c r="AB439" s="13"/>
    </row>
    <row r="440" spans="1:28" ht="13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71"/>
      <c r="Y440" s="13"/>
      <c r="Z440" s="13"/>
      <c r="AA440" s="13"/>
      <c r="AB440" s="13"/>
    </row>
    <row r="441" spans="1:28" ht="13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71"/>
      <c r="Y441" s="13"/>
      <c r="Z441" s="13"/>
      <c r="AA441" s="13"/>
      <c r="AB441" s="13"/>
    </row>
    <row r="442" spans="1:28" ht="13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71"/>
      <c r="Y442" s="13"/>
      <c r="Z442" s="13"/>
      <c r="AA442" s="13"/>
      <c r="AB442" s="13"/>
    </row>
    <row r="443" spans="1:28" ht="13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71"/>
      <c r="Y443" s="13"/>
      <c r="Z443" s="13"/>
      <c r="AA443" s="13"/>
      <c r="AB443" s="13"/>
    </row>
    <row r="444" spans="1:28" ht="13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71"/>
      <c r="Y444" s="13"/>
      <c r="Z444" s="13"/>
      <c r="AA444" s="13"/>
      <c r="AB444" s="13"/>
    </row>
    <row r="445" spans="1:28" ht="13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71"/>
      <c r="Y445" s="13"/>
      <c r="Z445" s="13"/>
      <c r="AA445" s="13"/>
      <c r="AB445" s="13"/>
    </row>
    <row r="446" spans="1:28" ht="13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71"/>
      <c r="Y446" s="13"/>
      <c r="Z446" s="13"/>
      <c r="AA446" s="13"/>
      <c r="AB446" s="13"/>
    </row>
    <row r="447" spans="1:28" ht="13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71"/>
      <c r="Y447" s="13"/>
      <c r="Z447" s="13"/>
      <c r="AA447" s="13"/>
      <c r="AB447" s="13"/>
    </row>
    <row r="448" spans="1:28" ht="13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71"/>
      <c r="Y448" s="13"/>
      <c r="Z448" s="13"/>
      <c r="AA448" s="13"/>
      <c r="AB448" s="13"/>
    </row>
    <row r="449" spans="1:28" ht="13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71"/>
      <c r="Y449" s="13"/>
      <c r="Z449" s="13"/>
      <c r="AA449" s="13"/>
      <c r="AB449" s="13"/>
    </row>
    <row r="450" spans="1:28" ht="13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71"/>
      <c r="Y450" s="13"/>
      <c r="Z450" s="13"/>
      <c r="AA450" s="13"/>
      <c r="AB450" s="13"/>
    </row>
    <row r="451" spans="1:28" ht="13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71"/>
      <c r="Y451" s="13"/>
      <c r="Z451" s="13"/>
      <c r="AA451" s="13"/>
      <c r="AB451" s="13"/>
    </row>
    <row r="452" spans="1:28" ht="13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71"/>
      <c r="Y452" s="13"/>
      <c r="Z452" s="13"/>
      <c r="AA452" s="13"/>
      <c r="AB452" s="13"/>
    </row>
    <row r="453" spans="1:28" ht="13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71"/>
      <c r="Y453" s="13"/>
      <c r="Z453" s="13"/>
      <c r="AA453" s="13"/>
      <c r="AB453" s="13"/>
    </row>
    <row r="454" spans="1:28" ht="13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71"/>
      <c r="Y454" s="13"/>
      <c r="Z454" s="13"/>
      <c r="AA454" s="13"/>
      <c r="AB454" s="13"/>
    </row>
    <row r="455" spans="1:28" ht="13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71"/>
      <c r="Y455" s="13"/>
      <c r="Z455" s="13"/>
      <c r="AA455" s="13"/>
      <c r="AB455" s="13"/>
    </row>
    <row r="456" spans="1:28" ht="13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71"/>
      <c r="Y456" s="13"/>
      <c r="Z456" s="13"/>
      <c r="AA456" s="13"/>
      <c r="AB456" s="13"/>
    </row>
    <row r="457" spans="1:28" ht="13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71"/>
      <c r="Y457" s="13"/>
      <c r="Z457" s="13"/>
      <c r="AA457" s="13"/>
      <c r="AB457" s="13"/>
    </row>
    <row r="458" spans="1:28" ht="13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71"/>
      <c r="Y458" s="13"/>
      <c r="Z458" s="13"/>
      <c r="AA458" s="13"/>
      <c r="AB458" s="13"/>
    </row>
    <row r="459" spans="1:28" ht="13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71"/>
      <c r="Y459" s="13"/>
      <c r="Z459" s="13"/>
      <c r="AA459" s="13"/>
      <c r="AB459" s="13"/>
    </row>
    <row r="460" spans="1:28" ht="13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71"/>
      <c r="Y460" s="13"/>
      <c r="Z460" s="13"/>
      <c r="AA460" s="13"/>
      <c r="AB460" s="13"/>
    </row>
    <row r="461" spans="1:28" ht="13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71"/>
      <c r="Y461" s="13"/>
      <c r="Z461" s="13"/>
      <c r="AA461" s="13"/>
      <c r="AB461" s="13"/>
    </row>
    <row r="462" spans="1:28" ht="13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71"/>
      <c r="Y462" s="13"/>
      <c r="Z462" s="13"/>
      <c r="AA462" s="13"/>
      <c r="AB462" s="13"/>
    </row>
    <row r="463" spans="1:28" ht="13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71"/>
      <c r="Y463" s="13"/>
      <c r="Z463" s="13"/>
      <c r="AA463" s="13"/>
      <c r="AB463" s="13"/>
    </row>
    <row r="464" spans="1:28" ht="13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71"/>
      <c r="Y464" s="13"/>
      <c r="Z464" s="13"/>
      <c r="AA464" s="13"/>
      <c r="AB464" s="13"/>
    </row>
    <row r="465" spans="1:28" ht="13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71"/>
      <c r="Y465" s="13"/>
      <c r="Z465" s="13"/>
      <c r="AA465" s="13"/>
      <c r="AB465" s="13"/>
    </row>
    <row r="466" spans="1:28" ht="13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71"/>
      <c r="Y466" s="13"/>
      <c r="Z466" s="13"/>
      <c r="AA466" s="13"/>
      <c r="AB466" s="13"/>
    </row>
    <row r="467" spans="1:28" ht="13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71"/>
      <c r="Y467" s="13"/>
      <c r="Z467" s="13"/>
      <c r="AA467" s="13"/>
      <c r="AB467" s="13"/>
    </row>
    <row r="468" spans="1:28" ht="13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71"/>
      <c r="Y468" s="13"/>
      <c r="Z468" s="13"/>
      <c r="AA468" s="13"/>
      <c r="AB468" s="13"/>
    </row>
    <row r="469" spans="1:28" ht="13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71"/>
      <c r="Y469" s="13"/>
      <c r="Z469" s="13"/>
      <c r="AA469" s="13"/>
      <c r="AB469" s="13"/>
    </row>
    <row r="470" spans="1:28" ht="13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71"/>
      <c r="Y470" s="13"/>
      <c r="Z470" s="13"/>
      <c r="AA470" s="13"/>
      <c r="AB470" s="13"/>
    </row>
    <row r="471" spans="1:28" ht="13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71"/>
      <c r="Y471" s="13"/>
      <c r="Z471" s="13"/>
      <c r="AA471" s="13"/>
      <c r="AB471" s="13"/>
    </row>
    <row r="472" spans="1:28" ht="13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71"/>
      <c r="Y472" s="13"/>
      <c r="Z472" s="13"/>
      <c r="AA472" s="13"/>
      <c r="AB472" s="13"/>
    </row>
    <row r="473" spans="1:28" ht="13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71"/>
      <c r="Y473" s="13"/>
      <c r="Z473" s="13"/>
      <c r="AA473" s="13"/>
      <c r="AB473" s="13"/>
    </row>
    <row r="474" spans="1:28" ht="13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71"/>
      <c r="Y474" s="13"/>
      <c r="Z474" s="13"/>
      <c r="AA474" s="13"/>
      <c r="AB474" s="13"/>
    </row>
    <row r="475" spans="1:28" ht="13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71"/>
      <c r="Y475" s="13"/>
      <c r="Z475" s="13"/>
      <c r="AA475" s="13"/>
      <c r="AB475" s="13"/>
    </row>
    <row r="476" spans="1:28" ht="13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71"/>
      <c r="Y476" s="13"/>
      <c r="Z476" s="13"/>
      <c r="AA476" s="13"/>
      <c r="AB476" s="13"/>
    </row>
    <row r="477" spans="1:28" ht="13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71"/>
      <c r="Y477" s="13"/>
      <c r="Z477" s="13"/>
      <c r="AA477" s="13"/>
      <c r="AB477" s="13"/>
    </row>
    <row r="478" spans="1:28" ht="13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71"/>
      <c r="Y478" s="13"/>
      <c r="Z478" s="13"/>
      <c r="AA478" s="13"/>
      <c r="AB478" s="13"/>
    </row>
    <row r="479" spans="1:28" ht="13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71"/>
      <c r="Y479" s="13"/>
      <c r="Z479" s="13"/>
      <c r="AA479" s="13"/>
      <c r="AB479" s="13"/>
    </row>
    <row r="480" spans="1:28" ht="13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71"/>
      <c r="Y480" s="13"/>
      <c r="Z480" s="13"/>
      <c r="AA480" s="13"/>
      <c r="AB480" s="13"/>
    </row>
    <row r="481" spans="1:28" ht="13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71"/>
      <c r="Y481" s="13"/>
      <c r="Z481" s="13"/>
      <c r="AA481" s="13"/>
      <c r="AB481" s="13"/>
    </row>
    <row r="482" spans="1:28" ht="13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71"/>
      <c r="Y482" s="13"/>
      <c r="Z482" s="13"/>
      <c r="AA482" s="13"/>
      <c r="AB482" s="13"/>
    </row>
    <row r="483" spans="1:28" ht="13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71"/>
      <c r="Y483" s="13"/>
      <c r="Z483" s="13"/>
      <c r="AA483" s="13"/>
      <c r="AB483" s="13"/>
    </row>
    <row r="484" spans="1:28" ht="13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71"/>
      <c r="Y484" s="13"/>
      <c r="Z484" s="13"/>
      <c r="AA484" s="13"/>
      <c r="AB484" s="13"/>
    </row>
    <row r="485" spans="1:28" ht="13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71"/>
      <c r="Y485" s="13"/>
      <c r="Z485" s="13"/>
      <c r="AA485" s="13"/>
      <c r="AB485" s="13"/>
    </row>
    <row r="486" spans="1:28" ht="13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71"/>
      <c r="Y486" s="13"/>
      <c r="Z486" s="13"/>
      <c r="AA486" s="13"/>
      <c r="AB486" s="13"/>
    </row>
    <row r="487" spans="1:28" ht="13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71"/>
      <c r="Y487" s="13"/>
      <c r="Z487" s="13"/>
      <c r="AA487" s="13"/>
      <c r="AB487" s="13"/>
    </row>
    <row r="488" spans="1:28" ht="13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71"/>
      <c r="Y488" s="13"/>
      <c r="Z488" s="13"/>
      <c r="AA488" s="13"/>
      <c r="AB488" s="13"/>
    </row>
    <row r="489" spans="1:28" ht="13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71"/>
      <c r="Y489" s="13"/>
      <c r="Z489" s="13"/>
      <c r="AA489" s="13"/>
      <c r="AB489" s="13"/>
    </row>
    <row r="490" spans="1:28" ht="13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71"/>
      <c r="Y490" s="13"/>
      <c r="Z490" s="13"/>
      <c r="AA490" s="13"/>
      <c r="AB490" s="13"/>
    </row>
    <row r="491" spans="1:28" ht="13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71"/>
      <c r="Y491" s="13"/>
      <c r="Z491" s="13"/>
      <c r="AA491" s="13"/>
      <c r="AB491" s="13"/>
    </row>
    <row r="492" spans="1:28" ht="13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71"/>
      <c r="Y492" s="13"/>
      <c r="Z492" s="13"/>
      <c r="AA492" s="13"/>
      <c r="AB492" s="13"/>
    </row>
    <row r="493" spans="1:28" ht="13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71"/>
      <c r="Y493" s="13"/>
      <c r="Z493" s="13"/>
      <c r="AA493" s="13"/>
      <c r="AB493" s="13"/>
    </row>
    <row r="494" spans="1:28" ht="13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71"/>
      <c r="Y494" s="13"/>
      <c r="Z494" s="13"/>
      <c r="AA494" s="13"/>
      <c r="AB494" s="13"/>
    </row>
    <row r="495" spans="1:28" ht="13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71"/>
      <c r="Y495" s="13"/>
      <c r="Z495" s="13"/>
      <c r="AA495" s="13"/>
      <c r="AB495" s="13"/>
    </row>
    <row r="496" spans="1:28" ht="13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71"/>
      <c r="Y496" s="13"/>
      <c r="Z496" s="13"/>
      <c r="AA496" s="13"/>
      <c r="AB496" s="13"/>
    </row>
    <row r="497" spans="1:28" ht="13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71"/>
      <c r="Y497" s="13"/>
      <c r="Z497" s="13"/>
      <c r="AA497" s="13"/>
      <c r="AB497" s="13"/>
    </row>
    <row r="498" spans="1:28" ht="13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71"/>
      <c r="Y498" s="13"/>
      <c r="Z498" s="13"/>
      <c r="AA498" s="13"/>
      <c r="AB498" s="13"/>
    </row>
    <row r="499" spans="1:28" ht="13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71"/>
      <c r="Y499" s="13"/>
      <c r="Z499" s="13"/>
      <c r="AA499" s="13"/>
      <c r="AB499" s="13"/>
    </row>
    <row r="500" spans="1:28" ht="13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71"/>
      <c r="Y500" s="13"/>
      <c r="Z500" s="13"/>
      <c r="AA500" s="13"/>
      <c r="AB500" s="13"/>
    </row>
    <row r="501" spans="1:28" ht="13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71"/>
      <c r="Y501" s="13"/>
      <c r="Z501" s="13"/>
      <c r="AA501" s="13"/>
      <c r="AB501" s="13"/>
    </row>
    <row r="502" spans="1:28" ht="13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71"/>
      <c r="Y502" s="13"/>
      <c r="Z502" s="13"/>
      <c r="AA502" s="13"/>
      <c r="AB502" s="13"/>
    </row>
    <row r="503" spans="1:28" ht="13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71"/>
      <c r="Y503" s="13"/>
      <c r="Z503" s="13"/>
      <c r="AA503" s="13"/>
      <c r="AB503" s="13"/>
    </row>
    <row r="504" spans="1:28" ht="13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71"/>
      <c r="Y504" s="13"/>
      <c r="Z504" s="13"/>
      <c r="AA504" s="13"/>
      <c r="AB504" s="13"/>
    </row>
    <row r="505" spans="1:28" ht="13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71"/>
      <c r="Y505" s="13"/>
      <c r="Z505" s="13"/>
      <c r="AA505" s="13"/>
      <c r="AB505" s="13"/>
    </row>
    <row r="506" spans="1:28" ht="13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71"/>
      <c r="Y506" s="13"/>
      <c r="Z506" s="13"/>
      <c r="AA506" s="13"/>
      <c r="AB506" s="13"/>
    </row>
    <row r="507" spans="1:28" ht="13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71"/>
      <c r="Y507" s="13"/>
      <c r="Z507" s="13"/>
      <c r="AA507" s="13"/>
      <c r="AB507" s="13"/>
    </row>
    <row r="508" spans="1:28" ht="13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71"/>
      <c r="Y508" s="13"/>
      <c r="Z508" s="13"/>
      <c r="AA508" s="13"/>
      <c r="AB508" s="13"/>
    </row>
    <row r="509" spans="1:28" ht="13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71"/>
      <c r="Y509" s="13"/>
      <c r="Z509" s="13"/>
      <c r="AA509" s="13"/>
      <c r="AB509" s="13"/>
    </row>
    <row r="510" spans="1:28" ht="13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71"/>
      <c r="Y510" s="13"/>
      <c r="Z510" s="13"/>
      <c r="AA510" s="13"/>
      <c r="AB510" s="13"/>
    </row>
    <row r="511" spans="1:28" ht="13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71"/>
      <c r="Y511" s="13"/>
      <c r="Z511" s="13"/>
      <c r="AA511" s="13"/>
      <c r="AB511" s="13"/>
    </row>
    <row r="512" spans="1:28" ht="13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71"/>
      <c r="Y512" s="13"/>
      <c r="Z512" s="13"/>
      <c r="AA512" s="13"/>
      <c r="AB512" s="13"/>
    </row>
    <row r="513" spans="1:28" ht="13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71"/>
      <c r="Y513" s="13"/>
      <c r="Z513" s="13"/>
      <c r="AA513" s="13"/>
      <c r="AB513" s="13"/>
    </row>
    <row r="514" spans="1:28" ht="13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71"/>
      <c r="Y514" s="13"/>
      <c r="Z514" s="13"/>
      <c r="AA514" s="13"/>
      <c r="AB514" s="13"/>
    </row>
    <row r="515" spans="1:28" ht="13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71"/>
      <c r="Y515" s="13"/>
      <c r="Z515" s="13"/>
      <c r="AA515" s="13"/>
      <c r="AB515" s="13"/>
    </row>
    <row r="516" spans="1:28" ht="13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71"/>
      <c r="Y516" s="13"/>
      <c r="Z516" s="13"/>
      <c r="AA516" s="13"/>
      <c r="AB516" s="13"/>
    </row>
    <row r="517" spans="1:28" ht="13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71"/>
      <c r="Y517" s="13"/>
      <c r="Z517" s="13"/>
      <c r="AA517" s="13"/>
      <c r="AB517" s="13"/>
    </row>
    <row r="518" spans="1:28" ht="13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71"/>
      <c r="Y518" s="13"/>
      <c r="Z518" s="13"/>
      <c r="AA518" s="13"/>
      <c r="AB518" s="13"/>
    </row>
    <row r="519" spans="1:28" ht="13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71"/>
      <c r="Y519" s="13"/>
      <c r="Z519" s="13"/>
      <c r="AA519" s="13"/>
      <c r="AB519" s="13"/>
    </row>
    <row r="520" spans="1:28" ht="13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71"/>
      <c r="Y520" s="13"/>
      <c r="Z520" s="13"/>
      <c r="AA520" s="13"/>
      <c r="AB520" s="13"/>
    </row>
    <row r="521" spans="1:28" ht="13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71"/>
      <c r="Y521" s="13"/>
      <c r="Z521" s="13"/>
      <c r="AA521" s="13"/>
      <c r="AB521" s="13"/>
    </row>
    <row r="522" spans="1:28" ht="13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71"/>
      <c r="Y522" s="13"/>
      <c r="Z522" s="13"/>
      <c r="AA522" s="13"/>
      <c r="AB522" s="13"/>
    </row>
    <row r="523" spans="1:28" ht="13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71"/>
      <c r="Y523" s="13"/>
      <c r="Z523" s="13"/>
      <c r="AA523" s="13"/>
      <c r="AB523" s="13"/>
    </row>
    <row r="524" spans="1:28" ht="13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71"/>
      <c r="Y524" s="13"/>
      <c r="Z524" s="13"/>
      <c r="AA524" s="13"/>
      <c r="AB524" s="13"/>
    </row>
    <row r="525" spans="1:28" ht="13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71"/>
      <c r="Y525" s="13"/>
      <c r="Z525" s="13"/>
      <c r="AA525" s="13"/>
      <c r="AB525" s="13"/>
    </row>
    <row r="526" spans="1:28" ht="13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71"/>
      <c r="Y526" s="13"/>
      <c r="Z526" s="13"/>
      <c r="AA526" s="13"/>
      <c r="AB526" s="13"/>
    </row>
    <row r="527" spans="1:28" ht="13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71"/>
      <c r="Y527" s="13"/>
      <c r="Z527" s="13"/>
      <c r="AA527" s="13"/>
      <c r="AB527" s="13"/>
    </row>
    <row r="528" spans="1:28" ht="13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71"/>
      <c r="Y528" s="13"/>
      <c r="Z528" s="13"/>
      <c r="AA528" s="13"/>
      <c r="AB528" s="13"/>
    </row>
    <row r="529" spans="1:28" ht="13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71"/>
      <c r="Y529" s="13"/>
      <c r="Z529" s="13"/>
      <c r="AA529" s="13"/>
      <c r="AB529" s="13"/>
    </row>
    <row r="530" spans="1:28" ht="13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71"/>
      <c r="Y530" s="13"/>
      <c r="Z530" s="13"/>
      <c r="AA530" s="13"/>
      <c r="AB530" s="13"/>
    </row>
    <row r="531" spans="1:28" ht="13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71"/>
      <c r="Y531" s="13"/>
      <c r="Z531" s="13"/>
      <c r="AA531" s="13"/>
      <c r="AB531" s="13"/>
    </row>
    <row r="532" spans="1:28" ht="13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71"/>
      <c r="Y532" s="13"/>
      <c r="Z532" s="13"/>
      <c r="AA532" s="13"/>
      <c r="AB532" s="13"/>
    </row>
    <row r="533" spans="1:28" ht="13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71"/>
      <c r="Y533" s="13"/>
      <c r="Z533" s="13"/>
      <c r="AA533" s="13"/>
      <c r="AB533" s="13"/>
    </row>
    <row r="534" spans="1:28" ht="13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71"/>
      <c r="Y534" s="13"/>
      <c r="Z534" s="13"/>
      <c r="AA534" s="13"/>
      <c r="AB534" s="13"/>
    </row>
    <row r="535" spans="1:28" ht="13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71"/>
      <c r="Y535" s="13"/>
      <c r="Z535" s="13"/>
      <c r="AA535" s="13"/>
      <c r="AB535" s="13"/>
    </row>
    <row r="536" spans="1:28" ht="13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71"/>
      <c r="Y536" s="13"/>
      <c r="Z536" s="13"/>
      <c r="AA536" s="13"/>
      <c r="AB536" s="13"/>
    </row>
    <row r="537" spans="1:28" ht="13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71"/>
      <c r="Y537" s="13"/>
      <c r="Z537" s="13"/>
      <c r="AA537" s="13"/>
      <c r="AB537" s="13"/>
    </row>
    <row r="538" spans="1:28" ht="13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71"/>
      <c r="Y538" s="13"/>
      <c r="Z538" s="13"/>
      <c r="AA538" s="13"/>
      <c r="AB538" s="13"/>
    </row>
    <row r="539" spans="1:28" ht="13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71"/>
      <c r="Y539" s="13"/>
      <c r="Z539" s="13"/>
      <c r="AA539" s="13"/>
      <c r="AB539" s="13"/>
    </row>
    <row r="540" spans="1:28" ht="13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71"/>
      <c r="Y540" s="13"/>
      <c r="Z540" s="13"/>
      <c r="AA540" s="13"/>
      <c r="AB540" s="13"/>
    </row>
    <row r="541" spans="1:28" ht="13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71"/>
      <c r="Y541" s="13"/>
      <c r="Z541" s="13"/>
      <c r="AA541" s="13"/>
      <c r="AB541" s="13"/>
    </row>
    <row r="542" spans="1:28" ht="13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71"/>
      <c r="Y542" s="13"/>
      <c r="Z542" s="13"/>
      <c r="AA542" s="13"/>
      <c r="AB542" s="13"/>
    </row>
    <row r="543" spans="1:28" ht="13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71"/>
      <c r="Y543" s="13"/>
      <c r="Z543" s="13"/>
      <c r="AA543" s="13"/>
      <c r="AB543" s="13"/>
    </row>
    <row r="544" spans="1:28" ht="13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71"/>
      <c r="Y544" s="13"/>
      <c r="Z544" s="13"/>
      <c r="AA544" s="13"/>
      <c r="AB544" s="13"/>
    </row>
    <row r="545" spans="1:28" ht="13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71"/>
      <c r="Y545" s="13"/>
      <c r="Z545" s="13"/>
      <c r="AA545" s="13"/>
      <c r="AB545" s="13"/>
    </row>
    <row r="546" spans="1:28" ht="13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71"/>
      <c r="Y546" s="13"/>
      <c r="Z546" s="13"/>
      <c r="AA546" s="13"/>
      <c r="AB546" s="13"/>
    </row>
    <row r="547" spans="1:28" ht="13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71"/>
      <c r="Y547" s="13"/>
      <c r="Z547" s="13"/>
      <c r="AA547" s="13"/>
      <c r="AB547" s="13"/>
    </row>
    <row r="548" spans="1:28" ht="13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71"/>
      <c r="Y548" s="13"/>
      <c r="Z548" s="13"/>
      <c r="AA548" s="13"/>
      <c r="AB548" s="13"/>
    </row>
    <row r="549" spans="1:28" ht="13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71"/>
      <c r="Y549" s="13"/>
      <c r="Z549" s="13"/>
      <c r="AA549" s="13"/>
      <c r="AB549" s="13"/>
    </row>
    <row r="550" spans="1:28" ht="13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71"/>
      <c r="Y550" s="13"/>
      <c r="Z550" s="13"/>
      <c r="AA550" s="13"/>
      <c r="AB550" s="13"/>
    </row>
    <row r="551" spans="1:28" ht="13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71"/>
      <c r="Y551" s="13"/>
      <c r="Z551" s="13"/>
      <c r="AA551" s="13"/>
      <c r="AB551" s="13"/>
    </row>
    <row r="552" spans="1:28" ht="13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71"/>
      <c r="Y552" s="13"/>
      <c r="Z552" s="13"/>
      <c r="AA552" s="13"/>
      <c r="AB552" s="13"/>
    </row>
    <row r="553" spans="1:28" ht="13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71"/>
      <c r="Y553" s="13"/>
      <c r="Z553" s="13"/>
      <c r="AA553" s="13"/>
      <c r="AB553" s="13"/>
    </row>
    <row r="554" spans="1:28" ht="13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71"/>
      <c r="Y554" s="13"/>
      <c r="Z554" s="13"/>
      <c r="AA554" s="13"/>
      <c r="AB554" s="13"/>
    </row>
    <row r="555" spans="1:28" ht="13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71"/>
      <c r="Y555" s="13"/>
      <c r="Z555" s="13"/>
      <c r="AA555" s="13"/>
      <c r="AB555" s="13"/>
    </row>
    <row r="556" spans="1:28" ht="13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71"/>
      <c r="Y556" s="13"/>
      <c r="Z556" s="13"/>
      <c r="AA556" s="13"/>
      <c r="AB556" s="13"/>
    </row>
    <row r="557" spans="1:28" ht="13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71"/>
      <c r="Y557" s="13"/>
      <c r="Z557" s="13"/>
      <c r="AA557" s="13"/>
      <c r="AB557" s="13"/>
    </row>
    <row r="558" spans="1:28" ht="13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71"/>
      <c r="Y558" s="13"/>
      <c r="Z558" s="13"/>
      <c r="AA558" s="13"/>
      <c r="AB558" s="13"/>
    </row>
    <row r="559" spans="1:28" ht="13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71"/>
      <c r="Y559" s="13"/>
      <c r="Z559" s="13"/>
      <c r="AA559" s="13"/>
      <c r="AB559" s="13"/>
    </row>
    <row r="560" spans="1:28" ht="13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71"/>
      <c r="Y560" s="13"/>
      <c r="Z560" s="13"/>
      <c r="AA560" s="13"/>
      <c r="AB560" s="13"/>
    </row>
    <row r="561" spans="1:28" ht="13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71"/>
      <c r="Y561" s="13"/>
      <c r="Z561" s="13"/>
      <c r="AA561" s="13"/>
      <c r="AB561" s="13"/>
    </row>
    <row r="562" spans="1:28" ht="13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71"/>
      <c r="Y562" s="13"/>
      <c r="Z562" s="13"/>
      <c r="AA562" s="13"/>
      <c r="AB562" s="13"/>
    </row>
    <row r="563" spans="1:28" ht="13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71"/>
      <c r="Y563" s="13"/>
      <c r="Z563" s="13"/>
      <c r="AA563" s="13"/>
      <c r="AB563" s="13"/>
    </row>
    <row r="564" spans="1:28" ht="13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71"/>
      <c r="Y564" s="13"/>
      <c r="Z564" s="13"/>
      <c r="AA564" s="13"/>
      <c r="AB564" s="13"/>
    </row>
    <row r="565" spans="1:28" ht="13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71"/>
      <c r="Y565" s="13"/>
      <c r="Z565" s="13"/>
      <c r="AA565" s="13"/>
      <c r="AB565" s="13"/>
    </row>
    <row r="566" spans="1:28" ht="13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71"/>
      <c r="Y566" s="13"/>
      <c r="Z566" s="13"/>
      <c r="AA566" s="13"/>
      <c r="AB566" s="13"/>
    </row>
    <row r="567" spans="1:28" ht="13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71"/>
      <c r="Y567" s="13"/>
      <c r="Z567" s="13"/>
      <c r="AA567" s="13"/>
      <c r="AB567" s="13"/>
    </row>
    <row r="568" spans="1:28" ht="13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71"/>
      <c r="Y568" s="13"/>
      <c r="Z568" s="13"/>
      <c r="AA568" s="13"/>
      <c r="AB568" s="13"/>
    </row>
    <row r="569" spans="1:28" ht="13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71"/>
      <c r="Y569" s="13"/>
      <c r="Z569" s="13"/>
      <c r="AA569" s="13"/>
      <c r="AB569" s="13"/>
    </row>
    <row r="570" spans="1:28" ht="13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71"/>
      <c r="Y570" s="13"/>
      <c r="Z570" s="13"/>
      <c r="AA570" s="13"/>
      <c r="AB570" s="13"/>
    </row>
    <row r="571" spans="1:28" ht="13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71"/>
      <c r="Y571" s="13"/>
      <c r="Z571" s="13"/>
      <c r="AA571" s="13"/>
      <c r="AB571" s="13"/>
    </row>
    <row r="572" spans="1:28" ht="13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71"/>
      <c r="Y572" s="13"/>
      <c r="Z572" s="13"/>
      <c r="AA572" s="13"/>
      <c r="AB572" s="13"/>
    </row>
    <row r="573" spans="1:28" ht="13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71"/>
      <c r="Y573" s="13"/>
      <c r="Z573" s="13"/>
      <c r="AA573" s="13"/>
      <c r="AB573" s="13"/>
    </row>
    <row r="574" spans="1:28" ht="13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71"/>
      <c r="Y574" s="13"/>
      <c r="Z574" s="13"/>
      <c r="AA574" s="13"/>
      <c r="AB574" s="13"/>
    </row>
    <row r="575" spans="1:28" ht="13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71"/>
      <c r="Y575" s="13"/>
      <c r="Z575" s="13"/>
      <c r="AA575" s="13"/>
      <c r="AB575" s="13"/>
    </row>
    <row r="576" spans="1:28" ht="13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71"/>
      <c r="Y576" s="13"/>
      <c r="Z576" s="13"/>
      <c r="AA576" s="13"/>
      <c r="AB576" s="13"/>
    </row>
    <row r="577" spans="1:28" ht="13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71"/>
      <c r="Y577" s="13"/>
      <c r="Z577" s="13"/>
      <c r="AA577" s="13"/>
      <c r="AB577" s="13"/>
    </row>
    <row r="578" spans="1:28" ht="13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71"/>
      <c r="Y578" s="13"/>
      <c r="Z578" s="13"/>
      <c r="AA578" s="13"/>
      <c r="AB578" s="13"/>
    </row>
    <row r="579" spans="1:28" ht="13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71"/>
      <c r="Y579" s="13"/>
      <c r="Z579" s="13"/>
      <c r="AA579" s="13"/>
      <c r="AB579" s="13"/>
    </row>
    <row r="580" spans="1:28" ht="13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71"/>
      <c r="Y580" s="13"/>
      <c r="Z580" s="13"/>
      <c r="AA580" s="13"/>
      <c r="AB580" s="13"/>
    </row>
    <row r="581" spans="1:28" ht="13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71"/>
      <c r="Y581" s="13"/>
      <c r="Z581" s="13"/>
      <c r="AA581" s="13"/>
      <c r="AB581" s="13"/>
    </row>
    <row r="582" spans="1:28" ht="13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71"/>
      <c r="Y582" s="13"/>
      <c r="Z582" s="13"/>
      <c r="AA582" s="13"/>
      <c r="AB582" s="13"/>
    </row>
    <row r="583" spans="1:28" ht="13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71"/>
      <c r="Y583" s="13"/>
      <c r="Z583" s="13"/>
      <c r="AA583" s="13"/>
      <c r="AB583" s="13"/>
    </row>
    <row r="584" spans="1:28" ht="13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71"/>
      <c r="Y584" s="13"/>
      <c r="Z584" s="13"/>
      <c r="AA584" s="13"/>
      <c r="AB584" s="13"/>
    </row>
    <row r="585" spans="1:28" ht="13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71"/>
      <c r="Y585" s="13"/>
      <c r="Z585" s="13"/>
      <c r="AA585" s="13"/>
      <c r="AB585" s="13"/>
    </row>
    <row r="586" spans="1:28" ht="13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71"/>
      <c r="Y586" s="13"/>
      <c r="Z586" s="13"/>
      <c r="AA586" s="13"/>
      <c r="AB586" s="13"/>
    </row>
    <row r="587" spans="1:28" ht="13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71"/>
      <c r="Y587" s="13"/>
      <c r="Z587" s="13"/>
      <c r="AA587" s="13"/>
      <c r="AB587" s="13"/>
    </row>
    <row r="588" spans="1:28" ht="13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71"/>
      <c r="Y588" s="13"/>
      <c r="Z588" s="13"/>
      <c r="AA588" s="13"/>
      <c r="AB588" s="13"/>
    </row>
    <row r="589" spans="1:28" ht="13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71"/>
      <c r="Y589" s="13"/>
      <c r="Z589" s="13"/>
      <c r="AA589" s="13"/>
      <c r="AB589" s="13"/>
    </row>
    <row r="590" spans="1:28" ht="13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71"/>
      <c r="Y590" s="13"/>
      <c r="Z590" s="13"/>
      <c r="AA590" s="13"/>
      <c r="AB590" s="13"/>
    </row>
    <row r="591" spans="1:28" ht="13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71"/>
      <c r="Y591" s="13"/>
      <c r="Z591" s="13"/>
      <c r="AA591" s="13"/>
      <c r="AB591" s="13"/>
    </row>
    <row r="592" spans="1:28" ht="13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71"/>
      <c r="Y592" s="13"/>
      <c r="Z592" s="13"/>
      <c r="AA592" s="13"/>
      <c r="AB592" s="13"/>
    </row>
    <row r="593" spans="1:28" ht="13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71"/>
      <c r="Y593" s="13"/>
      <c r="Z593" s="13"/>
      <c r="AA593" s="13"/>
      <c r="AB593" s="13"/>
    </row>
    <row r="594" spans="1:28" ht="13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71"/>
      <c r="Y594" s="13"/>
      <c r="Z594" s="13"/>
      <c r="AA594" s="13"/>
      <c r="AB594" s="13"/>
    </row>
    <row r="595" spans="1:28" ht="13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71"/>
      <c r="Y595" s="13"/>
      <c r="Z595" s="13"/>
      <c r="AA595" s="13"/>
      <c r="AB595" s="13"/>
    </row>
    <row r="596" spans="1:28" ht="13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71"/>
      <c r="Y596" s="13"/>
      <c r="Z596" s="13"/>
      <c r="AA596" s="13"/>
      <c r="AB596" s="13"/>
    </row>
    <row r="597" spans="1:28" ht="13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71"/>
      <c r="Y597" s="13"/>
      <c r="Z597" s="13"/>
      <c r="AA597" s="13"/>
      <c r="AB597" s="13"/>
    </row>
    <row r="598" spans="1:28" ht="13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71"/>
      <c r="Y598" s="13"/>
      <c r="Z598" s="13"/>
      <c r="AA598" s="13"/>
      <c r="AB598" s="13"/>
    </row>
    <row r="599" spans="1:28" ht="13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71"/>
      <c r="Y599" s="13"/>
      <c r="Z599" s="13"/>
      <c r="AA599" s="13"/>
      <c r="AB599" s="13"/>
    </row>
    <row r="600" spans="1:28" ht="13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71"/>
      <c r="Y600" s="13"/>
      <c r="Z600" s="13"/>
      <c r="AA600" s="13"/>
      <c r="AB600" s="13"/>
    </row>
    <row r="601" spans="1:28" ht="13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71"/>
      <c r="Y601" s="13"/>
      <c r="Z601" s="13"/>
      <c r="AA601" s="13"/>
      <c r="AB601" s="13"/>
    </row>
    <row r="602" spans="1:28" ht="13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71"/>
      <c r="Y602" s="13"/>
      <c r="Z602" s="13"/>
      <c r="AA602" s="13"/>
      <c r="AB602" s="13"/>
    </row>
    <row r="603" spans="1:28" ht="13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71"/>
      <c r="Y603" s="13"/>
      <c r="Z603" s="13"/>
      <c r="AA603" s="13"/>
      <c r="AB603" s="13"/>
    </row>
    <row r="604" spans="1:28" ht="13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71"/>
      <c r="Y604" s="13"/>
      <c r="Z604" s="13"/>
      <c r="AA604" s="13"/>
      <c r="AB604" s="13"/>
    </row>
    <row r="605" spans="1:28" ht="13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71"/>
      <c r="Y605" s="13"/>
      <c r="Z605" s="13"/>
      <c r="AA605" s="13"/>
      <c r="AB605" s="13"/>
    </row>
    <row r="606" spans="1:28" ht="13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71"/>
      <c r="Y606" s="13"/>
      <c r="Z606" s="13"/>
      <c r="AA606" s="13"/>
      <c r="AB606" s="13"/>
    </row>
    <row r="607" spans="1:28" ht="13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71"/>
      <c r="Y607" s="13"/>
      <c r="Z607" s="13"/>
      <c r="AA607" s="13"/>
      <c r="AB607" s="13"/>
    </row>
    <row r="608" spans="1:28" ht="13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71"/>
      <c r="Y608" s="13"/>
      <c r="Z608" s="13"/>
      <c r="AA608" s="13"/>
      <c r="AB608" s="13"/>
    </row>
    <row r="609" spans="1:28" ht="13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71"/>
      <c r="Y609" s="13"/>
      <c r="Z609" s="13"/>
      <c r="AA609" s="13"/>
      <c r="AB609" s="13"/>
    </row>
    <row r="610" spans="1:28" ht="13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71"/>
      <c r="Y610" s="13"/>
      <c r="Z610" s="13"/>
      <c r="AA610" s="13"/>
      <c r="AB610" s="13"/>
    </row>
    <row r="611" spans="1:28" ht="13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71"/>
      <c r="Y611" s="13"/>
      <c r="Z611" s="13"/>
      <c r="AA611" s="13"/>
      <c r="AB611" s="13"/>
    </row>
    <row r="612" spans="1:28" ht="13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71"/>
      <c r="Y612" s="13"/>
      <c r="Z612" s="13"/>
      <c r="AA612" s="13"/>
      <c r="AB612" s="13"/>
    </row>
    <row r="613" spans="1:28" ht="13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71"/>
      <c r="Y613" s="13"/>
      <c r="Z613" s="13"/>
      <c r="AA613" s="13"/>
      <c r="AB613" s="13"/>
    </row>
    <row r="614" spans="1:28" ht="13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71"/>
      <c r="Y614" s="13"/>
      <c r="Z614" s="13"/>
      <c r="AA614" s="13"/>
      <c r="AB614" s="13"/>
    </row>
    <row r="615" spans="1:28" ht="13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71"/>
      <c r="Y615" s="13"/>
      <c r="Z615" s="13"/>
      <c r="AA615" s="13"/>
      <c r="AB615" s="13"/>
    </row>
    <row r="616" spans="1:28" ht="13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71"/>
      <c r="Y616" s="13"/>
      <c r="Z616" s="13"/>
      <c r="AA616" s="13"/>
      <c r="AB616" s="13"/>
    </row>
    <row r="617" spans="1:28" ht="13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71"/>
      <c r="Y617" s="13"/>
      <c r="Z617" s="13"/>
      <c r="AA617" s="13"/>
      <c r="AB617" s="13"/>
    </row>
    <row r="618" spans="1:28" ht="13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71"/>
      <c r="Y618" s="13"/>
      <c r="Z618" s="13"/>
      <c r="AA618" s="13"/>
      <c r="AB618" s="13"/>
    </row>
    <row r="619" spans="1:28" ht="13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71"/>
      <c r="Y619" s="13"/>
      <c r="Z619" s="13"/>
      <c r="AA619" s="13"/>
      <c r="AB619" s="13"/>
    </row>
    <row r="620" spans="1:28" ht="13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71"/>
      <c r="Y620" s="13"/>
      <c r="Z620" s="13"/>
      <c r="AA620" s="13"/>
      <c r="AB620" s="13"/>
    </row>
    <row r="621" spans="1:28" ht="13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71"/>
      <c r="Y621" s="13"/>
      <c r="Z621" s="13"/>
      <c r="AA621" s="13"/>
      <c r="AB621" s="13"/>
    </row>
    <row r="622" spans="1:28" ht="13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71"/>
      <c r="Y622" s="13"/>
      <c r="Z622" s="13"/>
      <c r="AA622" s="13"/>
      <c r="AB622" s="13"/>
    </row>
    <row r="623" spans="1:28" ht="13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71"/>
      <c r="Y623" s="13"/>
      <c r="Z623" s="13"/>
      <c r="AA623" s="13"/>
      <c r="AB623" s="13"/>
    </row>
    <row r="624" spans="1:28" ht="13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71"/>
      <c r="Y624" s="13"/>
      <c r="Z624" s="13"/>
      <c r="AA624" s="13"/>
      <c r="AB624" s="13"/>
    </row>
    <row r="625" spans="1:28" ht="13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71"/>
      <c r="Y625" s="13"/>
      <c r="Z625" s="13"/>
      <c r="AA625" s="13"/>
      <c r="AB625" s="13"/>
    </row>
    <row r="626" spans="1:28" ht="13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71"/>
      <c r="Y626" s="13"/>
      <c r="Z626" s="13"/>
      <c r="AA626" s="13"/>
      <c r="AB626" s="13"/>
    </row>
    <row r="627" spans="1:28" ht="13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71"/>
      <c r="Y627" s="13"/>
      <c r="Z627" s="13"/>
      <c r="AA627" s="13"/>
      <c r="AB627" s="13"/>
    </row>
    <row r="628" spans="1:28" ht="13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71"/>
      <c r="Y628" s="13"/>
      <c r="Z628" s="13"/>
      <c r="AA628" s="13"/>
      <c r="AB628" s="13"/>
    </row>
    <row r="629" spans="1:28" ht="13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71"/>
      <c r="Y629" s="13"/>
      <c r="Z629" s="13"/>
      <c r="AA629" s="13"/>
      <c r="AB629" s="13"/>
    </row>
    <row r="630" spans="1:28" ht="13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71"/>
      <c r="Y630" s="13"/>
      <c r="Z630" s="13"/>
      <c r="AA630" s="13"/>
      <c r="AB630" s="13"/>
    </row>
    <row r="631" spans="1:28" ht="13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71"/>
      <c r="Y631" s="13"/>
      <c r="Z631" s="13"/>
      <c r="AA631" s="13"/>
      <c r="AB631" s="13"/>
    </row>
    <row r="632" spans="1:28" ht="13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71"/>
      <c r="Y632" s="13"/>
      <c r="Z632" s="13"/>
      <c r="AA632" s="13"/>
      <c r="AB632" s="13"/>
    </row>
    <row r="633" spans="1:28" ht="13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71"/>
      <c r="Y633" s="13"/>
      <c r="Z633" s="13"/>
      <c r="AA633" s="13"/>
      <c r="AB633" s="13"/>
    </row>
    <row r="634" spans="1:28" ht="13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71"/>
      <c r="Y634" s="13"/>
      <c r="Z634" s="13"/>
      <c r="AA634" s="13"/>
      <c r="AB634" s="13"/>
    </row>
    <row r="635" spans="1:28" ht="13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71"/>
      <c r="Y635" s="13"/>
      <c r="Z635" s="13"/>
      <c r="AA635" s="13"/>
      <c r="AB635" s="13"/>
    </row>
    <row r="636" spans="1:28" ht="13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71"/>
      <c r="Y636" s="13"/>
      <c r="Z636" s="13"/>
      <c r="AA636" s="13"/>
      <c r="AB636" s="13"/>
    </row>
    <row r="637" spans="1:28" ht="13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71"/>
      <c r="Y637" s="13"/>
      <c r="Z637" s="13"/>
      <c r="AA637" s="13"/>
      <c r="AB637" s="13"/>
    </row>
    <row r="638" spans="1:28" ht="13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71"/>
      <c r="Y638" s="13"/>
      <c r="Z638" s="13"/>
      <c r="AA638" s="13"/>
      <c r="AB638" s="13"/>
    </row>
    <row r="639" spans="1:28" ht="13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71"/>
      <c r="Y639" s="13"/>
      <c r="Z639" s="13"/>
      <c r="AA639" s="13"/>
      <c r="AB639" s="13"/>
    </row>
    <row r="640" spans="1:28" ht="13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71"/>
      <c r="Y640" s="13"/>
      <c r="Z640" s="13"/>
      <c r="AA640" s="13"/>
      <c r="AB640" s="13"/>
    </row>
    <row r="641" spans="1:28" ht="13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71"/>
      <c r="Y641" s="13"/>
      <c r="Z641" s="13"/>
      <c r="AA641" s="13"/>
      <c r="AB641" s="13"/>
    </row>
    <row r="642" spans="1:28" ht="13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71"/>
      <c r="Y642" s="13"/>
      <c r="Z642" s="13"/>
      <c r="AA642" s="13"/>
      <c r="AB642" s="13"/>
    </row>
    <row r="643" spans="1:28" ht="13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71"/>
      <c r="Y643" s="13"/>
      <c r="Z643" s="13"/>
      <c r="AA643" s="13"/>
      <c r="AB643" s="13"/>
    </row>
    <row r="644" spans="1:28" ht="13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71"/>
      <c r="Y644" s="13"/>
      <c r="Z644" s="13"/>
      <c r="AA644" s="13"/>
      <c r="AB644" s="13"/>
    </row>
    <row r="645" spans="1:28" ht="13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71"/>
      <c r="Y645" s="13"/>
      <c r="Z645" s="13"/>
      <c r="AA645" s="13"/>
      <c r="AB645" s="13"/>
    </row>
    <row r="646" spans="1:28" ht="13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71"/>
      <c r="Y646" s="13"/>
      <c r="Z646" s="13"/>
      <c r="AA646" s="13"/>
      <c r="AB646" s="13"/>
    </row>
    <row r="647" spans="1:28" ht="13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71"/>
      <c r="Y647" s="13"/>
      <c r="Z647" s="13"/>
      <c r="AA647" s="13"/>
      <c r="AB647" s="13"/>
    </row>
    <row r="648" spans="1:28" ht="13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71"/>
      <c r="Y648" s="13"/>
      <c r="Z648" s="13"/>
      <c r="AA648" s="13"/>
      <c r="AB648" s="13"/>
    </row>
    <row r="649" spans="1:28" ht="13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71"/>
      <c r="Y649" s="13"/>
      <c r="Z649" s="13"/>
      <c r="AA649" s="13"/>
      <c r="AB649" s="13"/>
    </row>
    <row r="650" spans="1:28" ht="13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71"/>
      <c r="Y650" s="13"/>
      <c r="Z650" s="13"/>
      <c r="AA650" s="13"/>
      <c r="AB650" s="13"/>
    </row>
    <row r="651" spans="1:28" ht="13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71"/>
      <c r="Y651" s="13"/>
      <c r="Z651" s="13"/>
      <c r="AA651" s="13"/>
      <c r="AB651" s="13"/>
    </row>
    <row r="652" spans="1:28" ht="13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71"/>
      <c r="Y652" s="13"/>
      <c r="Z652" s="13"/>
      <c r="AA652" s="13"/>
      <c r="AB652" s="13"/>
    </row>
    <row r="653" spans="1:28" ht="13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71"/>
      <c r="Y653" s="13"/>
      <c r="Z653" s="13"/>
      <c r="AA653" s="13"/>
      <c r="AB653" s="13"/>
    </row>
    <row r="654" spans="1:28" ht="13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71"/>
      <c r="Y654" s="13"/>
      <c r="Z654" s="13"/>
      <c r="AA654" s="13"/>
      <c r="AB654" s="13"/>
    </row>
    <row r="655" spans="1:28" ht="13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71"/>
      <c r="Y655" s="13"/>
      <c r="Z655" s="13"/>
      <c r="AA655" s="13"/>
      <c r="AB655" s="13"/>
    </row>
    <row r="656" spans="1:28" ht="13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71"/>
      <c r="Y656" s="13"/>
      <c r="Z656" s="13"/>
      <c r="AA656" s="13"/>
      <c r="AB656" s="13"/>
    </row>
    <row r="657" spans="1:28" ht="13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71"/>
      <c r="Y657" s="13"/>
      <c r="Z657" s="13"/>
      <c r="AA657" s="13"/>
      <c r="AB657" s="13"/>
    </row>
    <row r="658" spans="1:28" ht="13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71"/>
      <c r="Y658" s="13"/>
      <c r="Z658" s="13"/>
      <c r="AA658" s="13"/>
      <c r="AB658" s="13"/>
    </row>
    <row r="659" spans="1:28" ht="13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71"/>
      <c r="Y659" s="13"/>
      <c r="Z659" s="13"/>
      <c r="AA659" s="13"/>
      <c r="AB659" s="13"/>
    </row>
    <row r="660" spans="1:28" ht="13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71"/>
      <c r="Y660" s="13"/>
      <c r="Z660" s="13"/>
      <c r="AA660" s="13"/>
      <c r="AB660" s="13"/>
    </row>
    <row r="661" spans="1:28" ht="13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71"/>
      <c r="Y661" s="13"/>
      <c r="Z661" s="13"/>
      <c r="AA661" s="13"/>
      <c r="AB661" s="13"/>
    </row>
    <row r="662" spans="1:28" ht="13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71"/>
      <c r="Y662" s="13"/>
      <c r="Z662" s="13"/>
      <c r="AA662" s="13"/>
      <c r="AB662" s="13"/>
    </row>
    <row r="663" spans="1:28" ht="13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71"/>
      <c r="Y663" s="13"/>
      <c r="Z663" s="13"/>
      <c r="AA663" s="13"/>
      <c r="AB663" s="13"/>
    </row>
    <row r="664" spans="1:28" ht="13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71"/>
      <c r="Y664" s="13"/>
      <c r="Z664" s="13"/>
      <c r="AA664" s="13"/>
      <c r="AB664" s="13"/>
    </row>
    <row r="665" spans="1:28" ht="13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71"/>
      <c r="Y665" s="13"/>
      <c r="Z665" s="13"/>
      <c r="AA665" s="13"/>
      <c r="AB665" s="13"/>
    </row>
    <row r="666" spans="1:28" ht="13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71"/>
      <c r="Y666" s="13"/>
      <c r="Z666" s="13"/>
      <c r="AA666" s="13"/>
      <c r="AB666" s="13"/>
    </row>
    <row r="667" spans="1:28" ht="13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71"/>
      <c r="Y667" s="13"/>
      <c r="Z667" s="13"/>
      <c r="AA667" s="13"/>
      <c r="AB667" s="13"/>
    </row>
    <row r="668" spans="1:28" ht="13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71"/>
      <c r="Y668" s="13"/>
      <c r="Z668" s="13"/>
      <c r="AA668" s="13"/>
      <c r="AB668" s="13"/>
    </row>
    <row r="669" spans="1:28" ht="13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71"/>
      <c r="Y669" s="13"/>
      <c r="Z669" s="13"/>
      <c r="AA669" s="13"/>
      <c r="AB669" s="13"/>
    </row>
    <row r="670" spans="1:28" ht="13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71"/>
      <c r="Y670" s="13"/>
      <c r="Z670" s="13"/>
      <c r="AA670" s="13"/>
      <c r="AB670" s="13"/>
    </row>
    <row r="671" spans="1:28" ht="13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71"/>
      <c r="Y671" s="13"/>
      <c r="Z671" s="13"/>
      <c r="AA671" s="13"/>
      <c r="AB671" s="13"/>
    </row>
    <row r="672" spans="1:28" ht="13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71"/>
      <c r="Y672" s="13"/>
      <c r="Z672" s="13"/>
      <c r="AA672" s="13"/>
      <c r="AB672" s="13"/>
    </row>
    <row r="673" spans="1:28" ht="13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71"/>
      <c r="Y673" s="13"/>
      <c r="Z673" s="13"/>
      <c r="AA673" s="13"/>
      <c r="AB673" s="13"/>
    </row>
    <row r="674" spans="1:28" ht="13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71"/>
      <c r="Y674" s="13"/>
      <c r="Z674" s="13"/>
      <c r="AA674" s="13"/>
      <c r="AB674" s="13"/>
    </row>
    <row r="675" spans="1:28" ht="13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71"/>
      <c r="Y675" s="13"/>
      <c r="Z675" s="13"/>
      <c r="AA675" s="13"/>
      <c r="AB675" s="13"/>
    </row>
    <row r="676" spans="1:28" ht="13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71"/>
      <c r="Y676" s="13"/>
      <c r="Z676" s="13"/>
      <c r="AA676" s="13"/>
      <c r="AB676" s="13"/>
    </row>
    <row r="677" spans="1:28" ht="13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71"/>
      <c r="Y677" s="13"/>
      <c r="Z677" s="13"/>
      <c r="AA677" s="13"/>
      <c r="AB677" s="13"/>
    </row>
    <row r="678" spans="1:28" ht="13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71"/>
      <c r="Y678" s="13"/>
      <c r="Z678" s="13"/>
      <c r="AA678" s="13"/>
      <c r="AB678" s="13"/>
    </row>
    <row r="679" spans="1:28" ht="13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71"/>
      <c r="Y679" s="13"/>
      <c r="Z679" s="13"/>
      <c r="AA679" s="13"/>
      <c r="AB679" s="13"/>
    </row>
    <row r="680" spans="1:28" ht="13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71"/>
      <c r="Y680" s="13"/>
      <c r="Z680" s="13"/>
      <c r="AA680" s="13"/>
      <c r="AB680" s="13"/>
    </row>
    <row r="681" spans="1:28" ht="13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71"/>
      <c r="Y681" s="13"/>
      <c r="Z681" s="13"/>
      <c r="AA681" s="13"/>
      <c r="AB681" s="13"/>
    </row>
    <row r="682" spans="1:28" ht="13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71"/>
      <c r="Y682" s="13"/>
      <c r="Z682" s="13"/>
      <c r="AA682" s="13"/>
      <c r="AB682" s="13"/>
    </row>
    <row r="683" spans="1:28" ht="13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71"/>
      <c r="Y683" s="13"/>
      <c r="Z683" s="13"/>
      <c r="AA683" s="13"/>
      <c r="AB683" s="13"/>
    </row>
    <row r="684" spans="1:28" ht="13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71"/>
      <c r="Y684" s="13"/>
      <c r="Z684" s="13"/>
      <c r="AA684" s="13"/>
      <c r="AB684" s="13"/>
    </row>
    <row r="685" spans="1:28" ht="13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71"/>
      <c r="Y685" s="13"/>
      <c r="Z685" s="13"/>
      <c r="AA685" s="13"/>
      <c r="AB685" s="13"/>
    </row>
    <row r="686" spans="1:28" ht="13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71"/>
      <c r="Y686" s="13"/>
      <c r="Z686" s="13"/>
      <c r="AA686" s="13"/>
      <c r="AB686" s="13"/>
    </row>
    <row r="687" spans="1:28" ht="13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71"/>
      <c r="Y687" s="13"/>
      <c r="Z687" s="13"/>
      <c r="AA687" s="13"/>
      <c r="AB687" s="13"/>
    </row>
    <row r="688" spans="1:28" ht="13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71"/>
      <c r="Y688" s="13"/>
      <c r="Z688" s="13"/>
      <c r="AA688" s="13"/>
      <c r="AB688" s="13"/>
    </row>
    <row r="689" spans="1:28" ht="13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71"/>
      <c r="Y689" s="13"/>
      <c r="Z689" s="13"/>
      <c r="AA689" s="13"/>
      <c r="AB689" s="13"/>
    </row>
    <row r="690" spans="1:28" ht="13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71"/>
      <c r="Y690" s="13"/>
      <c r="Z690" s="13"/>
      <c r="AA690" s="13"/>
      <c r="AB690" s="13"/>
    </row>
    <row r="691" spans="1:28" ht="13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71"/>
      <c r="Y691" s="13"/>
      <c r="Z691" s="13"/>
      <c r="AA691" s="13"/>
      <c r="AB691" s="13"/>
    </row>
    <row r="692" spans="1:28" ht="13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71"/>
      <c r="Y692" s="13"/>
      <c r="Z692" s="13"/>
      <c r="AA692" s="13"/>
      <c r="AB692" s="13"/>
    </row>
    <row r="693" spans="1:28" ht="13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71"/>
      <c r="Y693" s="13"/>
      <c r="Z693" s="13"/>
      <c r="AA693" s="13"/>
      <c r="AB693" s="13"/>
    </row>
    <row r="694" spans="1:28" ht="13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71"/>
      <c r="Y694" s="13"/>
      <c r="Z694" s="13"/>
      <c r="AA694" s="13"/>
      <c r="AB694" s="13"/>
    </row>
    <row r="695" spans="1:28" ht="13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71"/>
      <c r="Y695" s="13"/>
      <c r="Z695" s="13"/>
      <c r="AA695" s="13"/>
      <c r="AB695" s="13"/>
    </row>
    <row r="696" spans="1:28" ht="13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71"/>
      <c r="Y696" s="13"/>
      <c r="Z696" s="13"/>
      <c r="AA696" s="13"/>
      <c r="AB696" s="13"/>
    </row>
    <row r="697" spans="1:28" ht="13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71"/>
      <c r="Y697" s="13"/>
      <c r="Z697" s="13"/>
      <c r="AA697" s="13"/>
      <c r="AB697" s="13"/>
    </row>
    <row r="698" spans="1:28" ht="13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71"/>
      <c r="Y698" s="13"/>
      <c r="Z698" s="13"/>
      <c r="AA698" s="13"/>
      <c r="AB698" s="13"/>
    </row>
    <row r="699" spans="1:28" ht="13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71"/>
      <c r="Y699" s="13"/>
      <c r="Z699" s="13"/>
      <c r="AA699" s="13"/>
      <c r="AB699" s="13"/>
    </row>
    <row r="700" spans="1:28" ht="13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71"/>
      <c r="Y700" s="13"/>
      <c r="Z700" s="13"/>
      <c r="AA700" s="13"/>
      <c r="AB700" s="13"/>
    </row>
    <row r="701" spans="1:28" ht="13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71"/>
      <c r="Y701" s="13"/>
      <c r="Z701" s="13"/>
      <c r="AA701" s="13"/>
      <c r="AB701" s="13"/>
    </row>
    <row r="702" spans="1:28" ht="13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71"/>
      <c r="Y702" s="13"/>
      <c r="Z702" s="13"/>
      <c r="AA702" s="13"/>
      <c r="AB702" s="13"/>
    </row>
    <row r="703" spans="1:28" ht="13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71"/>
      <c r="Y703" s="13"/>
      <c r="Z703" s="13"/>
      <c r="AA703" s="13"/>
      <c r="AB703" s="13"/>
    </row>
    <row r="704" spans="1:28" ht="13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71"/>
      <c r="Y704" s="13"/>
      <c r="Z704" s="13"/>
      <c r="AA704" s="13"/>
      <c r="AB704" s="13"/>
    </row>
    <row r="705" spans="1:28" ht="13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71"/>
      <c r="Y705" s="13"/>
      <c r="Z705" s="13"/>
      <c r="AA705" s="13"/>
      <c r="AB705" s="13"/>
    </row>
    <row r="706" spans="1:28" ht="13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71"/>
      <c r="Y706" s="13"/>
      <c r="Z706" s="13"/>
      <c r="AA706" s="13"/>
      <c r="AB706" s="13"/>
    </row>
    <row r="707" spans="1:28" ht="13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71"/>
      <c r="Y707" s="13"/>
      <c r="Z707" s="13"/>
      <c r="AA707" s="13"/>
      <c r="AB707" s="13"/>
    </row>
    <row r="708" spans="1:28" ht="13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71"/>
      <c r="Y708" s="13"/>
      <c r="Z708" s="13"/>
      <c r="AA708" s="13"/>
      <c r="AB708" s="13"/>
    </row>
    <row r="709" spans="1:28" ht="13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71"/>
      <c r="Y709" s="13"/>
      <c r="Z709" s="13"/>
      <c r="AA709" s="13"/>
      <c r="AB709" s="13"/>
    </row>
    <row r="710" spans="1:28" ht="13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71"/>
      <c r="Y710" s="13"/>
      <c r="Z710" s="13"/>
      <c r="AA710" s="13"/>
      <c r="AB710" s="13"/>
    </row>
    <row r="711" spans="1:28" ht="13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71"/>
      <c r="Y711" s="13"/>
      <c r="Z711" s="13"/>
      <c r="AA711" s="13"/>
      <c r="AB711" s="13"/>
    </row>
    <row r="712" spans="1:28" ht="13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71"/>
      <c r="Y712" s="13"/>
      <c r="Z712" s="13"/>
      <c r="AA712" s="13"/>
      <c r="AB712" s="13"/>
    </row>
    <row r="713" spans="1:28" ht="13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71"/>
      <c r="Y713" s="13"/>
      <c r="Z713" s="13"/>
      <c r="AA713" s="13"/>
      <c r="AB713" s="13"/>
    </row>
    <row r="714" spans="1:28" ht="13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71"/>
      <c r="Y714" s="13"/>
      <c r="Z714" s="13"/>
      <c r="AA714" s="13"/>
      <c r="AB714" s="13"/>
    </row>
    <row r="715" spans="1:28" ht="13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71"/>
      <c r="Y715" s="13"/>
      <c r="Z715" s="13"/>
      <c r="AA715" s="13"/>
      <c r="AB715" s="13"/>
    </row>
    <row r="716" spans="1:28" ht="13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71"/>
      <c r="Y716" s="13"/>
      <c r="Z716" s="13"/>
      <c r="AA716" s="13"/>
      <c r="AB716" s="13"/>
    </row>
    <row r="717" spans="1:28" ht="13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71"/>
      <c r="Y717" s="13"/>
      <c r="Z717" s="13"/>
      <c r="AA717" s="13"/>
      <c r="AB717" s="13"/>
    </row>
    <row r="718" spans="1:28" ht="13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71"/>
      <c r="Y718" s="13"/>
      <c r="Z718" s="13"/>
      <c r="AA718" s="13"/>
      <c r="AB718" s="13"/>
    </row>
    <row r="719" spans="1:28" ht="13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71"/>
      <c r="Y719" s="13"/>
      <c r="Z719" s="13"/>
      <c r="AA719" s="13"/>
      <c r="AB719" s="13"/>
    </row>
    <row r="720" spans="1:28" ht="13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71"/>
      <c r="Y720" s="13"/>
      <c r="Z720" s="13"/>
      <c r="AA720" s="13"/>
      <c r="AB720" s="13"/>
    </row>
    <row r="721" spans="1:28" ht="13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71"/>
      <c r="Y721" s="13"/>
      <c r="Z721" s="13"/>
      <c r="AA721" s="13"/>
      <c r="AB721" s="13"/>
    </row>
    <row r="722" spans="1:28" ht="13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71"/>
      <c r="Y722" s="13"/>
      <c r="Z722" s="13"/>
      <c r="AA722" s="13"/>
      <c r="AB722" s="13"/>
    </row>
    <row r="723" spans="1:28" ht="13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71"/>
      <c r="Y723" s="13"/>
      <c r="Z723" s="13"/>
      <c r="AA723" s="13"/>
      <c r="AB723" s="13"/>
    </row>
    <row r="724" spans="1:28" ht="13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71"/>
      <c r="Y724" s="13"/>
      <c r="Z724" s="13"/>
      <c r="AA724" s="13"/>
      <c r="AB724" s="13"/>
    </row>
    <row r="725" spans="1:28" ht="13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71"/>
      <c r="Y725" s="13"/>
      <c r="Z725" s="13"/>
      <c r="AA725" s="13"/>
      <c r="AB725" s="13"/>
    </row>
    <row r="726" spans="1:28" ht="13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71"/>
      <c r="Y726" s="13"/>
      <c r="Z726" s="13"/>
      <c r="AA726" s="13"/>
      <c r="AB726" s="13"/>
    </row>
    <row r="727" spans="1:28" ht="13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71"/>
      <c r="Y727" s="13"/>
      <c r="Z727" s="13"/>
      <c r="AA727" s="13"/>
      <c r="AB727" s="13"/>
    </row>
    <row r="728" spans="1:28" ht="13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71"/>
      <c r="Y728" s="13"/>
      <c r="Z728" s="13"/>
      <c r="AA728" s="13"/>
      <c r="AB728" s="13"/>
    </row>
    <row r="729" spans="1:28" ht="13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71"/>
      <c r="Y729" s="13"/>
      <c r="Z729" s="13"/>
      <c r="AA729" s="13"/>
      <c r="AB729" s="13"/>
    </row>
    <row r="730" spans="1:28" ht="13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71"/>
      <c r="Y730" s="13"/>
      <c r="Z730" s="13"/>
      <c r="AA730" s="13"/>
      <c r="AB730" s="13"/>
    </row>
    <row r="731" spans="1:28" ht="13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71"/>
      <c r="Y731" s="13"/>
      <c r="Z731" s="13"/>
      <c r="AA731" s="13"/>
      <c r="AB731" s="13"/>
    </row>
    <row r="732" spans="1:28" ht="13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71"/>
      <c r="Y732" s="13"/>
      <c r="Z732" s="13"/>
      <c r="AA732" s="13"/>
      <c r="AB732" s="13"/>
    </row>
    <row r="733" spans="1:28" ht="13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71"/>
      <c r="Y733" s="13"/>
      <c r="Z733" s="13"/>
      <c r="AA733" s="13"/>
      <c r="AB733" s="13"/>
    </row>
    <row r="734" spans="1:28" ht="13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71"/>
      <c r="Y734" s="13"/>
      <c r="Z734" s="13"/>
      <c r="AA734" s="13"/>
      <c r="AB734" s="13"/>
    </row>
    <row r="735" spans="1:28" ht="13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71"/>
      <c r="Y735" s="13"/>
      <c r="Z735" s="13"/>
      <c r="AA735" s="13"/>
      <c r="AB735" s="13"/>
    </row>
    <row r="736" spans="1:28" ht="13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71"/>
      <c r="Y736" s="13"/>
      <c r="Z736" s="13"/>
      <c r="AA736" s="13"/>
      <c r="AB736" s="13"/>
    </row>
    <row r="737" spans="1:28" ht="13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71"/>
      <c r="Y737" s="13"/>
      <c r="Z737" s="13"/>
      <c r="AA737" s="13"/>
      <c r="AB737" s="13"/>
    </row>
    <row r="738" spans="1:28" ht="13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71"/>
      <c r="Y738" s="13"/>
      <c r="Z738" s="13"/>
      <c r="AA738" s="13"/>
      <c r="AB738" s="13"/>
    </row>
    <row r="739" spans="1:28" ht="13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71"/>
      <c r="Y739" s="13"/>
      <c r="Z739" s="13"/>
      <c r="AA739" s="13"/>
      <c r="AB739" s="13"/>
    </row>
    <row r="740" spans="1:28" ht="13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71"/>
      <c r="Y740" s="13"/>
      <c r="Z740" s="13"/>
      <c r="AA740" s="13"/>
      <c r="AB740" s="13"/>
    </row>
    <row r="741" spans="1:28" ht="13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71"/>
      <c r="Y741" s="13"/>
      <c r="Z741" s="13"/>
      <c r="AA741" s="13"/>
      <c r="AB741" s="13"/>
    </row>
    <row r="742" spans="1:28" ht="13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71"/>
      <c r="Y742" s="13"/>
      <c r="Z742" s="13"/>
      <c r="AA742" s="13"/>
      <c r="AB742" s="13"/>
    </row>
    <row r="743" spans="1:28" ht="13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71"/>
      <c r="Y743" s="13"/>
      <c r="Z743" s="13"/>
      <c r="AA743" s="13"/>
      <c r="AB743" s="13"/>
    </row>
    <row r="744" spans="1:28" ht="13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71"/>
      <c r="Y744" s="13"/>
      <c r="Z744" s="13"/>
      <c r="AA744" s="13"/>
      <c r="AB744" s="13"/>
    </row>
    <row r="745" spans="1:28" ht="13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71"/>
      <c r="Y745" s="13"/>
      <c r="Z745" s="13"/>
      <c r="AA745" s="13"/>
      <c r="AB745" s="13"/>
    </row>
    <row r="746" spans="1:28" ht="13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71"/>
      <c r="Y746" s="13"/>
      <c r="Z746" s="13"/>
      <c r="AA746" s="13"/>
      <c r="AB746" s="13"/>
    </row>
    <row r="747" spans="1:28" ht="13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71"/>
      <c r="Y747" s="13"/>
      <c r="Z747" s="13"/>
      <c r="AA747" s="13"/>
      <c r="AB747" s="13"/>
    </row>
    <row r="748" spans="1:28" ht="13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71"/>
      <c r="Y748" s="13"/>
      <c r="Z748" s="13"/>
      <c r="AA748" s="13"/>
      <c r="AB748" s="13"/>
    </row>
    <row r="749" spans="1:28" ht="13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71"/>
      <c r="Y749" s="13"/>
      <c r="Z749" s="13"/>
      <c r="AA749" s="13"/>
      <c r="AB749" s="13"/>
    </row>
    <row r="750" spans="1:28" ht="13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71"/>
      <c r="Y750" s="13"/>
      <c r="Z750" s="13"/>
      <c r="AA750" s="13"/>
      <c r="AB750" s="13"/>
    </row>
    <row r="751" spans="1:28" ht="13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71"/>
      <c r="Y751" s="13"/>
      <c r="Z751" s="13"/>
      <c r="AA751" s="13"/>
      <c r="AB751" s="13"/>
    </row>
    <row r="752" spans="1:28" ht="13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71"/>
      <c r="Y752" s="13"/>
      <c r="Z752" s="13"/>
      <c r="AA752" s="13"/>
      <c r="AB752" s="13"/>
    </row>
    <row r="753" spans="1:28" ht="13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71"/>
      <c r="Y753" s="13"/>
      <c r="Z753" s="13"/>
      <c r="AA753" s="13"/>
      <c r="AB753" s="13"/>
    </row>
    <row r="754" spans="1:28" ht="13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71"/>
      <c r="Y754" s="13"/>
      <c r="Z754" s="13"/>
      <c r="AA754" s="13"/>
      <c r="AB754" s="13"/>
    </row>
    <row r="755" spans="1:28" ht="13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71"/>
      <c r="Y755" s="13"/>
      <c r="Z755" s="13"/>
      <c r="AA755" s="13"/>
      <c r="AB755" s="13"/>
    </row>
    <row r="756" spans="1:28" ht="13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71"/>
      <c r="Y756" s="13"/>
      <c r="Z756" s="13"/>
      <c r="AA756" s="13"/>
      <c r="AB756" s="13"/>
    </row>
    <row r="757" spans="1:28" ht="13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71"/>
      <c r="Y757" s="13"/>
      <c r="Z757" s="13"/>
      <c r="AA757" s="13"/>
      <c r="AB757" s="13"/>
    </row>
    <row r="758" spans="1:28" ht="13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71"/>
      <c r="Y758" s="13"/>
      <c r="Z758" s="13"/>
      <c r="AA758" s="13"/>
      <c r="AB758" s="13"/>
    </row>
    <row r="759" spans="1:28" ht="13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71"/>
      <c r="Y759" s="13"/>
      <c r="Z759" s="13"/>
      <c r="AA759" s="13"/>
      <c r="AB759" s="13"/>
    </row>
    <row r="760" spans="1:28" ht="13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71"/>
      <c r="Y760" s="13"/>
      <c r="Z760" s="13"/>
      <c r="AA760" s="13"/>
      <c r="AB760" s="13"/>
    </row>
    <row r="761" spans="1:28" ht="13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71"/>
      <c r="Y761" s="13"/>
      <c r="Z761" s="13"/>
      <c r="AA761" s="13"/>
      <c r="AB761" s="13"/>
    </row>
    <row r="762" spans="1:28" ht="13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71"/>
      <c r="Y762" s="13"/>
      <c r="Z762" s="13"/>
      <c r="AA762" s="13"/>
      <c r="AB762" s="13"/>
    </row>
    <row r="763" spans="1:28" ht="13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71"/>
      <c r="Y763" s="13"/>
      <c r="Z763" s="13"/>
      <c r="AA763" s="13"/>
      <c r="AB763" s="13"/>
    </row>
    <row r="764" spans="1:28" ht="13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71"/>
      <c r="Y764" s="13"/>
      <c r="Z764" s="13"/>
      <c r="AA764" s="13"/>
      <c r="AB764" s="13"/>
    </row>
    <row r="765" spans="1:28" ht="13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71"/>
      <c r="Y765" s="13"/>
      <c r="Z765" s="13"/>
      <c r="AA765" s="13"/>
      <c r="AB765" s="13"/>
    </row>
    <row r="766" spans="1:28" ht="13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71"/>
      <c r="Y766" s="13"/>
      <c r="Z766" s="13"/>
      <c r="AA766" s="13"/>
      <c r="AB766" s="13"/>
    </row>
    <row r="767" spans="1:28" ht="13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71"/>
      <c r="Y767" s="13"/>
      <c r="Z767" s="13"/>
      <c r="AA767" s="13"/>
      <c r="AB767" s="13"/>
    </row>
    <row r="768" spans="1:28" ht="13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71"/>
      <c r="Y768" s="13"/>
      <c r="Z768" s="13"/>
      <c r="AA768" s="13"/>
      <c r="AB768" s="13"/>
    </row>
    <row r="769" spans="1:28" ht="13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71"/>
      <c r="Y769" s="13"/>
      <c r="Z769" s="13"/>
      <c r="AA769" s="13"/>
      <c r="AB769" s="13"/>
    </row>
    <row r="770" spans="1:28" ht="13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71"/>
      <c r="Y770" s="13"/>
      <c r="Z770" s="13"/>
      <c r="AA770" s="13"/>
      <c r="AB770" s="13"/>
    </row>
    <row r="771" spans="1:28" ht="13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71"/>
      <c r="Y771" s="13"/>
      <c r="Z771" s="13"/>
      <c r="AA771" s="13"/>
      <c r="AB771" s="13"/>
    </row>
    <row r="772" spans="1:28" ht="13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71"/>
      <c r="Y772" s="13"/>
      <c r="Z772" s="13"/>
      <c r="AA772" s="13"/>
      <c r="AB772" s="13"/>
    </row>
    <row r="773" spans="1:28" ht="13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71"/>
      <c r="Y773" s="13"/>
      <c r="Z773" s="13"/>
      <c r="AA773" s="13"/>
      <c r="AB773" s="13"/>
    </row>
    <row r="774" spans="1:28" ht="13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71"/>
      <c r="Y774" s="13"/>
      <c r="Z774" s="13"/>
      <c r="AA774" s="13"/>
      <c r="AB774" s="13"/>
    </row>
    <row r="775" spans="1:28" ht="13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71"/>
      <c r="Y775" s="13"/>
      <c r="Z775" s="13"/>
      <c r="AA775" s="13"/>
      <c r="AB775" s="13"/>
    </row>
    <row r="776" spans="1:28" ht="13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71"/>
      <c r="Y776" s="13"/>
      <c r="Z776" s="13"/>
      <c r="AA776" s="13"/>
      <c r="AB776" s="13"/>
    </row>
    <row r="777" spans="1:28" ht="13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71"/>
      <c r="Y777" s="13"/>
      <c r="Z777" s="13"/>
      <c r="AA777" s="13"/>
      <c r="AB777" s="13"/>
    </row>
    <row r="778" spans="1:28" ht="13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71"/>
      <c r="Y778" s="13"/>
      <c r="Z778" s="13"/>
      <c r="AA778" s="13"/>
      <c r="AB778" s="13"/>
    </row>
    <row r="779" spans="1:28" ht="13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71"/>
      <c r="Y779" s="13"/>
      <c r="Z779" s="13"/>
      <c r="AA779" s="13"/>
      <c r="AB779" s="13"/>
    </row>
    <row r="780" spans="1:28" ht="13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71"/>
      <c r="Y780" s="13"/>
      <c r="Z780" s="13"/>
      <c r="AA780" s="13"/>
      <c r="AB780" s="13"/>
    </row>
    <row r="781" spans="1:28" ht="13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71"/>
      <c r="Y781" s="13"/>
      <c r="Z781" s="13"/>
      <c r="AA781" s="13"/>
      <c r="AB781" s="13"/>
    </row>
    <row r="782" spans="1:28" ht="13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71"/>
      <c r="Y782" s="13"/>
      <c r="Z782" s="13"/>
      <c r="AA782" s="13"/>
      <c r="AB782" s="13"/>
    </row>
    <row r="783" spans="1:28" ht="13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71"/>
      <c r="Y783" s="13"/>
      <c r="Z783" s="13"/>
      <c r="AA783" s="13"/>
      <c r="AB783" s="13"/>
    </row>
    <row r="784" spans="1:28" ht="13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71"/>
      <c r="Y784" s="13"/>
      <c r="Z784" s="13"/>
      <c r="AA784" s="13"/>
      <c r="AB784" s="13"/>
    </row>
    <row r="785" spans="1:28" ht="13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71"/>
      <c r="Y785" s="13"/>
      <c r="Z785" s="13"/>
      <c r="AA785" s="13"/>
      <c r="AB785" s="13"/>
    </row>
    <row r="786" spans="1:28" ht="13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71"/>
      <c r="Y786" s="13"/>
      <c r="Z786" s="13"/>
      <c r="AA786" s="13"/>
      <c r="AB786" s="13"/>
    </row>
    <row r="787" spans="1:28" ht="13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71"/>
      <c r="Y787" s="13"/>
      <c r="Z787" s="13"/>
      <c r="AA787" s="13"/>
      <c r="AB787" s="13"/>
    </row>
    <row r="788" spans="1:28" ht="13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71"/>
      <c r="Y788" s="13"/>
      <c r="Z788" s="13"/>
      <c r="AA788" s="13"/>
      <c r="AB788" s="13"/>
    </row>
    <row r="789" spans="1:28" ht="13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71"/>
      <c r="Y789" s="13"/>
      <c r="Z789" s="13"/>
      <c r="AA789" s="13"/>
      <c r="AB789" s="13"/>
    </row>
    <row r="790" spans="1:28" ht="13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71"/>
      <c r="Y790" s="13"/>
      <c r="Z790" s="13"/>
      <c r="AA790" s="13"/>
      <c r="AB790" s="13"/>
    </row>
    <row r="791" spans="1:28" ht="13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71"/>
      <c r="Y791" s="13"/>
      <c r="Z791" s="13"/>
      <c r="AA791" s="13"/>
      <c r="AB791" s="13"/>
    </row>
    <row r="792" spans="1:28" ht="13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71"/>
      <c r="Y792" s="13"/>
      <c r="Z792" s="13"/>
      <c r="AA792" s="13"/>
      <c r="AB792" s="13"/>
    </row>
    <row r="793" spans="1:28" ht="13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71"/>
      <c r="Y793" s="13"/>
      <c r="Z793" s="13"/>
      <c r="AA793" s="13"/>
      <c r="AB793" s="13"/>
    </row>
    <row r="794" spans="1:28" ht="13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71"/>
      <c r="Y794" s="13"/>
      <c r="Z794" s="13"/>
      <c r="AA794" s="13"/>
      <c r="AB794" s="13"/>
    </row>
    <row r="795" spans="1:28" ht="13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71"/>
      <c r="Y795" s="13"/>
      <c r="Z795" s="13"/>
      <c r="AA795" s="13"/>
      <c r="AB795" s="13"/>
    </row>
    <row r="796" spans="1:28" ht="13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71"/>
      <c r="Y796" s="13"/>
      <c r="Z796" s="13"/>
      <c r="AA796" s="13"/>
      <c r="AB796" s="13"/>
    </row>
    <row r="797" spans="1:28" ht="13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71"/>
      <c r="Y797" s="13"/>
      <c r="Z797" s="13"/>
      <c r="AA797" s="13"/>
      <c r="AB797" s="13"/>
    </row>
    <row r="798" spans="1:28" ht="13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71"/>
      <c r="Y798" s="13"/>
      <c r="Z798" s="13"/>
      <c r="AA798" s="13"/>
      <c r="AB798" s="13"/>
    </row>
    <row r="799" spans="1:28" ht="13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71"/>
      <c r="Y799" s="13"/>
      <c r="Z799" s="13"/>
      <c r="AA799" s="13"/>
      <c r="AB799" s="13"/>
    </row>
    <row r="800" spans="1:28" ht="13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71"/>
      <c r="Y800" s="13"/>
      <c r="Z800" s="13"/>
      <c r="AA800" s="13"/>
      <c r="AB800" s="13"/>
    </row>
    <row r="801" spans="1:28" ht="13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71"/>
      <c r="Y801" s="13"/>
      <c r="Z801" s="13"/>
      <c r="AA801" s="13"/>
      <c r="AB801" s="13"/>
    </row>
    <row r="802" spans="1:28" ht="13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71"/>
      <c r="Y802" s="13"/>
      <c r="Z802" s="13"/>
      <c r="AA802" s="13"/>
      <c r="AB802" s="13"/>
    </row>
    <row r="803" spans="1:28" ht="13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71"/>
      <c r="Y803" s="13"/>
      <c r="Z803" s="13"/>
      <c r="AA803" s="13"/>
      <c r="AB803" s="13"/>
    </row>
    <row r="804" spans="1:28" ht="13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71"/>
      <c r="Y804" s="13"/>
      <c r="Z804" s="13"/>
      <c r="AA804" s="13"/>
      <c r="AB804" s="13"/>
    </row>
    <row r="805" spans="1:28" ht="13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71"/>
      <c r="Y805" s="13"/>
      <c r="Z805" s="13"/>
      <c r="AA805" s="13"/>
      <c r="AB805" s="13"/>
    </row>
    <row r="806" spans="1:28" ht="13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71"/>
      <c r="Y806" s="13"/>
      <c r="Z806" s="13"/>
      <c r="AA806" s="13"/>
      <c r="AB806" s="13"/>
    </row>
    <row r="807" spans="1:28" ht="13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71"/>
      <c r="Y807" s="13"/>
      <c r="Z807" s="13"/>
      <c r="AA807" s="13"/>
      <c r="AB807" s="13"/>
    </row>
    <row r="808" spans="1:28" ht="13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71"/>
      <c r="Y808" s="13"/>
      <c r="Z808" s="13"/>
      <c r="AA808" s="13"/>
      <c r="AB808" s="13"/>
    </row>
    <row r="809" spans="1:28" ht="13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71"/>
      <c r="Y809" s="13"/>
      <c r="Z809" s="13"/>
      <c r="AA809" s="13"/>
      <c r="AB809" s="13"/>
    </row>
    <row r="810" spans="1:28" ht="13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71"/>
      <c r="Y810" s="13"/>
      <c r="Z810" s="13"/>
      <c r="AA810" s="13"/>
      <c r="AB810" s="13"/>
    </row>
    <row r="811" spans="1:28" ht="13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71"/>
      <c r="Y811" s="13"/>
      <c r="Z811" s="13"/>
      <c r="AA811" s="13"/>
      <c r="AB811" s="13"/>
    </row>
    <row r="812" spans="1:28" ht="13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71"/>
      <c r="Y812" s="13"/>
      <c r="Z812" s="13"/>
      <c r="AA812" s="13"/>
      <c r="AB812" s="13"/>
    </row>
    <row r="813" spans="1:28" ht="13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71"/>
      <c r="Y813" s="13"/>
      <c r="Z813" s="13"/>
      <c r="AA813" s="13"/>
      <c r="AB813" s="13"/>
    </row>
    <row r="814" spans="1:28" ht="13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71"/>
      <c r="Y814" s="13"/>
      <c r="Z814" s="13"/>
      <c r="AA814" s="13"/>
      <c r="AB814" s="13"/>
    </row>
    <row r="815" spans="1:28" ht="13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71"/>
      <c r="Y815" s="13"/>
      <c r="Z815" s="13"/>
      <c r="AA815" s="13"/>
      <c r="AB815" s="13"/>
    </row>
    <row r="816" spans="1:28" ht="13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71"/>
      <c r="Y816" s="13"/>
      <c r="Z816" s="13"/>
      <c r="AA816" s="13"/>
      <c r="AB816" s="13"/>
    </row>
    <row r="817" spans="1:28" ht="13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71"/>
      <c r="Y817" s="13"/>
      <c r="Z817" s="13"/>
      <c r="AA817" s="13"/>
      <c r="AB817" s="13"/>
    </row>
    <row r="818" spans="1:28" ht="13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71"/>
      <c r="Y818" s="13"/>
      <c r="Z818" s="13"/>
      <c r="AA818" s="13"/>
      <c r="AB818" s="13"/>
    </row>
    <row r="819" spans="1:28" ht="13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71"/>
      <c r="Y819" s="13"/>
      <c r="Z819" s="13"/>
      <c r="AA819" s="13"/>
      <c r="AB819" s="13"/>
    </row>
    <row r="820" spans="1:28" ht="13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71"/>
      <c r="Y820" s="13"/>
      <c r="Z820" s="13"/>
      <c r="AA820" s="13"/>
      <c r="AB820" s="13"/>
    </row>
    <row r="821" spans="1:28" ht="13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71"/>
      <c r="Y821" s="13"/>
      <c r="Z821" s="13"/>
      <c r="AA821" s="13"/>
      <c r="AB821" s="13"/>
    </row>
    <row r="822" spans="1:28" ht="13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71"/>
      <c r="Y822" s="13"/>
      <c r="Z822" s="13"/>
      <c r="AA822" s="13"/>
      <c r="AB822" s="13"/>
    </row>
    <row r="823" spans="1:28" ht="13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71"/>
      <c r="Y823" s="13"/>
      <c r="Z823" s="13"/>
      <c r="AA823" s="13"/>
      <c r="AB823" s="13"/>
    </row>
    <row r="824" spans="1:28" ht="13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71"/>
      <c r="Y824" s="13"/>
      <c r="Z824" s="13"/>
      <c r="AA824" s="13"/>
      <c r="AB824" s="13"/>
    </row>
    <row r="825" spans="1:28" ht="13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71"/>
      <c r="Y825" s="13"/>
      <c r="Z825" s="13"/>
      <c r="AA825" s="13"/>
      <c r="AB825" s="13"/>
    </row>
    <row r="826" spans="1:28" ht="13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71"/>
      <c r="Y826" s="13"/>
      <c r="Z826" s="13"/>
      <c r="AA826" s="13"/>
      <c r="AB826" s="13"/>
    </row>
    <row r="827" spans="1:28" ht="13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71"/>
      <c r="Y827" s="13"/>
      <c r="Z827" s="13"/>
      <c r="AA827" s="13"/>
      <c r="AB827" s="13"/>
    </row>
    <row r="828" spans="1:28" ht="13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71"/>
      <c r="Y828" s="13"/>
      <c r="Z828" s="13"/>
      <c r="AA828" s="13"/>
      <c r="AB828" s="13"/>
    </row>
    <row r="829" spans="1:28" ht="13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71"/>
      <c r="Y829" s="13"/>
      <c r="Z829" s="13"/>
      <c r="AA829" s="13"/>
      <c r="AB829" s="13"/>
    </row>
    <row r="830" spans="1:28" ht="13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71"/>
      <c r="Y830" s="13"/>
      <c r="Z830" s="13"/>
      <c r="AA830" s="13"/>
      <c r="AB830" s="13"/>
    </row>
    <row r="831" spans="1:28" ht="13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71"/>
      <c r="Y831" s="13"/>
      <c r="Z831" s="13"/>
      <c r="AA831" s="13"/>
      <c r="AB831" s="13"/>
    </row>
    <row r="832" spans="1:28" ht="13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71"/>
      <c r="Y832" s="13"/>
      <c r="Z832" s="13"/>
      <c r="AA832" s="13"/>
      <c r="AB832" s="13"/>
    </row>
    <row r="833" spans="1:28" ht="13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71"/>
      <c r="Y833" s="13"/>
      <c r="Z833" s="13"/>
      <c r="AA833" s="13"/>
      <c r="AB833" s="13"/>
    </row>
    <row r="834" spans="1:28" ht="13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71"/>
      <c r="Y834" s="13"/>
      <c r="Z834" s="13"/>
      <c r="AA834" s="13"/>
      <c r="AB834" s="13"/>
    </row>
    <row r="835" spans="1:28" ht="13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71"/>
      <c r="Y835" s="13"/>
      <c r="Z835" s="13"/>
      <c r="AA835" s="13"/>
      <c r="AB835" s="13"/>
    </row>
    <row r="836" spans="1:28" ht="13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71"/>
      <c r="Y836" s="13"/>
      <c r="Z836" s="13"/>
      <c r="AA836" s="13"/>
      <c r="AB836" s="13"/>
    </row>
    <row r="837" spans="1:28" ht="13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71"/>
      <c r="Y837" s="13"/>
      <c r="Z837" s="13"/>
      <c r="AA837" s="13"/>
      <c r="AB837" s="13"/>
    </row>
    <row r="838" spans="1:28" ht="13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71"/>
      <c r="Y838" s="13"/>
      <c r="Z838" s="13"/>
      <c r="AA838" s="13"/>
      <c r="AB838" s="13"/>
    </row>
    <row r="839" spans="1:28" ht="13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71"/>
      <c r="Y839" s="13"/>
      <c r="Z839" s="13"/>
      <c r="AA839" s="13"/>
      <c r="AB839" s="13"/>
    </row>
    <row r="840" spans="1:28" ht="13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71"/>
      <c r="Y840" s="13"/>
      <c r="Z840" s="13"/>
      <c r="AA840" s="13"/>
      <c r="AB840" s="13"/>
    </row>
    <row r="841" spans="1:28" ht="13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71"/>
      <c r="Y841" s="13"/>
      <c r="Z841" s="13"/>
      <c r="AA841" s="13"/>
      <c r="AB841" s="13"/>
    </row>
    <row r="842" spans="1:28" ht="13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71"/>
      <c r="Y842" s="13"/>
      <c r="Z842" s="13"/>
      <c r="AA842" s="13"/>
      <c r="AB842" s="13"/>
    </row>
    <row r="843" spans="1:28" ht="13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71"/>
      <c r="Y843" s="13"/>
      <c r="Z843" s="13"/>
      <c r="AA843" s="13"/>
      <c r="AB843" s="13"/>
    </row>
    <row r="844" spans="1:28" ht="13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71"/>
      <c r="Y844" s="13"/>
      <c r="Z844" s="13"/>
      <c r="AA844" s="13"/>
      <c r="AB844" s="13"/>
    </row>
    <row r="845" spans="1:28" ht="13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71"/>
      <c r="Y845" s="13"/>
      <c r="Z845" s="13"/>
      <c r="AA845" s="13"/>
      <c r="AB845" s="13"/>
    </row>
    <row r="846" spans="1:28" ht="13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71"/>
      <c r="Y846" s="13"/>
      <c r="Z846" s="13"/>
      <c r="AA846" s="13"/>
      <c r="AB846" s="13"/>
    </row>
    <row r="847" spans="1:28" ht="13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71"/>
      <c r="Y847" s="13"/>
      <c r="Z847" s="13"/>
      <c r="AA847" s="13"/>
      <c r="AB847" s="13"/>
    </row>
    <row r="848" spans="1:28" ht="13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71"/>
      <c r="Y848" s="13"/>
      <c r="Z848" s="13"/>
      <c r="AA848" s="13"/>
      <c r="AB848" s="13"/>
    </row>
    <row r="849" spans="1:28" ht="13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71"/>
      <c r="Y849" s="13"/>
      <c r="Z849" s="13"/>
      <c r="AA849" s="13"/>
      <c r="AB849" s="13"/>
    </row>
    <row r="850" spans="1:28" ht="13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71"/>
      <c r="Y850" s="13"/>
      <c r="Z850" s="13"/>
      <c r="AA850" s="13"/>
      <c r="AB850" s="13"/>
    </row>
    <row r="851" spans="1:28" ht="13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71"/>
      <c r="Y851" s="13"/>
      <c r="Z851" s="13"/>
      <c r="AA851" s="13"/>
      <c r="AB851" s="13"/>
    </row>
    <row r="852" spans="1:28" ht="13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71"/>
      <c r="Y852" s="13"/>
      <c r="Z852" s="13"/>
      <c r="AA852" s="13"/>
      <c r="AB852" s="13"/>
    </row>
    <row r="853" spans="1:28" ht="13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71"/>
      <c r="Y853" s="13"/>
      <c r="Z853" s="13"/>
      <c r="AA853" s="13"/>
      <c r="AB853" s="13"/>
    </row>
    <row r="854" spans="1:28" ht="13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71"/>
      <c r="Y854" s="13"/>
      <c r="Z854" s="13"/>
      <c r="AA854" s="13"/>
      <c r="AB854" s="13"/>
    </row>
    <row r="855" spans="1:28" ht="13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71"/>
      <c r="Y855" s="13"/>
      <c r="Z855" s="13"/>
      <c r="AA855" s="13"/>
      <c r="AB855" s="13"/>
    </row>
    <row r="856" spans="1:28" ht="13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71"/>
      <c r="Y856" s="13"/>
      <c r="Z856" s="13"/>
      <c r="AA856" s="13"/>
      <c r="AB856" s="13"/>
    </row>
    <row r="857" spans="1:28" ht="13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71"/>
      <c r="Y857" s="13"/>
      <c r="Z857" s="13"/>
      <c r="AA857" s="13"/>
      <c r="AB857" s="13"/>
    </row>
    <row r="858" spans="1:28" ht="13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71"/>
      <c r="Y858" s="13"/>
      <c r="Z858" s="13"/>
      <c r="AA858" s="13"/>
      <c r="AB858" s="13"/>
    </row>
    <row r="859" spans="1:28" ht="13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71"/>
      <c r="Y859" s="13"/>
      <c r="Z859" s="13"/>
      <c r="AA859" s="13"/>
      <c r="AB859" s="13"/>
    </row>
    <row r="860" spans="1:28" ht="13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71"/>
      <c r="Y860" s="13"/>
      <c r="Z860" s="13"/>
      <c r="AA860" s="13"/>
      <c r="AB860" s="13"/>
    </row>
    <row r="861" spans="1:28" ht="13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71"/>
      <c r="Y861" s="13"/>
      <c r="Z861" s="13"/>
      <c r="AA861" s="13"/>
      <c r="AB861" s="13"/>
    </row>
    <row r="862" spans="1:28" ht="13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71"/>
      <c r="Y862" s="13"/>
      <c r="Z862" s="13"/>
      <c r="AA862" s="13"/>
      <c r="AB862" s="13"/>
    </row>
    <row r="863" spans="1:28" ht="13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71"/>
      <c r="Y863" s="13"/>
      <c r="Z863" s="13"/>
      <c r="AA863" s="13"/>
      <c r="AB863" s="13"/>
    </row>
    <row r="864" spans="1:28" ht="13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71"/>
      <c r="Y864" s="13"/>
      <c r="Z864" s="13"/>
      <c r="AA864" s="13"/>
      <c r="AB864" s="13"/>
    </row>
    <row r="865" spans="1:28" ht="13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71"/>
      <c r="Y865" s="13"/>
      <c r="Z865" s="13"/>
      <c r="AA865" s="13"/>
      <c r="AB865" s="13"/>
    </row>
    <row r="866" spans="1:28" ht="13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71"/>
      <c r="Y866" s="13"/>
      <c r="Z866" s="13"/>
      <c r="AA866" s="13"/>
      <c r="AB866" s="13"/>
    </row>
    <row r="867" spans="1:28" ht="13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71"/>
      <c r="Y867" s="13"/>
      <c r="Z867" s="13"/>
      <c r="AA867" s="13"/>
      <c r="AB867" s="13"/>
    </row>
    <row r="868" spans="1:28" ht="13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71"/>
      <c r="Y868" s="13"/>
      <c r="Z868" s="13"/>
      <c r="AA868" s="13"/>
      <c r="AB868" s="13"/>
    </row>
    <row r="869" spans="1:28" ht="13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71"/>
      <c r="Y869" s="13"/>
      <c r="Z869" s="13"/>
      <c r="AA869" s="13"/>
      <c r="AB869" s="13"/>
    </row>
    <row r="870" spans="1:28" ht="13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71"/>
      <c r="Y870" s="13"/>
      <c r="Z870" s="13"/>
      <c r="AA870" s="13"/>
      <c r="AB870" s="13"/>
    </row>
    <row r="871" spans="1:28" ht="13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71"/>
      <c r="Y871" s="13"/>
      <c r="Z871" s="13"/>
      <c r="AA871" s="13"/>
      <c r="AB871" s="13"/>
    </row>
    <row r="872" spans="1:28" ht="13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71"/>
      <c r="Y872" s="13"/>
      <c r="Z872" s="13"/>
      <c r="AA872" s="13"/>
      <c r="AB872" s="13"/>
    </row>
    <row r="873" spans="1:28" ht="13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71"/>
      <c r="Y873" s="13"/>
      <c r="Z873" s="13"/>
      <c r="AA873" s="13"/>
      <c r="AB873" s="13"/>
    </row>
    <row r="874" spans="1:28" ht="13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71"/>
      <c r="Y874" s="13"/>
      <c r="Z874" s="13"/>
      <c r="AA874" s="13"/>
      <c r="AB874" s="13"/>
    </row>
    <row r="875" spans="1:28" ht="13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71"/>
      <c r="Y875" s="13"/>
      <c r="Z875" s="13"/>
      <c r="AA875" s="13"/>
      <c r="AB875" s="13"/>
    </row>
    <row r="876" spans="1:28" ht="13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71"/>
      <c r="Y876" s="13"/>
      <c r="Z876" s="13"/>
      <c r="AA876" s="13"/>
      <c r="AB876" s="13"/>
    </row>
    <row r="877" spans="1:28" ht="13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71"/>
      <c r="Y877" s="13"/>
      <c r="Z877" s="13"/>
      <c r="AA877" s="13"/>
      <c r="AB877" s="13"/>
    </row>
    <row r="878" spans="1:28" ht="13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71"/>
      <c r="Y878" s="13"/>
      <c r="Z878" s="13"/>
      <c r="AA878" s="13"/>
      <c r="AB878" s="13"/>
    </row>
    <row r="879" spans="1:28" ht="13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71"/>
      <c r="Y879" s="13"/>
      <c r="Z879" s="13"/>
      <c r="AA879" s="13"/>
      <c r="AB879" s="13"/>
    </row>
    <row r="880" spans="1:28" ht="13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71"/>
      <c r="Y880" s="13"/>
      <c r="Z880" s="13"/>
      <c r="AA880" s="13"/>
      <c r="AB880" s="13"/>
    </row>
    <row r="881" spans="1:28" ht="13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71"/>
      <c r="Y881" s="13"/>
      <c r="Z881" s="13"/>
      <c r="AA881" s="13"/>
      <c r="AB881" s="13"/>
    </row>
    <row r="882" spans="1:28" ht="13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71"/>
      <c r="Y882" s="13"/>
      <c r="Z882" s="13"/>
      <c r="AA882" s="13"/>
      <c r="AB882" s="13"/>
    </row>
    <row r="883" spans="1:28" ht="13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71"/>
      <c r="Y883" s="13"/>
      <c r="Z883" s="13"/>
      <c r="AA883" s="13"/>
      <c r="AB883" s="13"/>
    </row>
    <row r="884" spans="1:28" ht="13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71"/>
      <c r="Y884" s="13"/>
      <c r="Z884" s="13"/>
      <c r="AA884" s="13"/>
      <c r="AB884" s="13"/>
    </row>
    <row r="885" spans="1:28" ht="13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71"/>
      <c r="Y885" s="13"/>
      <c r="Z885" s="13"/>
      <c r="AA885" s="13"/>
      <c r="AB885" s="13"/>
    </row>
    <row r="886" spans="1:28" ht="13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71"/>
      <c r="Y886" s="13"/>
      <c r="Z886" s="13"/>
      <c r="AA886" s="13"/>
      <c r="AB886" s="13"/>
    </row>
    <row r="887" spans="1:28" ht="13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71"/>
      <c r="Y887" s="13"/>
      <c r="Z887" s="13"/>
      <c r="AA887" s="13"/>
      <c r="AB887" s="13"/>
    </row>
    <row r="888" spans="1:28" ht="13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71"/>
      <c r="Y888" s="13"/>
      <c r="Z888" s="13"/>
      <c r="AA888" s="13"/>
      <c r="AB888" s="13"/>
    </row>
    <row r="889" spans="1:28" ht="13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71"/>
      <c r="Y889" s="13"/>
      <c r="Z889" s="13"/>
      <c r="AA889" s="13"/>
      <c r="AB889" s="13"/>
    </row>
    <row r="890" spans="1:28" ht="13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71"/>
      <c r="Y890" s="13"/>
      <c r="Z890" s="13"/>
      <c r="AA890" s="13"/>
      <c r="AB890" s="13"/>
    </row>
    <row r="891" spans="1:28" ht="13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71"/>
      <c r="Y891" s="13"/>
      <c r="Z891" s="13"/>
      <c r="AA891" s="13"/>
      <c r="AB891" s="13"/>
    </row>
    <row r="892" spans="1:28" ht="13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71"/>
      <c r="Y892" s="13"/>
      <c r="Z892" s="13"/>
      <c r="AA892" s="13"/>
      <c r="AB892" s="13"/>
    </row>
    <row r="893" spans="1:28" ht="13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71"/>
      <c r="Y893" s="13"/>
      <c r="Z893" s="13"/>
      <c r="AA893" s="13"/>
      <c r="AB893" s="13"/>
    </row>
    <row r="894" spans="1:28" ht="13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71"/>
      <c r="Y894" s="13"/>
      <c r="Z894" s="13"/>
      <c r="AA894" s="13"/>
      <c r="AB894" s="13"/>
    </row>
    <row r="895" spans="1:28" ht="13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71"/>
      <c r="Y895" s="13"/>
      <c r="Z895" s="13"/>
      <c r="AA895" s="13"/>
      <c r="AB895" s="13"/>
    </row>
    <row r="896" spans="1:28" ht="13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71"/>
      <c r="Y896" s="13"/>
      <c r="Z896" s="13"/>
      <c r="AA896" s="13"/>
      <c r="AB896" s="13"/>
    </row>
    <row r="897" spans="1:28" ht="13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71"/>
      <c r="Y897" s="13"/>
      <c r="Z897" s="13"/>
      <c r="AA897" s="13"/>
      <c r="AB897" s="13"/>
    </row>
    <row r="898" spans="1:28" ht="13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71"/>
      <c r="Y898" s="13"/>
      <c r="Z898" s="13"/>
      <c r="AA898" s="13"/>
      <c r="AB898" s="13"/>
    </row>
    <row r="899" spans="1:28" ht="13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71"/>
      <c r="Y899" s="13"/>
      <c r="Z899" s="13"/>
      <c r="AA899" s="13"/>
      <c r="AB899" s="13"/>
    </row>
    <row r="900" spans="1:28" ht="13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71"/>
      <c r="Y900" s="13"/>
      <c r="Z900" s="13"/>
      <c r="AA900" s="13"/>
      <c r="AB900" s="13"/>
    </row>
    <row r="901" spans="1:28" ht="13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71"/>
      <c r="Y901" s="13"/>
      <c r="Z901" s="13"/>
      <c r="AA901" s="13"/>
      <c r="AB901" s="13"/>
    </row>
    <row r="902" spans="1:28" ht="13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71"/>
      <c r="Y902" s="13"/>
      <c r="Z902" s="13"/>
      <c r="AA902" s="13"/>
      <c r="AB902" s="13"/>
    </row>
    <row r="903" spans="1:28" ht="13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71"/>
      <c r="Y903" s="13"/>
      <c r="Z903" s="13"/>
      <c r="AA903" s="13"/>
      <c r="AB903" s="13"/>
    </row>
    <row r="904" spans="1:28" ht="13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71"/>
      <c r="Y904" s="13"/>
      <c r="Z904" s="13"/>
      <c r="AA904" s="13"/>
      <c r="AB904" s="13"/>
    </row>
    <row r="905" spans="1:28" ht="13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71"/>
      <c r="Y905" s="13"/>
      <c r="Z905" s="13"/>
      <c r="AA905" s="13"/>
      <c r="AB905" s="13"/>
    </row>
    <row r="906" spans="1:28" ht="13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71"/>
      <c r="Y906" s="13"/>
      <c r="Z906" s="13"/>
      <c r="AA906" s="13"/>
      <c r="AB906" s="13"/>
    </row>
    <row r="907" spans="1:28" ht="13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71"/>
      <c r="Y907" s="13"/>
      <c r="Z907" s="13"/>
      <c r="AA907" s="13"/>
      <c r="AB907" s="13"/>
    </row>
    <row r="908" spans="1:28" ht="13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71"/>
      <c r="Y908" s="13"/>
      <c r="Z908" s="13"/>
      <c r="AA908" s="13"/>
      <c r="AB908" s="13"/>
    </row>
    <row r="909" spans="1:28" ht="13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71"/>
      <c r="Y909" s="13"/>
      <c r="Z909" s="13"/>
      <c r="AA909" s="13"/>
      <c r="AB909" s="13"/>
    </row>
    <row r="910" spans="1:28" ht="13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71"/>
      <c r="Y910" s="13"/>
      <c r="Z910" s="13"/>
      <c r="AA910" s="13"/>
      <c r="AB910" s="13"/>
    </row>
    <row r="911" spans="1:28" ht="13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71"/>
      <c r="Y911" s="13"/>
      <c r="Z911" s="13"/>
      <c r="AA911" s="13"/>
      <c r="AB911" s="13"/>
    </row>
    <row r="912" spans="1:28" ht="13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71"/>
      <c r="Y912" s="13"/>
      <c r="Z912" s="13"/>
      <c r="AA912" s="13"/>
      <c r="AB912" s="13"/>
    </row>
    <row r="913" spans="1:28" ht="13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71"/>
      <c r="Y913" s="13"/>
      <c r="Z913" s="13"/>
      <c r="AA913" s="13"/>
      <c r="AB913" s="13"/>
    </row>
    <row r="914" spans="1:28" ht="13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71"/>
      <c r="Y914" s="13"/>
      <c r="Z914" s="13"/>
      <c r="AA914" s="13"/>
      <c r="AB914" s="13"/>
    </row>
    <row r="915" spans="1:28" ht="13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71"/>
      <c r="Y915" s="13"/>
      <c r="Z915" s="13"/>
      <c r="AA915" s="13"/>
      <c r="AB915" s="13"/>
    </row>
    <row r="916" spans="1:28" ht="13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71"/>
      <c r="Y916" s="13"/>
      <c r="Z916" s="13"/>
      <c r="AA916" s="13"/>
      <c r="AB916" s="13"/>
    </row>
    <row r="917" spans="1:28" ht="13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71"/>
      <c r="Y917" s="13"/>
      <c r="Z917" s="13"/>
      <c r="AA917" s="13"/>
      <c r="AB917" s="13"/>
    </row>
    <row r="918" spans="1:28" ht="13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71"/>
      <c r="Y918" s="13"/>
      <c r="Z918" s="13"/>
      <c r="AA918" s="13"/>
      <c r="AB918" s="13"/>
    </row>
    <row r="919" spans="1:28" ht="13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71"/>
      <c r="Y919" s="13"/>
      <c r="Z919" s="13"/>
      <c r="AA919" s="13"/>
      <c r="AB919" s="13"/>
    </row>
    <row r="920" spans="1:28" ht="13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71"/>
      <c r="Y920" s="13"/>
      <c r="Z920" s="13"/>
      <c r="AA920" s="13"/>
      <c r="AB920" s="13"/>
    </row>
    <row r="921" spans="1:28" ht="13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71"/>
      <c r="Y921" s="13"/>
      <c r="Z921" s="13"/>
      <c r="AA921" s="13"/>
      <c r="AB921" s="13"/>
    </row>
    <row r="922" spans="1:28" ht="13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71"/>
      <c r="Y922" s="13"/>
      <c r="Z922" s="13"/>
      <c r="AA922" s="13"/>
      <c r="AB922" s="13"/>
    </row>
    <row r="923" spans="1:28" ht="13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71"/>
      <c r="Y923" s="13"/>
      <c r="Z923" s="13"/>
      <c r="AA923" s="13"/>
      <c r="AB923" s="13"/>
    </row>
    <row r="924" spans="1:28" ht="13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71"/>
      <c r="Y924" s="13"/>
      <c r="Z924" s="13"/>
      <c r="AA924" s="13"/>
      <c r="AB924" s="13"/>
    </row>
    <row r="925" spans="1:28" ht="13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71"/>
      <c r="Y925" s="13"/>
      <c r="Z925" s="13"/>
      <c r="AA925" s="13"/>
      <c r="AB925" s="13"/>
    </row>
    <row r="926" spans="1:28" ht="13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71"/>
      <c r="Y926" s="13"/>
      <c r="Z926" s="13"/>
      <c r="AA926" s="13"/>
      <c r="AB926" s="13"/>
    </row>
    <row r="927" spans="1:28" ht="13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71"/>
      <c r="Y927" s="13"/>
      <c r="Z927" s="13"/>
      <c r="AA927" s="13"/>
      <c r="AB927" s="13"/>
    </row>
    <row r="928" spans="1:28" ht="13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71"/>
      <c r="Y928" s="13"/>
      <c r="Z928" s="13"/>
      <c r="AA928" s="13"/>
      <c r="AB928" s="13"/>
    </row>
  </sheetData>
  <autoFilter ref="A1:W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2"/>
  <sheetViews>
    <sheetView workbookViewId="0">
      <pane ySplit="2" topLeftCell="A3" activePane="bottomLeft" state="frozen"/>
      <selection pane="bottomLeft" activeCell="A7" sqref="A7:XFD1308"/>
    </sheetView>
  </sheetViews>
  <sheetFormatPr defaultColWidth="12.6640625" defaultRowHeight="15.75" customHeight="1"/>
  <cols>
    <col min="1" max="1" width="18.77734375" customWidth="1"/>
    <col min="2" max="2" width="9.21875" customWidth="1"/>
    <col min="3" max="3" width="36.88671875" customWidth="1"/>
    <col min="4" max="4" width="10.88671875" customWidth="1"/>
    <col min="5" max="5" width="39.21875" customWidth="1"/>
    <col min="6" max="6" width="45" customWidth="1"/>
    <col min="7" max="7" width="7" customWidth="1"/>
    <col min="8" max="8" width="17.109375" customWidth="1"/>
    <col min="9" max="9" width="15.21875" customWidth="1"/>
    <col min="10" max="10" width="20.33203125" customWidth="1"/>
    <col min="11" max="11" width="28.88671875" customWidth="1"/>
    <col min="12" max="12" width="11.33203125" customWidth="1"/>
    <col min="13" max="13" width="14.109375" customWidth="1"/>
    <col min="14" max="14" width="24.6640625" customWidth="1"/>
    <col min="15" max="15" width="17.44140625" customWidth="1"/>
    <col min="16" max="16" width="9.21875" customWidth="1"/>
    <col min="17" max="17" width="11.77734375" customWidth="1"/>
    <col min="18" max="18" width="30.44140625" customWidth="1"/>
    <col min="19" max="19" width="23.33203125" customWidth="1"/>
    <col min="20" max="20" width="15.21875" customWidth="1"/>
    <col min="21" max="21" width="28.77734375" customWidth="1"/>
    <col min="22" max="22" width="16.6640625" customWidth="1"/>
    <col min="23" max="23" width="29.44140625" customWidth="1"/>
  </cols>
  <sheetData>
    <row r="1" spans="1:24" ht="15.75" customHeight="1">
      <c r="A1" s="20"/>
      <c r="B1" s="20"/>
      <c r="C1" s="20"/>
      <c r="D1" s="58"/>
      <c r="E1" s="58"/>
      <c r="F1" s="58"/>
      <c r="G1" s="59"/>
      <c r="H1" s="60"/>
      <c r="I1" s="60"/>
      <c r="J1" s="60"/>
      <c r="K1" s="61" t="s">
        <v>1193</v>
      </c>
      <c r="L1" s="60"/>
      <c r="M1" s="61" t="s">
        <v>1194</v>
      </c>
      <c r="N1" s="61" t="s">
        <v>1195</v>
      </c>
      <c r="O1" s="61" t="s">
        <v>1196</v>
      </c>
      <c r="P1" s="61" t="s">
        <v>1197</v>
      </c>
      <c r="Q1" s="61" t="s">
        <v>1198</v>
      </c>
      <c r="R1" s="61" t="s">
        <v>1199</v>
      </c>
      <c r="S1" s="60"/>
      <c r="T1" s="61"/>
      <c r="U1" s="61" t="s">
        <v>1200</v>
      </c>
      <c r="V1" s="61" t="s">
        <v>1201</v>
      </c>
      <c r="W1" s="61" t="s">
        <v>1202</v>
      </c>
      <c r="X1" s="62"/>
    </row>
    <row r="2" spans="1:24" ht="15.75" customHeight="1">
      <c r="A2" s="63" t="s">
        <v>0</v>
      </c>
      <c r="B2" s="63" t="s">
        <v>2</v>
      </c>
      <c r="C2" s="63" t="s">
        <v>3</v>
      </c>
      <c r="D2" s="64" t="s">
        <v>26</v>
      </c>
      <c r="E2" s="64" t="s">
        <v>29</v>
      </c>
      <c r="F2" s="64" t="s">
        <v>31</v>
      </c>
      <c r="G2" s="65" t="s">
        <v>1082</v>
      </c>
      <c r="H2" s="66" t="s">
        <v>303</v>
      </c>
      <c r="I2" s="66" t="s">
        <v>1203</v>
      </c>
      <c r="J2" s="66" t="s">
        <v>1204</v>
      </c>
      <c r="K2" s="66" t="s">
        <v>1205</v>
      </c>
      <c r="L2" s="66" t="s">
        <v>1206</v>
      </c>
      <c r="M2" s="66" t="s">
        <v>1207</v>
      </c>
      <c r="N2" s="66" t="s">
        <v>1208</v>
      </c>
      <c r="O2" s="66" t="s">
        <v>1209</v>
      </c>
      <c r="P2" s="66" t="s">
        <v>1210</v>
      </c>
      <c r="Q2" s="66" t="s">
        <v>305</v>
      </c>
      <c r="R2" s="66" t="s">
        <v>1211</v>
      </c>
      <c r="S2" s="66" t="s">
        <v>1212</v>
      </c>
      <c r="T2" s="67" t="s">
        <v>1213</v>
      </c>
      <c r="U2" s="67" t="s">
        <v>1214</v>
      </c>
      <c r="V2" s="67" t="s">
        <v>1215</v>
      </c>
      <c r="W2" s="67" t="s">
        <v>1216</v>
      </c>
      <c r="X2" s="62"/>
    </row>
    <row r="3" spans="1:24" ht="15.75" customHeight="1">
      <c r="A3" s="68" t="s">
        <v>416</v>
      </c>
      <c r="B3" s="68" t="s">
        <v>177</v>
      </c>
      <c r="C3" s="68" t="s">
        <v>412</v>
      </c>
      <c r="D3" s="69" t="e">
        <f>VLOOKUP($A3,'Vehicle Info'!$A:$W,18,0)</f>
        <v>#N/A</v>
      </c>
      <c r="E3" s="69" t="e">
        <f>VLOOKUP($A3,'Vehicle Info'!$A:$W,19,0)</f>
        <v>#N/A</v>
      </c>
      <c r="F3" s="69" t="e">
        <f>VLOOKUP($A3,'Vehicle Info'!$A:$W,20,0)</f>
        <v>#N/A</v>
      </c>
      <c r="G3" s="68" t="s">
        <v>1092</v>
      </c>
      <c r="H3" s="68" t="s">
        <v>1217</v>
      </c>
      <c r="I3" s="70">
        <v>75750</v>
      </c>
      <c r="J3" s="70">
        <v>38200</v>
      </c>
      <c r="K3" s="68" t="s">
        <v>1218</v>
      </c>
      <c r="L3" s="68">
        <v>0.27</v>
      </c>
      <c r="M3" s="70">
        <v>6288</v>
      </c>
      <c r="N3" s="70">
        <v>66667</v>
      </c>
      <c r="O3" s="68" t="s">
        <v>1219</v>
      </c>
      <c r="P3" s="68">
        <v>5</v>
      </c>
      <c r="Q3" s="68" t="s">
        <v>1220</v>
      </c>
      <c r="R3" s="68" t="s">
        <v>1221</v>
      </c>
      <c r="S3" s="70">
        <v>6603</v>
      </c>
      <c r="T3" s="68">
        <v>2.5</v>
      </c>
      <c r="U3" s="70">
        <v>57340</v>
      </c>
      <c r="V3" s="70">
        <v>11468</v>
      </c>
      <c r="W3" s="68" t="s">
        <v>1222</v>
      </c>
      <c r="X3" s="62"/>
    </row>
    <row r="4" spans="1:24" ht="15.75" customHeight="1">
      <c r="A4" s="68" t="s">
        <v>414</v>
      </c>
      <c r="B4" s="68" t="s">
        <v>177</v>
      </c>
      <c r="C4" s="68" t="s">
        <v>412</v>
      </c>
      <c r="D4" s="69" t="e">
        <f>VLOOKUP($A4,'Vehicle Info'!$A:$W,18,0)</f>
        <v>#N/A</v>
      </c>
      <c r="E4" s="69" t="e">
        <f>VLOOKUP($A4,'Vehicle Info'!$A:$W,19,0)</f>
        <v>#N/A</v>
      </c>
      <c r="F4" s="69" t="e">
        <f>VLOOKUP($A4,'Vehicle Info'!$A:$W,20,0)</f>
        <v>#N/A</v>
      </c>
      <c r="G4" s="68" t="s">
        <v>1092</v>
      </c>
      <c r="H4" s="68" t="s">
        <v>1217</v>
      </c>
      <c r="I4" s="70">
        <v>75750</v>
      </c>
      <c r="J4" s="70">
        <v>38200</v>
      </c>
      <c r="K4" s="68" t="s">
        <v>1218</v>
      </c>
      <c r="L4" s="68">
        <v>0.27</v>
      </c>
      <c r="M4" s="70">
        <v>6288</v>
      </c>
      <c r="N4" s="70">
        <v>66667</v>
      </c>
      <c r="O4" s="68" t="s">
        <v>1219</v>
      </c>
      <c r="P4" s="68">
        <v>5</v>
      </c>
      <c r="Q4" s="68" t="s">
        <v>1220</v>
      </c>
      <c r="R4" s="68" t="s">
        <v>1221</v>
      </c>
      <c r="S4" s="70">
        <v>6603</v>
      </c>
      <c r="T4" s="68">
        <v>2.5</v>
      </c>
      <c r="U4" s="70">
        <v>57340</v>
      </c>
      <c r="V4" s="70">
        <v>11468</v>
      </c>
      <c r="W4" s="68" t="s">
        <v>1222</v>
      </c>
      <c r="X4" s="62"/>
    </row>
    <row r="5" spans="1:24" ht="15.75" customHeight="1">
      <c r="A5" s="68" t="s">
        <v>427</v>
      </c>
      <c r="B5" s="68" t="s">
        <v>177</v>
      </c>
      <c r="C5" s="68" t="s">
        <v>412</v>
      </c>
      <c r="D5" s="69" t="e">
        <f>VLOOKUP($A5,'Vehicle Info'!$A:$W,18,0)</f>
        <v>#N/A</v>
      </c>
      <c r="E5" s="69" t="e">
        <f>VLOOKUP($A5,'Vehicle Info'!$A:$W,19,0)</f>
        <v>#N/A</v>
      </c>
      <c r="F5" s="69" t="e">
        <f>VLOOKUP($A5,'Vehicle Info'!$A:$W,20,0)</f>
        <v>#N/A</v>
      </c>
      <c r="G5" s="68" t="s">
        <v>1092</v>
      </c>
      <c r="H5" s="68" t="s">
        <v>1217</v>
      </c>
      <c r="I5" s="70">
        <v>75750</v>
      </c>
      <c r="J5" s="70">
        <v>38200</v>
      </c>
      <c r="K5" s="68" t="s">
        <v>1218</v>
      </c>
      <c r="L5" s="68">
        <v>0.27</v>
      </c>
      <c r="M5" s="70">
        <v>6288</v>
      </c>
      <c r="N5" s="70">
        <v>66667</v>
      </c>
      <c r="O5" s="68" t="s">
        <v>1219</v>
      </c>
      <c r="P5" s="68">
        <v>5</v>
      </c>
      <c r="Q5" s="68" t="s">
        <v>1220</v>
      </c>
      <c r="R5" s="68" t="s">
        <v>1221</v>
      </c>
      <c r="S5" s="70">
        <v>6603</v>
      </c>
      <c r="T5" s="68">
        <v>2.5</v>
      </c>
      <c r="U5" s="70">
        <v>57340</v>
      </c>
      <c r="V5" s="70">
        <v>11468</v>
      </c>
      <c r="W5" s="68" t="s">
        <v>1222</v>
      </c>
      <c r="X5" s="62"/>
    </row>
    <row r="6" spans="1:24" ht="15.75" customHeight="1">
      <c r="A6" s="68" t="s">
        <v>420</v>
      </c>
      <c r="B6" s="68" t="s">
        <v>177</v>
      </c>
      <c r="C6" s="68" t="s">
        <v>412</v>
      </c>
      <c r="D6" s="69" t="e">
        <f>VLOOKUP($A6,'Vehicle Info'!$A:$W,18,0)</f>
        <v>#N/A</v>
      </c>
      <c r="E6" s="69" t="e">
        <f>VLOOKUP($A6,'Vehicle Info'!$A:$W,19,0)</f>
        <v>#N/A</v>
      </c>
      <c r="F6" s="69" t="e">
        <f>VLOOKUP($A6,'Vehicle Info'!$A:$W,20,0)</f>
        <v>#N/A</v>
      </c>
      <c r="G6" s="68" t="s">
        <v>1092</v>
      </c>
      <c r="H6" s="68" t="s">
        <v>1217</v>
      </c>
      <c r="I6" s="70">
        <v>75750</v>
      </c>
      <c r="J6" s="70">
        <v>38200</v>
      </c>
      <c r="K6" s="68" t="s">
        <v>1218</v>
      </c>
      <c r="L6" s="68">
        <v>0.27</v>
      </c>
      <c r="M6" s="70">
        <v>6288</v>
      </c>
      <c r="N6" s="70">
        <v>66667</v>
      </c>
      <c r="O6" s="68" t="s">
        <v>1219</v>
      </c>
      <c r="P6" s="68">
        <v>5</v>
      </c>
      <c r="Q6" s="68" t="s">
        <v>1220</v>
      </c>
      <c r="R6" s="68" t="s">
        <v>1221</v>
      </c>
      <c r="S6" s="70">
        <v>6603</v>
      </c>
      <c r="T6" s="68">
        <v>2.5</v>
      </c>
      <c r="U6" s="70">
        <v>57340</v>
      </c>
      <c r="V6" s="70">
        <v>11468</v>
      </c>
      <c r="W6" s="68" t="s">
        <v>1222</v>
      </c>
      <c r="X6" s="62"/>
    </row>
    <row r="7" spans="1:24" ht="13.8">
      <c r="A7" s="68" t="s">
        <v>716</v>
      </c>
      <c r="B7" s="68" t="s">
        <v>328</v>
      </c>
      <c r="C7" s="68" t="s">
        <v>627</v>
      </c>
      <c r="D7" s="69" t="e">
        <f>VLOOKUP($A7,'Vehicle Info'!$A:$W,18,0)</f>
        <v>#N/A</v>
      </c>
      <c r="E7" s="69" t="e">
        <f>VLOOKUP($A7,'Vehicle Info'!$A:$W,19,0)</f>
        <v>#N/A</v>
      </c>
      <c r="F7" s="69" t="e">
        <f>VLOOKUP($A7,'Vehicle Info'!$A:$W,20,0)</f>
        <v>#N/A</v>
      </c>
      <c r="G7" s="68" t="s">
        <v>1092</v>
      </c>
      <c r="H7" s="68" t="s">
        <v>1627</v>
      </c>
      <c r="I7" s="70">
        <v>41928</v>
      </c>
      <c r="J7" s="70">
        <v>4416</v>
      </c>
      <c r="K7" s="68" t="s">
        <v>1628</v>
      </c>
      <c r="L7" s="68">
        <v>1</v>
      </c>
      <c r="M7" s="70">
        <v>9574</v>
      </c>
      <c r="N7" s="70" t="s">
        <v>1097</v>
      </c>
      <c r="O7" s="68" t="s">
        <v>1629</v>
      </c>
      <c r="P7" s="68">
        <v>40</v>
      </c>
      <c r="Q7" s="68" t="s">
        <v>1630</v>
      </c>
      <c r="R7" s="68" t="s">
        <v>1631</v>
      </c>
      <c r="S7" s="70">
        <v>13403</v>
      </c>
      <c r="T7" s="68">
        <v>20</v>
      </c>
      <c r="U7" s="70" t="s">
        <v>1632</v>
      </c>
      <c r="V7" s="70">
        <v>4926</v>
      </c>
      <c r="W7" s="68" t="s">
        <v>1633</v>
      </c>
      <c r="X7" s="62"/>
    </row>
    <row r="8" spans="1:24" ht="13.8">
      <c r="A8" s="68" t="s">
        <v>715</v>
      </c>
      <c r="B8" s="68" t="s">
        <v>328</v>
      </c>
      <c r="C8" s="68" t="s">
        <v>627</v>
      </c>
      <c r="D8" s="69" t="e">
        <f>VLOOKUP($A8,'Vehicle Info'!$A:$W,18,0)</f>
        <v>#N/A</v>
      </c>
      <c r="E8" s="69" t="e">
        <f>VLOOKUP($A8,'Vehicle Info'!$A:$W,19,0)</f>
        <v>#N/A</v>
      </c>
      <c r="F8" s="69" t="e">
        <f>VLOOKUP($A8,'Vehicle Info'!$A:$W,20,0)</f>
        <v>#N/A</v>
      </c>
      <c r="G8" s="68" t="s">
        <v>1092</v>
      </c>
      <c r="H8" s="68" t="s">
        <v>1627</v>
      </c>
      <c r="I8" s="70">
        <v>41928</v>
      </c>
      <c r="J8" s="70">
        <v>4416</v>
      </c>
      <c r="K8" s="68" t="s">
        <v>1628</v>
      </c>
      <c r="L8" s="68">
        <v>1</v>
      </c>
      <c r="M8" s="70">
        <v>9574</v>
      </c>
      <c r="N8" s="70" t="s">
        <v>1097</v>
      </c>
      <c r="O8" s="68" t="s">
        <v>1629</v>
      </c>
      <c r="P8" s="68">
        <v>40</v>
      </c>
      <c r="Q8" s="68" t="s">
        <v>1630</v>
      </c>
      <c r="R8" s="68" t="s">
        <v>1631</v>
      </c>
      <c r="S8" s="70">
        <v>13403</v>
      </c>
      <c r="T8" s="68">
        <v>20</v>
      </c>
      <c r="U8" s="70" t="s">
        <v>1632</v>
      </c>
      <c r="V8" s="70">
        <v>4926</v>
      </c>
      <c r="W8" s="68" t="s">
        <v>1633</v>
      </c>
      <c r="X8" s="62"/>
    </row>
    <row r="9" spans="1:24" ht="13.8">
      <c r="A9" s="68" t="s">
        <v>713</v>
      </c>
      <c r="B9" s="68" t="s">
        <v>328</v>
      </c>
      <c r="C9" s="68" t="s">
        <v>627</v>
      </c>
      <c r="D9" s="69" t="e">
        <f>VLOOKUP($A9,'Vehicle Info'!$A:$W,18,0)</f>
        <v>#N/A</v>
      </c>
      <c r="E9" s="69" t="e">
        <f>VLOOKUP($A9,'Vehicle Info'!$A:$W,19,0)</f>
        <v>#N/A</v>
      </c>
      <c r="F9" s="69" t="e">
        <f>VLOOKUP($A9,'Vehicle Info'!$A:$W,20,0)</f>
        <v>#N/A</v>
      </c>
      <c r="G9" s="68" t="s">
        <v>1092</v>
      </c>
      <c r="H9" s="68" t="s">
        <v>1627</v>
      </c>
      <c r="I9" s="70">
        <v>41928</v>
      </c>
      <c r="J9" s="70">
        <v>4416</v>
      </c>
      <c r="K9" s="68" t="s">
        <v>1628</v>
      </c>
      <c r="L9" s="68">
        <v>1</v>
      </c>
      <c r="M9" s="70">
        <v>9574</v>
      </c>
      <c r="N9" s="70" t="s">
        <v>1097</v>
      </c>
      <c r="O9" s="68" t="s">
        <v>1629</v>
      </c>
      <c r="P9" s="68">
        <v>40</v>
      </c>
      <c r="Q9" s="68" t="s">
        <v>1630</v>
      </c>
      <c r="R9" s="68" t="s">
        <v>1631</v>
      </c>
      <c r="S9" s="70">
        <v>13403</v>
      </c>
      <c r="T9" s="68">
        <v>20</v>
      </c>
      <c r="U9" s="70" t="s">
        <v>1632</v>
      </c>
      <c r="V9" s="70">
        <v>4926</v>
      </c>
      <c r="W9" s="68" t="s">
        <v>1633</v>
      </c>
      <c r="X9" s="62"/>
    </row>
    <row r="10" spans="1:24" ht="13.8">
      <c r="A10" s="68" t="s">
        <v>714</v>
      </c>
      <c r="B10" s="68" t="s">
        <v>328</v>
      </c>
      <c r="C10" s="68" t="s">
        <v>627</v>
      </c>
      <c r="D10" s="69" t="e">
        <f>VLOOKUP($A10,'Vehicle Info'!$A:$W,18,0)</f>
        <v>#N/A</v>
      </c>
      <c r="E10" s="69" t="e">
        <f>VLOOKUP($A10,'Vehicle Info'!$A:$W,19,0)</f>
        <v>#N/A</v>
      </c>
      <c r="F10" s="69" t="e">
        <f>VLOOKUP($A10,'Vehicle Info'!$A:$W,20,0)</f>
        <v>#N/A</v>
      </c>
      <c r="G10" s="68" t="s">
        <v>1092</v>
      </c>
      <c r="H10" s="68" t="s">
        <v>1627</v>
      </c>
      <c r="I10" s="70">
        <v>41928</v>
      </c>
      <c r="J10" s="70">
        <v>4416</v>
      </c>
      <c r="K10" s="68" t="s">
        <v>1628</v>
      </c>
      <c r="L10" s="68">
        <v>1</v>
      </c>
      <c r="M10" s="70">
        <v>9574</v>
      </c>
      <c r="N10" s="70" t="s">
        <v>1097</v>
      </c>
      <c r="O10" s="68" t="s">
        <v>1629</v>
      </c>
      <c r="P10" s="68">
        <v>40</v>
      </c>
      <c r="Q10" s="68" t="s">
        <v>1630</v>
      </c>
      <c r="R10" s="68" t="s">
        <v>1631</v>
      </c>
      <c r="S10" s="70">
        <v>13403</v>
      </c>
      <c r="T10" s="68">
        <v>20</v>
      </c>
      <c r="U10" s="70" t="s">
        <v>1632</v>
      </c>
      <c r="V10" s="70">
        <v>4926</v>
      </c>
      <c r="W10" s="68" t="s">
        <v>1633</v>
      </c>
      <c r="X10" s="62"/>
    </row>
    <row r="11" spans="1:24" ht="13.8">
      <c r="A11" s="68" t="s">
        <v>711</v>
      </c>
      <c r="B11" s="68" t="s">
        <v>328</v>
      </c>
      <c r="C11" s="68" t="s">
        <v>627</v>
      </c>
      <c r="D11" s="69" t="e">
        <f>VLOOKUP($A11,'Vehicle Info'!$A:$W,18,0)</f>
        <v>#N/A</v>
      </c>
      <c r="E11" s="69" t="e">
        <f>VLOOKUP($A11,'Vehicle Info'!$A:$W,19,0)</f>
        <v>#N/A</v>
      </c>
      <c r="F11" s="69" t="e">
        <f>VLOOKUP($A11,'Vehicle Info'!$A:$W,20,0)</f>
        <v>#N/A</v>
      </c>
      <c r="G11" s="68" t="s">
        <v>1092</v>
      </c>
      <c r="H11" s="68" t="s">
        <v>1627</v>
      </c>
      <c r="I11" s="70">
        <v>41928</v>
      </c>
      <c r="J11" s="70">
        <v>4416</v>
      </c>
      <c r="K11" s="68" t="s">
        <v>1628</v>
      </c>
      <c r="L11" s="68">
        <v>1</v>
      </c>
      <c r="M11" s="70">
        <v>9574</v>
      </c>
      <c r="N11" s="70" t="s">
        <v>1097</v>
      </c>
      <c r="O11" s="68" t="s">
        <v>1629</v>
      </c>
      <c r="P11" s="68">
        <v>40</v>
      </c>
      <c r="Q11" s="68" t="s">
        <v>1630</v>
      </c>
      <c r="R11" s="68" t="s">
        <v>1631</v>
      </c>
      <c r="S11" s="70">
        <v>13403</v>
      </c>
      <c r="T11" s="68">
        <v>20</v>
      </c>
      <c r="U11" s="70" t="s">
        <v>1632</v>
      </c>
      <c r="V11" s="70">
        <v>4926</v>
      </c>
      <c r="W11" s="68" t="s">
        <v>1633</v>
      </c>
      <c r="X11" s="62"/>
    </row>
    <row r="12" spans="1:24" ht="13.8">
      <c r="A12" s="132"/>
      <c r="B12" s="133"/>
      <c r="C12" s="133"/>
      <c r="D12" s="133"/>
      <c r="E12" s="133"/>
      <c r="F12" s="133"/>
      <c r="G12" s="133"/>
      <c r="H12" s="133"/>
      <c r="I12" s="134"/>
      <c r="J12" s="134"/>
      <c r="K12" s="133"/>
      <c r="L12" s="133"/>
      <c r="M12" s="134"/>
      <c r="N12" s="134"/>
      <c r="O12" s="133"/>
      <c r="P12" s="133"/>
      <c r="Q12" s="133"/>
      <c r="R12" s="133"/>
      <c r="S12" s="134"/>
      <c r="T12" s="133"/>
      <c r="U12" s="134"/>
      <c r="V12" s="134"/>
      <c r="W12" s="133"/>
      <c r="X12" s="6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workbookViewId="0"/>
  </sheetViews>
  <sheetFormatPr defaultColWidth="12.6640625" defaultRowHeight="15.75" customHeight="1"/>
  <cols>
    <col min="1" max="1" width="10.109375" customWidth="1"/>
    <col min="2" max="2" width="43.109375" customWidth="1"/>
    <col min="3" max="3" width="14" customWidth="1"/>
  </cols>
  <sheetData>
    <row r="1" spans="1:3">
      <c r="A1" s="14" t="s">
        <v>2</v>
      </c>
      <c r="B1" s="14" t="s">
        <v>3</v>
      </c>
      <c r="C1" s="2" t="s">
        <v>1251</v>
      </c>
    </row>
    <row r="2" spans="1:3">
      <c r="A2" s="9" t="s">
        <v>529</v>
      </c>
      <c r="B2" s="9" t="s">
        <v>530</v>
      </c>
      <c r="C2" s="9">
        <v>64361</v>
      </c>
    </row>
    <row r="3" spans="1:3">
      <c r="A3" s="9" t="s">
        <v>529</v>
      </c>
      <c r="B3" s="9" t="s">
        <v>547</v>
      </c>
      <c r="C3" s="9">
        <v>64829</v>
      </c>
    </row>
    <row r="4" spans="1:3">
      <c r="A4" s="9" t="s">
        <v>656</v>
      </c>
      <c r="B4" s="9" t="s">
        <v>657</v>
      </c>
      <c r="C4" s="9">
        <v>64921</v>
      </c>
    </row>
    <row r="5" spans="1:3">
      <c r="A5" s="9" t="s">
        <v>656</v>
      </c>
      <c r="B5" s="9" t="s">
        <v>665</v>
      </c>
      <c r="C5" s="9">
        <v>64922</v>
      </c>
    </row>
    <row r="6" spans="1:3">
      <c r="A6" s="9" t="s">
        <v>656</v>
      </c>
      <c r="B6" s="9" t="s">
        <v>670</v>
      </c>
      <c r="C6" s="9">
        <v>64923</v>
      </c>
    </row>
    <row r="7" spans="1:3">
      <c r="A7" s="9" t="s">
        <v>58</v>
      </c>
      <c r="B7" s="9" t="s">
        <v>107</v>
      </c>
      <c r="C7" s="9" t="s">
        <v>1252</v>
      </c>
    </row>
    <row r="8" spans="1:3">
      <c r="A8" s="9" t="s">
        <v>593</v>
      </c>
      <c r="B8" s="9" t="s">
        <v>1253</v>
      </c>
      <c r="C8" s="9">
        <v>65288</v>
      </c>
    </row>
    <row r="9" spans="1:3">
      <c r="A9" s="9" t="s">
        <v>593</v>
      </c>
      <c r="B9" s="9" t="s">
        <v>769</v>
      </c>
      <c r="C9" s="9">
        <v>65282</v>
      </c>
    </row>
    <row r="10" spans="1:3">
      <c r="A10" s="9" t="s">
        <v>593</v>
      </c>
      <c r="B10" s="9" t="s">
        <v>719</v>
      </c>
      <c r="C10" s="9">
        <v>65284</v>
      </c>
    </row>
    <row r="11" spans="1:3">
      <c r="A11" s="9" t="s">
        <v>593</v>
      </c>
      <c r="B11" s="9" t="s">
        <v>782</v>
      </c>
      <c r="C11" s="9">
        <v>67687</v>
      </c>
    </row>
    <row r="12" spans="1:3">
      <c r="A12" s="9" t="s">
        <v>593</v>
      </c>
      <c r="B12" s="9" t="s">
        <v>788</v>
      </c>
      <c r="C12" s="9">
        <v>65280</v>
      </c>
    </row>
    <row r="13" spans="1:3">
      <c r="A13" s="9" t="s">
        <v>593</v>
      </c>
      <c r="B13" s="9" t="s">
        <v>785</v>
      </c>
      <c r="C13" s="9">
        <v>67688</v>
      </c>
    </row>
    <row r="14" spans="1:3">
      <c r="A14" s="9" t="s">
        <v>593</v>
      </c>
      <c r="B14" s="9" t="s">
        <v>720</v>
      </c>
      <c r="C14" s="9">
        <v>65283</v>
      </c>
    </row>
    <row r="15" spans="1:3">
      <c r="A15" s="9" t="s">
        <v>593</v>
      </c>
      <c r="B15" s="9" t="s">
        <v>726</v>
      </c>
      <c r="C15" s="9">
        <v>67686</v>
      </c>
    </row>
    <row r="16" spans="1:3">
      <c r="A16" s="9" t="s">
        <v>328</v>
      </c>
      <c r="B16" s="9" t="s">
        <v>390</v>
      </c>
      <c r="C16" s="9" t="s">
        <v>1254</v>
      </c>
    </row>
    <row r="17" spans="1:3">
      <c r="A17" s="9" t="s">
        <v>328</v>
      </c>
      <c r="B17" s="9" t="s">
        <v>521</v>
      </c>
      <c r="C17" s="9" t="s">
        <v>1255</v>
      </c>
    </row>
    <row r="18" spans="1:3">
      <c r="A18" s="9" t="s">
        <v>328</v>
      </c>
      <c r="B18" s="9" t="s">
        <v>398</v>
      </c>
      <c r="C18" s="9" t="s">
        <v>1256</v>
      </c>
    </row>
    <row r="19" spans="1:3">
      <c r="A19" s="9" t="s">
        <v>328</v>
      </c>
      <c r="B19" s="9" t="s">
        <v>522</v>
      </c>
      <c r="C19" s="9" t="s">
        <v>1257</v>
      </c>
    </row>
    <row r="20" spans="1:3">
      <c r="A20" s="9" t="s">
        <v>328</v>
      </c>
      <c r="B20" s="9" t="s">
        <v>627</v>
      </c>
      <c r="C20" s="9">
        <v>67681</v>
      </c>
    </row>
    <row r="21" spans="1:3">
      <c r="A21" s="9" t="s">
        <v>328</v>
      </c>
      <c r="B21" s="9" t="s">
        <v>633</v>
      </c>
      <c r="C21" s="9">
        <v>67682</v>
      </c>
    </row>
    <row r="22" spans="1:3">
      <c r="A22" s="9" t="s">
        <v>328</v>
      </c>
      <c r="B22" s="9" t="s">
        <v>634</v>
      </c>
      <c r="C22" s="9">
        <v>67683</v>
      </c>
    </row>
    <row r="23" spans="1:3">
      <c r="A23" s="9" t="s">
        <v>328</v>
      </c>
      <c r="B23" s="9" t="s">
        <v>352</v>
      </c>
      <c r="C23" s="9" t="s">
        <v>1258</v>
      </c>
    </row>
    <row r="24" spans="1:3">
      <c r="A24" s="9" t="s">
        <v>328</v>
      </c>
      <c r="B24" s="9" t="s">
        <v>330</v>
      </c>
      <c r="C24" s="9" t="s">
        <v>1259</v>
      </c>
    </row>
    <row r="25" spans="1:3">
      <c r="A25" s="9" t="s">
        <v>328</v>
      </c>
      <c r="B25" s="9" t="s">
        <v>1260</v>
      </c>
      <c r="C25" s="9" t="s">
        <v>1261</v>
      </c>
    </row>
    <row r="26" spans="1:3">
      <c r="A26" s="9" t="s">
        <v>328</v>
      </c>
      <c r="B26" s="9" t="s">
        <v>368</v>
      </c>
      <c r="C26" s="9" t="s">
        <v>1262</v>
      </c>
    </row>
    <row r="27" spans="1:3">
      <c r="A27" s="9" t="s">
        <v>328</v>
      </c>
      <c r="B27" s="9" t="s">
        <v>1263</v>
      </c>
      <c r="C27" s="9" t="s">
        <v>1264</v>
      </c>
    </row>
    <row r="28" spans="1:3">
      <c r="A28" s="9" t="s">
        <v>328</v>
      </c>
      <c r="B28" s="9" t="s">
        <v>674</v>
      </c>
      <c r="C28" s="9" t="s">
        <v>1265</v>
      </c>
    </row>
    <row r="29" spans="1:3">
      <c r="A29" s="9" t="s">
        <v>328</v>
      </c>
      <c r="B29" s="9" t="s">
        <v>462</v>
      </c>
      <c r="C29" s="9" t="s">
        <v>1266</v>
      </c>
    </row>
    <row r="30" spans="1:3">
      <c r="A30" s="9" t="s">
        <v>328</v>
      </c>
      <c r="B30" s="9" t="s">
        <v>1267</v>
      </c>
      <c r="C30" s="9" t="s">
        <v>1268</v>
      </c>
    </row>
    <row r="31" spans="1:3">
      <c r="A31" s="9" t="s">
        <v>328</v>
      </c>
      <c r="B31" s="9" t="s">
        <v>680</v>
      </c>
      <c r="C31" s="9" t="s">
        <v>1269</v>
      </c>
    </row>
    <row r="32" spans="1:3">
      <c r="A32" s="9" t="s">
        <v>328</v>
      </c>
      <c r="B32" s="9" t="s">
        <v>1270</v>
      </c>
      <c r="C32" s="9" t="s">
        <v>1271</v>
      </c>
    </row>
    <row r="33" spans="1:3">
      <c r="A33" s="9" t="s">
        <v>328</v>
      </c>
      <c r="B33" s="9" t="s">
        <v>501</v>
      </c>
      <c r="C33" s="9" t="s">
        <v>1272</v>
      </c>
    </row>
    <row r="34" spans="1:3">
      <c r="A34" s="9" t="s">
        <v>328</v>
      </c>
      <c r="B34" s="9" t="s">
        <v>497</v>
      </c>
      <c r="C34" s="9" t="s">
        <v>1273</v>
      </c>
    </row>
    <row r="35" spans="1:3">
      <c r="A35" s="9" t="s">
        <v>328</v>
      </c>
      <c r="B35" s="9" t="s">
        <v>1274</v>
      </c>
      <c r="C35" s="9" t="s">
        <v>1275</v>
      </c>
    </row>
    <row r="36" spans="1:3">
      <c r="A36" s="9" t="s">
        <v>328</v>
      </c>
      <c r="B36" s="9" t="s">
        <v>485</v>
      </c>
      <c r="C36" s="9" t="s">
        <v>1276</v>
      </c>
    </row>
    <row r="37" spans="1:3">
      <c r="A37" s="9" t="s">
        <v>328</v>
      </c>
      <c r="B37" s="9" t="s">
        <v>384</v>
      </c>
      <c r="C37" s="9" t="s">
        <v>1277</v>
      </c>
    </row>
    <row r="38" spans="1:3">
      <c r="A38" s="9" t="s">
        <v>328</v>
      </c>
      <c r="B38" s="9" t="s">
        <v>504</v>
      </c>
      <c r="C38" s="9" t="s">
        <v>1278</v>
      </c>
    </row>
    <row r="39" spans="1:3">
      <c r="A39" s="9" t="s">
        <v>328</v>
      </c>
      <c r="B39" s="9" t="s">
        <v>506</v>
      </c>
      <c r="C39" s="9" t="s">
        <v>1279</v>
      </c>
    </row>
    <row r="40" spans="1:3">
      <c r="A40" s="9" t="s">
        <v>328</v>
      </c>
      <c r="B40" s="9" t="s">
        <v>1280</v>
      </c>
      <c r="C40" s="9" t="s">
        <v>1281</v>
      </c>
    </row>
    <row r="41" spans="1:3">
      <c r="A41" s="9" t="s">
        <v>328</v>
      </c>
      <c r="B41" s="9" t="s">
        <v>509</v>
      </c>
      <c r="C41" s="9" t="s">
        <v>1282</v>
      </c>
    </row>
    <row r="42" spans="1:3">
      <c r="A42" s="9" t="s">
        <v>328</v>
      </c>
      <c r="B42" s="9" t="s">
        <v>520</v>
      </c>
      <c r="C42" s="9" t="s">
        <v>1283</v>
      </c>
    </row>
    <row r="43" spans="1:3">
      <c r="A43" s="9" t="s">
        <v>328</v>
      </c>
      <c r="B43" s="9" t="s">
        <v>505</v>
      </c>
      <c r="C43" s="9" t="s">
        <v>1284</v>
      </c>
    </row>
    <row r="44" spans="1:3">
      <c r="A44" s="9" t="s">
        <v>328</v>
      </c>
      <c r="B44" s="9" t="s">
        <v>1285</v>
      </c>
      <c r="C44" s="9" t="s">
        <v>1286</v>
      </c>
    </row>
    <row r="45" spans="1:3">
      <c r="A45" s="9" t="s">
        <v>328</v>
      </c>
      <c r="B45" s="9" t="s">
        <v>507</v>
      </c>
      <c r="C45" s="9" t="s">
        <v>1287</v>
      </c>
    </row>
    <row r="46" spans="1:3">
      <c r="A46" s="9" t="s">
        <v>328</v>
      </c>
      <c r="B46" s="9" t="s">
        <v>1288</v>
      </c>
      <c r="C46" s="9" t="s">
        <v>1289</v>
      </c>
    </row>
    <row r="47" spans="1:3">
      <c r="A47" s="9" t="s">
        <v>328</v>
      </c>
      <c r="B47" s="9" t="s">
        <v>513</v>
      </c>
      <c r="C47" s="9" t="s">
        <v>1290</v>
      </c>
    </row>
    <row r="48" spans="1:3">
      <c r="A48" s="9" t="s">
        <v>328</v>
      </c>
      <c r="B48" s="9" t="s">
        <v>1291</v>
      </c>
      <c r="C48" s="9" t="s">
        <v>1292</v>
      </c>
    </row>
    <row r="49" spans="1:3">
      <c r="A49" s="9" t="s">
        <v>328</v>
      </c>
      <c r="B49" s="9" t="s">
        <v>511</v>
      </c>
      <c r="C49" s="9" t="s">
        <v>1293</v>
      </c>
    </row>
    <row r="50" spans="1:3">
      <c r="A50" s="9" t="s">
        <v>328</v>
      </c>
      <c r="B50" s="9" t="s">
        <v>1294</v>
      </c>
      <c r="C50" s="9" t="s">
        <v>1295</v>
      </c>
    </row>
    <row r="51" spans="1:3">
      <c r="A51" s="9" t="s">
        <v>528</v>
      </c>
      <c r="B51" s="9" t="s">
        <v>707</v>
      </c>
      <c r="C51" s="9" t="s">
        <v>1296</v>
      </c>
    </row>
    <row r="52" spans="1:3">
      <c r="A52" s="9" t="s">
        <v>528</v>
      </c>
      <c r="B52" s="9" t="s">
        <v>794</v>
      </c>
      <c r="C52" s="9" t="s">
        <v>1297</v>
      </c>
    </row>
    <row r="53" spans="1:3">
      <c r="A53" s="9" t="s">
        <v>528</v>
      </c>
      <c r="B53" s="9" t="s">
        <v>790</v>
      </c>
      <c r="C53" s="9" t="s">
        <v>1298</v>
      </c>
    </row>
    <row r="54" spans="1:3">
      <c r="A54" s="9" t="s">
        <v>528</v>
      </c>
      <c r="B54" s="9" t="s">
        <v>789</v>
      </c>
      <c r="C54" s="9" t="s">
        <v>1299</v>
      </c>
    </row>
    <row r="55" spans="1:3">
      <c r="A55" s="9" t="s">
        <v>528</v>
      </c>
      <c r="B55" s="9" t="s">
        <v>718</v>
      </c>
      <c r="C55" s="9" t="s">
        <v>1300</v>
      </c>
    </row>
    <row r="56" spans="1:3">
      <c r="A56" s="9" t="s">
        <v>528</v>
      </c>
      <c r="B56" s="9" t="s">
        <v>548</v>
      </c>
      <c r="C56" s="9" t="s">
        <v>1301</v>
      </c>
    </row>
    <row r="57" spans="1:3">
      <c r="A57" s="9" t="s">
        <v>528</v>
      </c>
      <c r="B57" s="9" t="s">
        <v>787</v>
      </c>
      <c r="C57" s="9" t="s">
        <v>1302</v>
      </c>
    </row>
    <row r="58" spans="1:3">
      <c r="A58" s="9" t="s">
        <v>528</v>
      </c>
      <c r="B58" s="9" t="s">
        <v>786</v>
      </c>
      <c r="C58" s="9" t="s">
        <v>1303</v>
      </c>
    </row>
    <row r="59" spans="1:3">
      <c r="A59" s="9" t="s">
        <v>528</v>
      </c>
      <c r="B59" s="9" t="s">
        <v>784</v>
      </c>
      <c r="C59" s="9" t="s">
        <v>1304</v>
      </c>
    </row>
    <row r="60" spans="1:3">
      <c r="A60" s="9" t="s">
        <v>528</v>
      </c>
      <c r="B60" s="9" t="s">
        <v>783</v>
      </c>
      <c r="C60" s="9" t="s">
        <v>1305</v>
      </c>
    </row>
    <row r="61" spans="1:3">
      <c r="A61" s="9" t="s">
        <v>528</v>
      </c>
      <c r="B61" s="9" t="s">
        <v>695</v>
      </c>
      <c r="C61" s="9" t="s">
        <v>1306</v>
      </c>
    </row>
    <row r="62" spans="1:3">
      <c r="A62" s="9" t="s">
        <v>528</v>
      </c>
      <c r="B62" s="9" t="s">
        <v>693</v>
      </c>
      <c r="C62" s="9" t="s">
        <v>1307</v>
      </c>
    </row>
    <row r="63" spans="1:3">
      <c r="A63" s="9" t="s">
        <v>528</v>
      </c>
      <c r="B63" s="9" t="s">
        <v>703</v>
      </c>
      <c r="C63" s="9" t="s">
        <v>1308</v>
      </c>
    </row>
    <row r="64" spans="1:3">
      <c r="A64" s="9" t="s">
        <v>528</v>
      </c>
      <c r="B64" s="9" t="s">
        <v>698</v>
      </c>
      <c r="C64" s="9" t="s">
        <v>1309</v>
      </c>
    </row>
    <row r="65" spans="1:3">
      <c r="A65" s="9" t="s">
        <v>528</v>
      </c>
      <c r="B65" s="9" t="s">
        <v>696</v>
      </c>
      <c r="C65" s="9" t="s">
        <v>1310</v>
      </c>
    </row>
    <row r="66" spans="1:3">
      <c r="A66" s="9" t="s">
        <v>528</v>
      </c>
      <c r="B66" s="9" t="s">
        <v>692</v>
      </c>
      <c r="C66" s="9" t="s">
        <v>1311</v>
      </c>
    </row>
    <row r="67" spans="1:3">
      <c r="A67" s="9" t="s">
        <v>528</v>
      </c>
      <c r="B67" s="9" t="s">
        <v>690</v>
      </c>
      <c r="C67" s="9" t="s">
        <v>1312</v>
      </c>
    </row>
    <row r="68" spans="1:3">
      <c r="A68" s="9" t="s">
        <v>115</v>
      </c>
      <c r="B68" s="9" t="s">
        <v>123</v>
      </c>
      <c r="C68" s="9">
        <v>67356</v>
      </c>
    </row>
    <row r="69" spans="1:3">
      <c r="A69" s="9" t="s">
        <v>115</v>
      </c>
      <c r="B69" s="9" t="s">
        <v>150</v>
      </c>
      <c r="C69" s="9">
        <v>67357</v>
      </c>
    </row>
    <row r="70" spans="1:3">
      <c r="A70" s="9" t="s">
        <v>556</v>
      </c>
      <c r="B70" s="9" t="s">
        <v>557</v>
      </c>
      <c r="C70" s="9">
        <v>67677</v>
      </c>
    </row>
    <row r="71" spans="1:3">
      <c r="A71" s="9" t="s">
        <v>556</v>
      </c>
      <c r="B71" s="9" t="s">
        <v>560</v>
      </c>
      <c r="C71" s="9">
        <v>67678</v>
      </c>
    </row>
    <row r="72" spans="1:3">
      <c r="A72" s="9" t="s">
        <v>556</v>
      </c>
      <c r="B72" s="9" t="s">
        <v>565</v>
      </c>
      <c r="C72" s="9">
        <v>67679</v>
      </c>
    </row>
    <row r="73" spans="1:3">
      <c r="A73" s="9" t="s">
        <v>556</v>
      </c>
      <c r="B73" s="9" t="s">
        <v>568</v>
      </c>
      <c r="C73" s="9">
        <v>67680</v>
      </c>
    </row>
    <row r="74" spans="1:3">
      <c r="A74" s="9" t="s">
        <v>51</v>
      </c>
      <c r="B74" s="9" t="s">
        <v>867</v>
      </c>
      <c r="C74" s="9" t="s">
        <v>1313</v>
      </c>
    </row>
    <row r="75" spans="1:3">
      <c r="A75" s="9" t="s">
        <v>51</v>
      </c>
      <c r="B75" s="9" t="s">
        <v>866</v>
      </c>
      <c r="C75" s="9" t="s">
        <v>1314</v>
      </c>
    </row>
    <row r="76" spans="1:3">
      <c r="A76" s="9" t="s">
        <v>51</v>
      </c>
      <c r="B76" s="9" t="s">
        <v>870</v>
      </c>
      <c r="C76" s="9" t="s">
        <v>1315</v>
      </c>
    </row>
    <row r="77" spans="1:3">
      <c r="A77" s="9" t="s">
        <v>600</v>
      </c>
      <c r="B77" s="9" t="s">
        <v>962</v>
      </c>
      <c r="C77" s="9" t="s">
        <v>1316</v>
      </c>
    </row>
    <row r="78" spans="1:3">
      <c r="A78" s="9" t="s">
        <v>600</v>
      </c>
      <c r="B78" s="9" t="s">
        <v>970</v>
      </c>
      <c r="C78" s="9" t="s">
        <v>1317</v>
      </c>
    </row>
    <row r="79" spans="1:3">
      <c r="A79" s="9" t="s">
        <v>600</v>
      </c>
      <c r="B79" s="9" t="s">
        <v>971</v>
      </c>
      <c r="C79" s="9" t="s">
        <v>1318</v>
      </c>
    </row>
    <row r="80" spans="1:3">
      <c r="A80" s="9" t="s">
        <v>600</v>
      </c>
      <c r="B80" s="9" t="s">
        <v>974</v>
      </c>
      <c r="C80" s="9" t="s">
        <v>1319</v>
      </c>
    </row>
    <row r="81" spans="1:3">
      <c r="A81" s="9" t="s">
        <v>600</v>
      </c>
      <c r="B81" s="9" t="s">
        <v>975</v>
      </c>
      <c r="C81" s="9" t="s">
        <v>1320</v>
      </c>
    </row>
    <row r="82" spans="1:3">
      <c r="A82" s="9" t="s">
        <v>600</v>
      </c>
      <c r="B82" s="9" t="s">
        <v>976</v>
      </c>
      <c r="C82" s="9" t="s">
        <v>1321</v>
      </c>
    </row>
    <row r="83" spans="1:3">
      <c r="A83" s="9" t="s">
        <v>600</v>
      </c>
      <c r="B83" s="9" t="s">
        <v>977</v>
      </c>
      <c r="C83" s="9" t="s">
        <v>1322</v>
      </c>
    </row>
    <row r="84" spans="1:3">
      <c r="A84" s="9" t="s">
        <v>600</v>
      </c>
      <c r="B84" s="9" t="s">
        <v>979</v>
      </c>
      <c r="C84" s="9" t="s">
        <v>1323</v>
      </c>
    </row>
    <row r="85" spans="1:3">
      <c r="A85" s="9" t="s">
        <v>600</v>
      </c>
      <c r="B85" s="9" t="s">
        <v>985</v>
      </c>
      <c r="C85" s="9" t="s">
        <v>1324</v>
      </c>
    </row>
    <row r="86" spans="1:3">
      <c r="A86" s="9" t="s">
        <v>600</v>
      </c>
      <c r="B86" s="9" t="s">
        <v>986</v>
      </c>
      <c r="C86" s="9" t="s">
        <v>1325</v>
      </c>
    </row>
    <row r="87" spans="1:3">
      <c r="A87" s="9" t="s">
        <v>600</v>
      </c>
      <c r="B87" s="9" t="s">
        <v>987</v>
      </c>
      <c r="C87" s="9" t="s">
        <v>1326</v>
      </c>
    </row>
    <row r="88" spans="1:3">
      <c r="A88" s="9" t="s">
        <v>600</v>
      </c>
      <c r="B88" s="9" t="s">
        <v>988</v>
      </c>
      <c r="C88" s="9" t="s">
        <v>1327</v>
      </c>
    </row>
    <row r="89" spans="1:3">
      <c r="A89" s="9" t="s">
        <v>600</v>
      </c>
      <c r="B89" s="9" t="s">
        <v>993</v>
      </c>
      <c r="C89" s="9" t="s">
        <v>1328</v>
      </c>
    </row>
    <row r="90" spans="1:3">
      <c r="A90" s="9" t="s">
        <v>600</v>
      </c>
      <c r="B90" s="9" t="s">
        <v>995</v>
      </c>
      <c r="C90" s="9" t="s">
        <v>1329</v>
      </c>
    </row>
    <row r="91" spans="1:3">
      <c r="A91" s="9" t="s">
        <v>600</v>
      </c>
      <c r="B91" s="9" t="s">
        <v>996</v>
      </c>
      <c r="C91" s="9" t="s">
        <v>1330</v>
      </c>
    </row>
    <row r="92" spans="1:3">
      <c r="A92" s="9" t="s">
        <v>600</v>
      </c>
      <c r="B92" s="9" t="s">
        <v>997</v>
      </c>
      <c r="C92" s="9" t="s">
        <v>1331</v>
      </c>
    </row>
    <row r="93" spans="1:3">
      <c r="A93" s="9" t="s">
        <v>600</v>
      </c>
      <c r="B93" s="9" t="s">
        <v>999</v>
      </c>
      <c r="C93" s="9" t="s">
        <v>1332</v>
      </c>
    </row>
    <row r="94" spans="1:3">
      <c r="A94" s="9" t="s">
        <v>600</v>
      </c>
      <c r="B94" s="9" t="s">
        <v>1000</v>
      </c>
      <c r="C94" s="9" t="s">
        <v>1333</v>
      </c>
    </row>
    <row r="95" spans="1:3">
      <c r="A95" s="9" t="s">
        <v>600</v>
      </c>
      <c r="B95" s="9" t="s">
        <v>1001</v>
      </c>
      <c r="C95" s="9" t="s">
        <v>1334</v>
      </c>
    </row>
    <row r="96" spans="1:3">
      <c r="A96" s="9" t="s">
        <v>600</v>
      </c>
      <c r="B96" s="9" t="s">
        <v>624</v>
      </c>
      <c r="C96" s="9" t="s">
        <v>1335</v>
      </c>
    </row>
    <row r="97" spans="1:3">
      <c r="A97" s="9" t="s">
        <v>600</v>
      </c>
      <c r="B97" s="9" t="s">
        <v>620</v>
      </c>
      <c r="C97" s="9" t="s">
        <v>1336</v>
      </c>
    </row>
    <row r="98" spans="1:3">
      <c r="A98" s="9" t="s">
        <v>600</v>
      </c>
      <c r="B98" s="9" t="s">
        <v>601</v>
      </c>
      <c r="C98" s="9" t="s">
        <v>1337</v>
      </c>
    </row>
    <row r="99" spans="1:3">
      <c r="A99" s="9" t="s">
        <v>600</v>
      </c>
      <c r="B99" s="9" t="s">
        <v>612</v>
      </c>
      <c r="C99" s="9" t="s">
        <v>1338</v>
      </c>
    </row>
    <row r="100" spans="1:3">
      <c r="A100" s="9" t="s">
        <v>77</v>
      </c>
      <c r="B100" s="9" t="s">
        <v>805</v>
      </c>
      <c r="C100" s="9" t="s">
        <v>1339</v>
      </c>
    </row>
    <row r="101" spans="1:3">
      <c r="A101" s="9" t="s">
        <v>77</v>
      </c>
      <c r="B101" s="9" t="s">
        <v>809</v>
      </c>
      <c r="C101" s="9" t="s">
        <v>1340</v>
      </c>
    </row>
    <row r="102" spans="1:3">
      <c r="A102" s="9" t="s">
        <v>77</v>
      </c>
      <c r="B102" s="9" t="s">
        <v>810</v>
      </c>
      <c r="C102" s="9" t="s">
        <v>1341</v>
      </c>
    </row>
    <row r="103" spans="1:3">
      <c r="A103" s="9" t="s">
        <v>77</v>
      </c>
      <c r="B103" s="9" t="s">
        <v>812</v>
      </c>
      <c r="C103" s="9" t="s">
        <v>1342</v>
      </c>
    </row>
    <row r="104" spans="1:3">
      <c r="A104" s="9" t="s">
        <v>77</v>
      </c>
      <c r="B104" s="9" t="s">
        <v>819</v>
      </c>
      <c r="C104" s="9" t="s">
        <v>1343</v>
      </c>
    </row>
    <row r="105" spans="1:3">
      <c r="A105" s="9" t="s">
        <v>77</v>
      </c>
      <c r="B105" s="9" t="s">
        <v>821</v>
      </c>
      <c r="C105" s="9" t="s">
        <v>1344</v>
      </c>
    </row>
    <row r="106" spans="1:3">
      <c r="A106" s="9" t="s">
        <v>77</v>
      </c>
      <c r="B106" s="9" t="s">
        <v>822</v>
      </c>
      <c r="C106" s="9" t="s">
        <v>1345</v>
      </c>
    </row>
    <row r="107" spans="1:3">
      <c r="A107" s="9" t="s">
        <v>77</v>
      </c>
      <c r="B107" s="9" t="s">
        <v>823</v>
      </c>
      <c r="C107" s="9" t="s">
        <v>1346</v>
      </c>
    </row>
    <row r="108" spans="1:3">
      <c r="A108" s="9" t="s">
        <v>77</v>
      </c>
      <c r="B108" s="9" t="s">
        <v>824</v>
      </c>
      <c r="C108" s="9" t="s">
        <v>1347</v>
      </c>
    </row>
    <row r="109" spans="1:3">
      <c r="A109" s="9" t="s">
        <v>77</v>
      </c>
      <c r="B109" s="9" t="s">
        <v>825</v>
      </c>
      <c r="C109" s="9" t="s">
        <v>1348</v>
      </c>
    </row>
    <row r="110" spans="1:3">
      <c r="A110" s="9" t="s">
        <v>77</v>
      </c>
      <c r="B110" s="9" t="s">
        <v>829</v>
      </c>
      <c r="C110" s="9" t="s">
        <v>1349</v>
      </c>
    </row>
    <row r="111" spans="1:3">
      <c r="A111" s="9" t="s">
        <v>77</v>
      </c>
      <c r="B111" s="9" t="s">
        <v>832</v>
      </c>
      <c r="C111" s="9" t="s">
        <v>1350</v>
      </c>
    </row>
    <row r="112" spans="1:3">
      <c r="A112" s="9" t="s">
        <v>77</v>
      </c>
      <c r="B112" s="9" t="s">
        <v>833</v>
      </c>
      <c r="C112" s="9" t="s">
        <v>1351</v>
      </c>
    </row>
    <row r="113" spans="1:3">
      <c r="A113" s="9" t="s">
        <v>77</v>
      </c>
      <c r="B113" s="9" t="s">
        <v>835</v>
      </c>
      <c r="C113" s="9" t="s">
        <v>1352</v>
      </c>
    </row>
    <row r="114" spans="1:3">
      <c r="A114" s="9" t="s">
        <v>77</v>
      </c>
      <c r="B114" s="9" t="s">
        <v>836</v>
      </c>
      <c r="C114" s="9" t="s">
        <v>1353</v>
      </c>
    </row>
    <row r="115" spans="1:3">
      <c r="A115" s="9" t="s">
        <v>77</v>
      </c>
      <c r="B115" s="9" t="s">
        <v>838</v>
      </c>
      <c r="C115" s="9" t="s">
        <v>1354</v>
      </c>
    </row>
    <row r="116" spans="1:3">
      <c r="A116" s="9" t="s">
        <v>77</v>
      </c>
      <c r="B116" s="9" t="s">
        <v>839</v>
      </c>
      <c r="C116" s="9" t="s">
        <v>1355</v>
      </c>
    </row>
    <row r="117" spans="1:3">
      <c r="A117" s="9" t="s">
        <v>77</v>
      </c>
      <c r="B117" s="9" t="s">
        <v>834</v>
      </c>
      <c r="C117" s="9" t="s">
        <v>1356</v>
      </c>
    </row>
    <row r="118" spans="1:3">
      <c r="A118" s="9" t="s">
        <v>77</v>
      </c>
      <c r="B118" s="9" t="s">
        <v>840</v>
      </c>
      <c r="C118" s="9" t="s">
        <v>1357</v>
      </c>
    </row>
    <row r="119" spans="1:3">
      <c r="A119" s="9" t="s">
        <v>208</v>
      </c>
      <c r="B119" s="9" t="s">
        <v>243</v>
      </c>
      <c r="C119" s="9" t="s">
        <v>1358</v>
      </c>
    </row>
    <row r="120" spans="1:3">
      <c r="A120" s="9" t="s">
        <v>208</v>
      </c>
      <c r="B120" s="9" t="s">
        <v>241</v>
      </c>
      <c r="C120" s="9" t="s">
        <v>1359</v>
      </c>
    </row>
    <row r="121" spans="1:3">
      <c r="A121" s="9" t="s">
        <v>208</v>
      </c>
      <c r="B121" s="9" t="s">
        <v>230</v>
      </c>
      <c r="C121" s="9" t="s">
        <v>1360</v>
      </c>
    </row>
    <row r="122" spans="1:3">
      <c r="A122" s="9" t="s">
        <v>208</v>
      </c>
      <c r="B122" s="9" t="s">
        <v>227</v>
      </c>
      <c r="C122" s="9" t="s">
        <v>1361</v>
      </c>
    </row>
    <row r="123" spans="1:3">
      <c r="A123" s="9" t="s">
        <v>208</v>
      </c>
      <c r="B123" s="9" t="s">
        <v>209</v>
      </c>
      <c r="C123" s="9" t="s">
        <v>1362</v>
      </c>
    </row>
    <row r="124" spans="1:3">
      <c r="A124" s="9" t="s">
        <v>208</v>
      </c>
      <c r="B124" s="9" t="s">
        <v>213</v>
      </c>
      <c r="C124" s="9" t="s">
        <v>1363</v>
      </c>
    </row>
    <row r="125" spans="1:3">
      <c r="A125" s="9" t="s">
        <v>208</v>
      </c>
      <c r="B125" s="9" t="s">
        <v>406</v>
      </c>
      <c r="C125" s="9" t="s">
        <v>1364</v>
      </c>
    </row>
    <row r="126" spans="1:3">
      <c r="A126" s="9" t="s">
        <v>208</v>
      </c>
      <c r="B126" s="9" t="s">
        <v>405</v>
      </c>
      <c r="C126" s="9" t="s">
        <v>1365</v>
      </c>
    </row>
    <row r="127" spans="1:3">
      <c r="A127" s="9" t="s">
        <v>208</v>
      </c>
      <c r="B127" s="9" t="s">
        <v>447</v>
      </c>
      <c r="C127" s="9" t="s">
        <v>1366</v>
      </c>
    </row>
    <row r="128" spans="1:3">
      <c r="A128" s="9" t="s">
        <v>208</v>
      </c>
      <c r="B128" s="9" t="s">
        <v>443</v>
      </c>
      <c r="C128" s="9" t="s">
        <v>1367</v>
      </c>
    </row>
    <row r="129" spans="1:3">
      <c r="A129" s="9" t="s">
        <v>208</v>
      </c>
      <c r="B129" s="9" t="s">
        <v>471</v>
      </c>
      <c r="C129" s="9" t="s">
        <v>1368</v>
      </c>
    </row>
    <row r="130" spans="1:3">
      <c r="A130" s="9" t="s">
        <v>208</v>
      </c>
      <c r="B130" s="9" t="s">
        <v>468</v>
      </c>
      <c r="C130" s="9" t="s">
        <v>1369</v>
      </c>
    </row>
    <row r="131" spans="1:3">
      <c r="A131" s="9" t="s">
        <v>208</v>
      </c>
      <c r="B131" s="9" t="s">
        <v>503</v>
      </c>
      <c r="C131" s="9" t="s">
        <v>1370</v>
      </c>
    </row>
    <row r="132" spans="1:3">
      <c r="A132" s="9" t="s">
        <v>208</v>
      </c>
      <c r="B132" s="9" t="s">
        <v>502</v>
      </c>
      <c r="C132" s="9" t="s">
        <v>1371</v>
      </c>
    </row>
    <row r="133" spans="1:3">
      <c r="A133" s="9" t="s">
        <v>208</v>
      </c>
      <c r="B133" s="9" t="s">
        <v>399</v>
      </c>
      <c r="C133" s="9" t="s">
        <v>1372</v>
      </c>
    </row>
    <row r="134" spans="1:3">
      <c r="A134" s="9" t="s">
        <v>208</v>
      </c>
      <c r="B134" s="9" t="s">
        <v>395</v>
      </c>
      <c r="C134" s="9" t="s">
        <v>1373</v>
      </c>
    </row>
    <row r="135" spans="1:3">
      <c r="A135" s="9" t="s">
        <v>208</v>
      </c>
      <c r="B135" s="9" t="s">
        <v>355</v>
      </c>
      <c r="C135" s="9" t="s">
        <v>1374</v>
      </c>
    </row>
    <row r="136" spans="1:3">
      <c r="A136" s="9" t="s">
        <v>208</v>
      </c>
      <c r="B136" s="9" t="s">
        <v>353</v>
      </c>
      <c r="C136" s="9" t="s">
        <v>1375</v>
      </c>
    </row>
    <row r="137" spans="1:3">
      <c r="A137" s="9" t="s">
        <v>208</v>
      </c>
      <c r="B137" s="9" t="s">
        <v>375</v>
      </c>
      <c r="C137" s="9" t="s">
        <v>1376</v>
      </c>
    </row>
    <row r="138" spans="1:3">
      <c r="A138" s="9" t="s">
        <v>208</v>
      </c>
      <c r="B138" s="9" t="s">
        <v>372</v>
      </c>
      <c r="C138" s="9" t="s">
        <v>1377</v>
      </c>
    </row>
    <row r="139" spans="1:3">
      <c r="A139" s="9" t="s">
        <v>208</v>
      </c>
      <c r="B139" s="9" t="s">
        <v>290</v>
      </c>
      <c r="C139" s="9" t="s">
        <v>1378</v>
      </c>
    </row>
    <row r="140" spans="1:3">
      <c r="A140" s="9" t="s">
        <v>208</v>
      </c>
      <c r="B140" s="9" t="s">
        <v>287</v>
      </c>
      <c r="C140" s="9" t="s">
        <v>1379</v>
      </c>
    </row>
    <row r="141" spans="1:3">
      <c r="A141" s="9" t="s">
        <v>208</v>
      </c>
      <c r="B141" s="9" t="s">
        <v>333</v>
      </c>
      <c r="C141" s="9" t="s">
        <v>1380</v>
      </c>
    </row>
    <row r="142" spans="1:3">
      <c r="A142" s="9" t="s">
        <v>208</v>
      </c>
      <c r="B142" s="9" t="s">
        <v>329</v>
      </c>
      <c r="C142" s="9" t="s">
        <v>1381</v>
      </c>
    </row>
    <row r="143" spans="1:3">
      <c r="A143" s="9" t="s">
        <v>208</v>
      </c>
      <c r="B143" s="9" t="s">
        <v>495</v>
      </c>
      <c r="C143" s="9" t="s">
        <v>1382</v>
      </c>
    </row>
    <row r="144" spans="1:3">
      <c r="A144" s="9" t="s">
        <v>208</v>
      </c>
      <c r="B144" s="9" t="s">
        <v>493</v>
      </c>
      <c r="C144" s="9" t="s">
        <v>1383</v>
      </c>
    </row>
    <row r="145" spans="1:3">
      <c r="A145" s="9" t="s">
        <v>208</v>
      </c>
      <c r="B145" s="9" t="s">
        <v>261</v>
      </c>
      <c r="C145" s="9" t="s">
        <v>1384</v>
      </c>
    </row>
    <row r="146" spans="1:3">
      <c r="A146" s="9" t="s">
        <v>208</v>
      </c>
      <c r="B146" s="9" t="s">
        <v>260</v>
      </c>
      <c r="C146" s="9" t="s">
        <v>1385</v>
      </c>
    </row>
    <row r="147" spans="1:3">
      <c r="A147" s="9" t="s">
        <v>208</v>
      </c>
      <c r="B147" s="9" t="s">
        <v>272</v>
      </c>
      <c r="C147" s="9" t="s">
        <v>1386</v>
      </c>
    </row>
    <row r="148" spans="1:3">
      <c r="A148" s="9" t="s">
        <v>208</v>
      </c>
      <c r="B148" s="9" t="s">
        <v>270</v>
      </c>
      <c r="C148" s="9" t="s">
        <v>1387</v>
      </c>
    </row>
    <row r="149" spans="1:3">
      <c r="A149" s="9" t="s">
        <v>208</v>
      </c>
      <c r="B149" s="9" t="s">
        <v>510</v>
      </c>
      <c r="C149" s="9" t="s">
        <v>1388</v>
      </c>
    </row>
    <row r="150" spans="1:3">
      <c r="A150" s="9" t="s">
        <v>208</v>
      </c>
      <c r="B150" s="9" t="s">
        <v>508</v>
      </c>
      <c r="C150" s="9" t="s">
        <v>1389</v>
      </c>
    </row>
    <row r="151" spans="1:3">
      <c r="A151" s="9" t="s">
        <v>208</v>
      </c>
      <c r="B151" s="9" t="s">
        <v>516</v>
      </c>
      <c r="C151" s="9" t="s">
        <v>1390</v>
      </c>
    </row>
    <row r="152" spans="1:3">
      <c r="A152" s="9" t="s">
        <v>208</v>
      </c>
      <c r="B152" s="9" t="s">
        <v>515</v>
      </c>
      <c r="C152" s="9" t="s">
        <v>1391</v>
      </c>
    </row>
    <row r="153" spans="1:3">
      <c r="A153" s="9" t="s">
        <v>208</v>
      </c>
      <c r="B153" s="9" t="s">
        <v>561</v>
      </c>
      <c r="C153" s="9" t="s">
        <v>1392</v>
      </c>
    </row>
    <row r="154" spans="1:3">
      <c r="A154" s="9" t="s">
        <v>208</v>
      </c>
      <c r="B154" s="9" t="s">
        <v>523</v>
      </c>
      <c r="C154" s="9" t="s">
        <v>1393</v>
      </c>
    </row>
    <row r="155" spans="1:3">
      <c r="A155" s="9" t="s">
        <v>208</v>
      </c>
      <c r="B155" s="9" t="s">
        <v>517</v>
      </c>
      <c r="C155" s="9" t="s">
        <v>1394</v>
      </c>
    </row>
    <row r="156" spans="1:3">
      <c r="A156" s="9" t="s">
        <v>208</v>
      </c>
      <c r="B156" s="9" t="s">
        <v>519</v>
      </c>
      <c r="C156" s="9" t="s">
        <v>1395</v>
      </c>
    </row>
    <row r="157" spans="1:3">
      <c r="A157" s="9" t="s">
        <v>208</v>
      </c>
      <c r="B157" s="9" t="s">
        <v>525</v>
      </c>
      <c r="C157" s="9" t="s">
        <v>1396</v>
      </c>
    </row>
    <row r="158" spans="1:3">
      <c r="A158" s="9" t="s">
        <v>208</v>
      </c>
      <c r="B158" s="9" t="s">
        <v>549</v>
      </c>
      <c r="C158" s="9" t="s">
        <v>1397</v>
      </c>
    </row>
    <row r="159" spans="1:3">
      <c r="A159" s="9" t="s">
        <v>208</v>
      </c>
      <c r="B159" s="9" t="s">
        <v>555</v>
      </c>
      <c r="C159" s="9" t="s">
        <v>1398</v>
      </c>
    </row>
    <row r="160" spans="1:3">
      <c r="A160" s="9" t="s">
        <v>208</v>
      </c>
      <c r="B160" s="9" t="s">
        <v>540</v>
      </c>
      <c r="C160" s="9" t="s">
        <v>1399</v>
      </c>
    </row>
    <row r="161" spans="1:3">
      <c r="A161" s="9" t="s">
        <v>208</v>
      </c>
      <c r="B161" s="9" t="s">
        <v>649</v>
      </c>
      <c r="C161" s="9" t="s">
        <v>1400</v>
      </c>
    </row>
    <row r="162" spans="1:3">
      <c r="A162" s="9" t="s">
        <v>208</v>
      </c>
      <c r="B162" s="9" t="s">
        <v>518</v>
      </c>
      <c r="C162" s="9" t="s">
        <v>1401</v>
      </c>
    </row>
    <row r="163" spans="1:3">
      <c r="A163" s="13"/>
      <c r="B163" s="13"/>
      <c r="C163" s="13"/>
    </row>
    <row r="164" spans="1:3">
      <c r="A164" s="13"/>
      <c r="B164" s="13"/>
      <c r="C164" s="13"/>
    </row>
    <row r="165" spans="1:3">
      <c r="A165" s="13"/>
      <c r="B165" s="13"/>
      <c r="C165" s="13"/>
    </row>
    <row r="166" spans="1:3">
      <c r="A166" s="13"/>
      <c r="B166" s="13"/>
      <c r="C166" s="13"/>
    </row>
    <row r="167" spans="1:3">
      <c r="A167" s="13"/>
      <c r="B167" s="13"/>
      <c r="C167" s="13"/>
    </row>
    <row r="168" spans="1:3">
      <c r="A168" s="13"/>
      <c r="B168" s="13"/>
      <c r="C168" s="13"/>
    </row>
    <row r="169" spans="1:3">
      <c r="A169" s="13"/>
      <c r="B169" s="13"/>
      <c r="C169" s="13"/>
    </row>
    <row r="170" spans="1:3">
      <c r="A170" s="13"/>
      <c r="B170" s="13"/>
      <c r="C170" s="13"/>
    </row>
    <row r="171" spans="1:3">
      <c r="A171" s="13"/>
      <c r="B171" s="13"/>
      <c r="C171" s="13"/>
    </row>
    <row r="172" spans="1:3">
      <c r="A172" s="13"/>
      <c r="B172" s="13"/>
      <c r="C172" s="13"/>
    </row>
    <row r="173" spans="1:3">
      <c r="A173" s="13"/>
      <c r="B173" s="13"/>
      <c r="C173" s="13"/>
    </row>
    <row r="174" spans="1:3">
      <c r="A174" s="13"/>
      <c r="B174" s="13"/>
      <c r="C174" s="13"/>
    </row>
    <row r="175" spans="1:3">
      <c r="A175" s="13"/>
      <c r="B175" s="13"/>
      <c r="C175" s="13"/>
    </row>
    <row r="176" spans="1:3">
      <c r="A176" s="13"/>
      <c r="B176" s="13"/>
      <c r="C176" s="13"/>
    </row>
    <row r="177" spans="1:3">
      <c r="A177" s="13"/>
      <c r="B177" s="13"/>
      <c r="C177" s="13"/>
    </row>
    <row r="178" spans="1:3">
      <c r="A178" s="13"/>
      <c r="B178" s="13"/>
      <c r="C178" s="13"/>
    </row>
    <row r="179" spans="1:3">
      <c r="A179" s="13"/>
      <c r="B179" s="13"/>
      <c r="C179" s="13"/>
    </row>
    <row r="180" spans="1:3">
      <c r="A180" s="13"/>
      <c r="B180" s="13"/>
      <c r="C180" s="13"/>
    </row>
    <row r="181" spans="1:3">
      <c r="A181" s="13"/>
      <c r="B181" s="13"/>
      <c r="C181" s="13"/>
    </row>
    <row r="182" spans="1:3">
      <c r="A182" s="13"/>
      <c r="B182" s="13"/>
      <c r="C182" s="13"/>
    </row>
    <row r="183" spans="1:3">
      <c r="A183" s="13"/>
      <c r="B183" s="13"/>
      <c r="C183" s="13"/>
    </row>
    <row r="184" spans="1:3">
      <c r="A184" s="13"/>
      <c r="B184" s="13"/>
      <c r="C184" s="13"/>
    </row>
    <row r="185" spans="1:3">
      <c r="A185" s="13"/>
      <c r="B185" s="13"/>
      <c r="C185" s="13"/>
    </row>
    <row r="186" spans="1:3">
      <c r="A186" s="13"/>
      <c r="B186" s="13"/>
      <c r="C186" s="13"/>
    </row>
    <row r="187" spans="1:3">
      <c r="A187" s="13"/>
      <c r="B187" s="13"/>
      <c r="C187" s="13"/>
    </row>
    <row r="188" spans="1:3">
      <c r="A188" s="13"/>
      <c r="B188" s="13"/>
      <c r="C188" s="13"/>
    </row>
    <row r="189" spans="1:3">
      <c r="A189" s="13"/>
      <c r="B189" s="13"/>
      <c r="C189" s="13"/>
    </row>
    <row r="190" spans="1:3">
      <c r="A190" s="13"/>
      <c r="B190" s="13"/>
      <c r="C190" s="13"/>
    </row>
    <row r="191" spans="1:3">
      <c r="A191" s="13"/>
      <c r="B191" s="13"/>
      <c r="C191" s="13"/>
    </row>
    <row r="192" spans="1:3">
      <c r="A192" s="13"/>
      <c r="B192" s="13"/>
      <c r="C192" s="13"/>
    </row>
    <row r="193" spans="1:3">
      <c r="A193" s="13"/>
      <c r="B193" s="13"/>
      <c r="C193" s="13"/>
    </row>
    <row r="194" spans="1:3">
      <c r="A194" s="13"/>
      <c r="B194" s="13"/>
      <c r="C194" s="13"/>
    </row>
    <row r="195" spans="1:3">
      <c r="A195" s="13"/>
      <c r="B195" s="13"/>
      <c r="C195" s="13"/>
    </row>
    <row r="196" spans="1:3">
      <c r="A196" s="13"/>
      <c r="B196" s="13"/>
      <c r="C196" s="13"/>
    </row>
    <row r="197" spans="1:3">
      <c r="A197" s="13"/>
      <c r="B197" s="13"/>
      <c r="C197" s="13"/>
    </row>
    <row r="198" spans="1:3">
      <c r="A198" s="13"/>
      <c r="B198" s="13"/>
      <c r="C198" s="13"/>
    </row>
    <row r="199" spans="1:3">
      <c r="A199" s="13"/>
      <c r="B199" s="13"/>
      <c r="C199" s="13"/>
    </row>
    <row r="200" spans="1:3">
      <c r="A200" s="13"/>
      <c r="B200" s="13"/>
      <c r="C200" s="13"/>
    </row>
    <row r="201" spans="1:3">
      <c r="A201" s="13"/>
      <c r="B201" s="13"/>
      <c r="C201" s="13"/>
    </row>
    <row r="202" spans="1:3">
      <c r="A202" s="13"/>
      <c r="B202" s="13"/>
      <c r="C202" s="13"/>
    </row>
    <row r="203" spans="1:3">
      <c r="A203" s="13"/>
      <c r="B203" s="13"/>
      <c r="C203" s="13"/>
    </row>
    <row r="204" spans="1:3">
      <c r="A204" s="13"/>
      <c r="B204" s="13"/>
      <c r="C204" s="13"/>
    </row>
    <row r="205" spans="1:3">
      <c r="A205" s="13"/>
      <c r="B205" s="13"/>
      <c r="C205" s="13"/>
    </row>
    <row r="206" spans="1:3">
      <c r="A206" s="13"/>
      <c r="B206" s="13"/>
      <c r="C206" s="13"/>
    </row>
    <row r="207" spans="1:3">
      <c r="A207" s="13"/>
      <c r="B207" s="13"/>
      <c r="C207" s="13"/>
    </row>
    <row r="208" spans="1:3">
      <c r="A208" s="13"/>
      <c r="B208" s="13"/>
      <c r="C208" s="13"/>
    </row>
    <row r="209" spans="1:3">
      <c r="A209" s="13"/>
      <c r="B209" s="13"/>
      <c r="C209" s="13"/>
    </row>
    <row r="210" spans="1:3">
      <c r="A210" s="13"/>
      <c r="B210" s="13"/>
      <c r="C210" s="13"/>
    </row>
    <row r="211" spans="1:3">
      <c r="A211" s="13"/>
      <c r="B211" s="13"/>
      <c r="C211" s="13"/>
    </row>
    <row r="212" spans="1:3">
      <c r="A212" s="13"/>
      <c r="B212" s="13"/>
      <c r="C212" s="13"/>
    </row>
    <row r="213" spans="1:3">
      <c r="A213" s="13"/>
      <c r="B213" s="13"/>
      <c r="C213" s="13"/>
    </row>
    <row r="214" spans="1:3">
      <c r="A214" s="13"/>
      <c r="B214" s="13"/>
      <c r="C214" s="13"/>
    </row>
    <row r="215" spans="1:3">
      <c r="A215" s="13"/>
      <c r="B215" s="13"/>
      <c r="C215" s="13"/>
    </row>
    <row r="216" spans="1:3">
      <c r="A216" s="13"/>
      <c r="B216" s="13"/>
      <c r="C216" s="13"/>
    </row>
    <row r="217" spans="1:3">
      <c r="A217" s="13"/>
      <c r="B217" s="13"/>
      <c r="C217" s="13"/>
    </row>
    <row r="218" spans="1:3">
      <c r="A218" s="13"/>
      <c r="B218" s="13"/>
      <c r="C218" s="13"/>
    </row>
    <row r="219" spans="1:3">
      <c r="A219" s="13"/>
      <c r="B219" s="13"/>
      <c r="C219" s="13"/>
    </row>
    <row r="220" spans="1:3">
      <c r="A220" s="13"/>
      <c r="B220" s="13"/>
      <c r="C220" s="13"/>
    </row>
    <row r="221" spans="1:3">
      <c r="A221" s="13"/>
      <c r="B221" s="13"/>
      <c r="C221" s="13"/>
    </row>
    <row r="222" spans="1:3">
      <c r="A222" s="13"/>
      <c r="B222" s="13"/>
      <c r="C222" s="13"/>
    </row>
    <row r="223" spans="1:3">
      <c r="A223" s="13"/>
      <c r="B223" s="13"/>
      <c r="C223" s="13"/>
    </row>
    <row r="224" spans="1:3">
      <c r="A224" s="13"/>
      <c r="B224" s="13"/>
      <c r="C224" s="13"/>
    </row>
    <row r="225" spans="1:3">
      <c r="A225" s="13"/>
      <c r="B225" s="13"/>
      <c r="C225" s="13"/>
    </row>
    <row r="226" spans="1:3">
      <c r="A226" s="13"/>
      <c r="B226" s="13"/>
      <c r="C226" s="13"/>
    </row>
    <row r="227" spans="1:3">
      <c r="A227" s="13"/>
      <c r="B227" s="13"/>
      <c r="C227" s="13"/>
    </row>
    <row r="228" spans="1:3">
      <c r="A228" s="13"/>
      <c r="B228" s="13"/>
      <c r="C228" s="13"/>
    </row>
    <row r="229" spans="1:3">
      <c r="A229" s="13"/>
      <c r="B229" s="13"/>
      <c r="C229" s="13"/>
    </row>
    <row r="230" spans="1:3">
      <c r="A230" s="13"/>
      <c r="B230" s="13"/>
      <c r="C230" s="13"/>
    </row>
    <row r="231" spans="1:3">
      <c r="A231" s="13"/>
      <c r="B231" s="13"/>
      <c r="C231" s="13"/>
    </row>
    <row r="232" spans="1:3">
      <c r="A232" s="13"/>
      <c r="B232" s="13"/>
      <c r="C232" s="13"/>
    </row>
    <row r="233" spans="1:3">
      <c r="A233" s="13"/>
      <c r="B233" s="13"/>
      <c r="C233" s="13"/>
    </row>
    <row r="234" spans="1:3">
      <c r="A234" s="13"/>
      <c r="B234" s="13"/>
      <c r="C234" s="13"/>
    </row>
    <row r="235" spans="1:3">
      <c r="A235" s="13"/>
      <c r="B235" s="13"/>
      <c r="C235" s="13"/>
    </row>
    <row r="236" spans="1:3">
      <c r="A236" s="13"/>
      <c r="B236" s="13"/>
      <c r="C236" s="13"/>
    </row>
    <row r="237" spans="1:3">
      <c r="A237" s="13"/>
      <c r="B237" s="13"/>
      <c r="C237" s="13"/>
    </row>
    <row r="238" spans="1:3">
      <c r="A238" s="13"/>
      <c r="B238" s="13"/>
      <c r="C238" s="13"/>
    </row>
    <row r="239" spans="1:3">
      <c r="A239" s="13"/>
      <c r="B239" s="13"/>
      <c r="C239" s="13"/>
    </row>
    <row r="240" spans="1:3">
      <c r="A240" s="13"/>
      <c r="B240" s="13"/>
      <c r="C240" s="13"/>
    </row>
    <row r="241" spans="1:3">
      <c r="A241" s="13"/>
      <c r="B241" s="13"/>
      <c r="C241" s="13"/>
    </row>
    <row r="242" spans="1:3">
      <c r="A242" s="13"/>
      <c r="B242" s="13"/>
      <c r="C242" s="13"/>
    </row>
    <row r="243" spans="1:3">
      <c r="A243" s="13"/>
      <c r="B243" s="13"/>
      <c r="C243" s="13"/>
    </row>
    <row r="244" spans="1:3">
      <c r="A244" s="13"/>
      <c r="B244" s="13"/>
      <c r="C244" s="13"/>
    </row>
    <row r="245" spans="1:3">
      <c r="A245" s="13"/>
      <c r="B245" s="13"/>
      <c r="C245" s="13"/>
    </row>
    <row r="246" spans="1:3">
      <c r="A246" s="13"/>
      <c r="B246" s="13"/>
      <c r="C246" s="13"/>
    </row>
    <row r="247" spans="1:3">
      <c r="A247" s="13"/>
      <c r="B247" s="13"/>
      <c r="C247" s="13"/>
    </row>
    <row r="248" spans="1:3">
      <c r="A248" s="13"/>
      <c r="B248" s="13"/>
      <c r="C248" s="13"/>
    </row>
    <row r="249" spans="1:3">
      <c r="A249" s="13"/>
      <c r="B249" s="13"/>
      <c r="C249" s="13"/>
    </row>
    <row r="250" spans="1:3">
      <c r="A250" s="13"/>
      <c r="B250" s="13"/>
      <c r="C250" s="13"/>
    </row>
    <row r="251" spans="1:3">
      <c r="A251" s="13"/>
      <c r="B251" s="13"/>
      <c r="C251" s="13"/>
    </row>
    <row r="252" spans="1:3">
      <c r="A252" s="13"/>
      <c r="B252" s="13"/>
      <c r="C252" s="13"/>
    </row>
    <row r="253" spans="1:3">
      <c r="A253" s="13"/>
      <c r="B253" s="13"/>
      <c r="C253" s="13"/>
    </row>
    <row r="254" spans="1:3">
      <c r="A254" s="13"/>
      <c r="B254" s="13"/>
      <c r="C254" s="13"/>
    </row>
    <row r="255" spans="1:3">
      <c r="A255" s="13"/>
      <c r="B255" s="13"/>
      <c r="C255" s="13"/>
    </row>
    <row r="256" spans="1:3">
      <c r="A256" s="13"/>
      <c r="B256" s="13"/>
      <c r="C256" s="13"/>
    </row>
    <row r="257" spans="1:3">
      <c r="A257" s="13"/>
      <c r="B257" s="13"/>
      <c r="C257" s="13"/>
    </row>
    <row r="258" spans="1:3">
      <c r="A258" s="13"/>
      <c r="B258" s="13"/>
      <c r="C258" s="13"/>
    </row>
    <row r="259" spans="1:3">
      <c r="A259" s="13"/>
      <c r="B259" s="13"/>
      <c r="C259" s="13"/>
    </row>
    <row r="260" spans="1:3">
      <c r="A260" s="13"/>
      <c r="B260" s="13"/>
      <c r="C260" s="13"/>
    </row>
    <row r="261" spans="1:3">
      <c r="A261" s="13"/>
      <c r="B261" s="13"/>
      <c r="C261" s="13"/>
    </row>
    <row r="262" spans="1:3">
      <c r="A262" s="13"/>
      <c r="B262" s="13"/>
      <c r="C262" s="13"/>
    </row>
    <row r="263" spans="1:3">
      <c r="A263" s="13"/>
      <c r="B263" s="13"/>
      <c r="C263" s="13"/>
    </row>
    <row r="264" spans="1:3">
      <c r="A264" s="13"/>
      <c r="B264" s="13"/>
      <c r="C264" s="13"/>
    </row>
    <row r="265" spans="1:3">
      <c r="A265" s="13"/>
      <c r="B265" s="13"/>
      <c r="C265" s="13"/>
    </row>
    <row r="266" spans="1:3">
      <c r="A266" s="13"/>
      <c r="B266" s="13"/>
      <c r="C266" s="13"/>
    </row>
    <row r="267" spans="1:3">
      <c r="A267" s="13"/>
      <c r="B267" s="13"/>
      <c r="C267" s="13"/>
    </row>
    <row r="268" spans="1:3">
      <c r="A268" s="13"/>
      <c r="B268" s="13"/>
      <c r="C268" s="13"/>
    </row>
    <row r="269" spans="1:3">
      <c r="A269" s="13"/>
      <c r="B269" s="13"/>
      <c r="C269" s="13"/>
    </row>
    <row r="270" spans="1:3">
      <c r="A270" s="13"/>
      <c r="B270" s="13"/>
      <c r="C270" s="13"/>
    </row>
    <row r="271" spans="1:3">
      <c r="A271" s="13"/>
      <c r="B271" s="13"/>
      <c r="C271" s="13"/>
    </row>
    <row r="272" spans="1:3">
      <c r="A272" s="13"/>
      <c r="B272" s="13"/>
      <c r="C272" s="13"/>
    </row>
    <row r="273" spans="1:3">
      <c r="A273" s="13"/>
      <c r="B273" s="13"/>
      <c r="C273" s="13"/>
    </row>
    <row r="274" spans="1:3">
      <c r="A274" s="13"/>
      <c r="B274" s="13"/>
      <c r="C274" s="13"/>
    </row>
    <row r="275" spans="1:3">
      <c r="A275" s="13"/>
      <c r="B275" s="13"/>
      <c r="C275" s="13"/>
    </row>
    <row r="276" spans="1:3">
      <c r="A276" s="13"/>
      <c r="B276" s="13"/>
      <c r="C276" s="13"/>
    </row>
    <row r="277" spans="1:3">
      <c r="A277" s="13"/>
      <c r="B277" s="13"/>
      <c r="C277" s="13"/>
    </row>
    <row r="278" spans="1:3">
      <c r="A278" s="13"/>
      <c r="B278" s="13"/>
      <c r="C278" s="13"/>
    </row>
    <row r="279" spans="1:3">
      <c r="A279" s="13"/>
      <c r="B279" s="13"/>
      <c r="C279" s="13"/>
    </row>
    <row r="280" spans="1:3">
      <c r="A280" s="13"/>
      <c r="B280" s="13"/>
      <c r="C280" s="13"/>
    </row>
    <row r="281" spans="1:3">
      <c r="A281" s="13"/>
      <c r="B281" s="13"/>
      <c r="C281" s="13"/>
    </row>
    <row r="282" spans="1:3">
      <c r="A282" s="13"/>
      <c r="B282" s="13"/>
      <c r="C282" s="13"/>
    </row>
    <row r="283" spans="1:3">
      <c r="A283" s="13"/>
      <c r="B283" s="13"/>
      <c r="C283" s="13"/>
    </row>
    <row r="284" spans="1:3">
      <c r="A284" s="13"/>
      <c r="B284" s="13"/>
      <c r="C284" s="13"/>
    </row>
    <row r="285" spans="1:3">
      <c r="A285" s="13"/>
      <c r="B285" s="13"/>
      <c r="C285" s="13"/>
    </row>
    <row r="286" spans="1:3">
      <c r="A286" s="13"/>
      <c r="B286" s="13"/>
      <c r="C286" s="13"/>
    </row>
    <row r="287" spans="1:3">
      <c r="A287" s="13"/>
      <c r="B287" s="13"/>
      <c r="C287" s="13"/>
    </row>
    <row r="288" spans="1:3">
      <c r="A288" s="13"/>
      <c r="B288" s="13"/>
      <c r="C288" s="13"/>
    </row>
    <row r="289" spans="1:3">
      <c r="A289" s="13"/>
      <c r="B289" s="13"/>
      <c r="C289" s="13"/>
    </row>
    <row r="290" spans="1:3">
      <c r="A290" s="13"/>
      <c r="B290" s="13"/>
      <c r="C290" s="13"/>
    </row>
    <row r="291" spans="1:3">
      <c r="A291" s="13"/>
      <c r="B291" s="13"/>
      <c r="C291" s="13"/>
    </row>
    <row r="292" spans="1:3">
      <c r="A292" s="13"/>
      <c r="B292" s="13"/>
      <c r="C292" s="13"/>
    </row>
    <row r="293" spans="1:3">
      <c r="A293" s="13"/>
      <c r="B293" s="13"/>
      <c r="C293" s="13"/>
    </row>
    <row r="294" spans="1:3">
      <c r="A294" s="13"/>
      <c r="B294" s="13"/>
      <c r="C294" s="13"/>
    </row>
    <row r="295" spans="1:3">
      <c r="A295" s="13"/>
      <c r="B295" s="13"/>
      <c r="C295" s="13"/>
    </row>
    <row r="296" spans="1:3">
      <c r="A296" s="13"/>
      <c r="B296" s="13"/>
      <c r="C296" s="13"/>
    </row>
    <row r="297" spans="1:3">
      <c r="A297" s="13"/>
      <c r="B297" s="13"/>
      <c r="C297" s="13"/>
    </row>
    <row r="298" spans="1:3">
      <c r="A298" s="13"/>
      <c r="B298" s="13"/>
      <c r="C298" s="13"/>
    </row>
    <row r="299" spans="1:3">
      <c r="A299" s="13"/>
      <c r="B299" s="13"/>
      <c r="C299" s="13"/>
    </row>
    <row r="300" spans="1:3">
      <c r="A300" s="13"/>
      <c r="B300" s="13"/>
      <c r="C300" s="13"/>
    </row>
    <row r="301" spans="1:3">
      <c r="A301" s="13"/>
      <c r="B301" s="13"/>
      <c r="C301" s="13"/>
    </row>
    <row r="302" spans="1:3">
      <c r="A302" s="13"/>
      <c r="B302" s="13"/>
      <c r="C302" s="13"/>
    </row>
    <row r="303" spans="1:3">
      <c r="A303" s="13"/>
      <c r="B303" s="13"/>
      <c r="C303" s="13"/>
    </row>
    <row r="304" spans="1:3">
      <c r="A304" s="13"/>
      <c r="B304" s="13"/>
      <c r="C304" s="13"/>
    </row>
    <row r="305" spans="1:3">
      <c r="A305" s="13"/>
      <c r="B305" s="13"/>
      <c r="C305" s="13"/>
    </row>
    <row r="306" spans="1:3">
      <c r="A306" s="13"/>
      <c r="B306" s="13"/>
      <c r="C306" s="13"/>
    </row>
    <row r="307" spans="1:3">
      <c r="A307" s="13"/>
      <c r="B307" s="13"/>
      <c r="C307" s="13"/>
    </row>
    <row r="308" spans="1:3">
      <c r="A308" s="13"/>
      <c r="B308" s="13"/>
      <c r="C308" s="13"/>
    </row>
    <row r="309" spans="1:3">
      <c r="A309" s="13"/>
      <c r="B309" s="13"/>
      <c r="C309" s="13"/>
    </row>
    <row r="310" spans="1:3">
      <c r="A310" s="13"/>
      <c r="B310" s="13"/>
      <c r="C310" s="13"/>
    </row>
    <row r="311" spans="1:3">
      <c r="A311" s="13"/>
      <c r="B311" s="13"/>
      <c r="C311" s="13"/>
    </row>
    <row r="312" spans="1:3">
      <c r="A312" s="13"/>
      <c r="B312" s="13"/>
      <c r="C312" s="13"/>
    </row>
    <row r="313" spans="1:3">
      <c r="A313" s="13"/>
      <c r="B313" s="13"/>
      <c r="C313" s="13"/>
    </row>
    <row r="314" spans="1:3">
      <c r="A314" s="13"/>
      <c r="B314" s="13"/>
      <c r="C314" s="13"/>
    </row>
    <row r="315" spans="1:3">
      <c r="A315" s="13"/>
      <c r="B315" s="13"/>
      <c r="C315" s="13"/>
    </row>
    <row r="316" spans="1:3">
      <c r="A316" s="13"/>
      <c r="B316" s="13"/>
      <c r="C316" s="13"/>
    </row>
    <row r="317" spans="1:3">
      <c r="A317" s="13"/>
      <c r="B317" s="13"/>
      <c r="C317" s="13"/>
    </row>
    <row r="318" spans="1:3">
      <c r="A318" s="13"/>
      <c r="B318" s="13"/>
      <c r="C318" s="13"/>
    </row>
    <row r="319" spans="1:3">
      <c r="A319" s="13"/>
      <c r="B319" s="13"/>
      <c r="C319" s="13"/>
    </row>
    <row r="320" spans="1:3">
      <c r="A320" s="13"/>
      <c r="B320" s="13"/>
      <c r="C320" s="13"/>
    </row>
    <row r="321" spans="1:3">
      <c r="A321" s="13"/>
      <c r="B321" s="13"/>
      <c r="C321" s="13"/>
    </row>
    <row r="322" spans="1:3">
      <c r="A322" s="13"/>
      <c r="B322" s="13"/>
      <c r="C322" s="13"/>
    </row>
    <row r="323" spans="1:3">
      <c r="A323" s="13"/>
      <c r="B323" s="13"/>
      <c r="C323" s="13"/>
    </row>
    <row r="324" spans="1:3">
      <c r="A324" s="13"/>
      <c r="B324" s="13"/>
      <c r="C324" s="13"/>
    </row>
    <row r="325" spans="1:3">
      <c r="A325" s="13"/>
      <c r="B325" s="13"/>
      <c r="C325" s="13"/>
    </row>
    <row r="326" spans="1:3">
      <c r="A326" s="13"/>
      <c r="B326" s="13"/>
      <c r="C326" s="13"/>
    </row>
    <row r="327" spans="1:3">
      <c r="A327" s="13"/>
      <c r="B327" s="13"/>
      <c r="C327" s="13"/>
    </row>
    <row r="328" spans="1:3">
      <c r="A328" s="13"/>
      <c r="B328" s="13"/>
      <c r="C328" s="13"/>
    </row>
    <row r="329" spans="1:3">
      <c r="A329" s="13"/>
      <c r="B329" s="13"/>
      <c r="C329" s="13"/>
    </row>
    <row r="330" spans="1:3">
      <c r="A330" s="13"/>
      <c r="B330" s="13"/>
      <c r="C330" s="13"/>
    </row>
    <row r="331" spans="1:3">
      <c r="A331" s="13"/>
      <c r="B331" s="13"/>
      <c r="C331" s="13"/>
    </row>
    <row r="332" spans="1:3">
      <c r="A332" s="13"/>
      <c r="B332" s="13"/>
      <c r="C332" s="13"/>
    </row>
    <row r="333" spans="1:3">
      <c r="A333" s="13"/>
      <c r="B333" s="13"/>
      <c r="C333" s="13"/>
    </row>
    <row r="334" spans="1:3">
      <c r="A334" s="13"/>
      <c r="B334" s="13"/>
      <c r="C334" s="13"/>
    </row>
    <row r="335" spans="1:3">
      <c r="A335" s="13"/>
      <c r="B335" s="13"/>
      <c r="C335" s="13"/>
    </row>
    <row r="336" spans="1:3">
      <c r="A336" s="13"/>
      <c r="B336" s="13"/>
      <c r="C336" s="13"/>
    </row>
    <row r="337" spans="1:3">
      <c r="A337" s="13"/>
      <c r="B337" s="13"/>
      <c r="C337" s="13"/>
    </row>
    <row r="338" spans="1:3">
      <c r="A338" s="13"/>
      <c r="B338" s="13"/>
      <c r="C338" s="13"/>
    </row>
    <row r="339" spans="1:3">
      <c r="A339" s="13"/>
      <c r="B339" s="13"/>
      <c r="C339" s="13"/>
    </row>
    <row r="340" spans="1:3">
      <c r="A340" s="13"/>
      <c r="B340" s="13"/>
      <c r="C340" s="13"/>
    </row>
    <row r="341" spans="1:3">
      <c r="A341" s="13"/>
      <c r="B341" s="13"/>
      <c r="C341" s="13"/>
    </row>
    <row r="342" spans="1:3">
      <c r="A342" s="13"/>
      <c r="B342" s="13"/>
      <c r="C342" s="13"/>
    </row>
    <row r="343" spans="1:3">
      <c r="A343" s="13"/>
      <c r="B343" s="13"/>
      <c r="C343" s="13"/>
    </row>
    <row r="344" spans="1:3">
      <c r="A344" s="13"/>
      <c r="B344" s="13"/>
      <c r="C344" s="13"/>
    </row>
    <row r="345" spans="1:3">
      <c r="A345" s="13"/>
      <c r="B345" s="13"/>
      <c r="C345" s="13"/>
    </row>
    <row r="346" spans="1:3">
      <c r="A346" s="13"/>
      <c r="B346" s="13"/>
      <c r="C346" s="13"/>
    </row>
    <row r="347" spans="1:3">
      <c r="A347" s="13"/>
      <c r="B347" s="13"/>
      <c r="C347" s="13"/>
    </row>
    <row r="348" spans="1:3">
      <c r="A348" s="13"/>
      <c r="B348" s="13"/>
      <c r="C348" s="13"/>
    </row>
    <row r="349" spans="1:3">
      <c r="A349" s="13"/>
      <c r="B349" s="13"/>
      <c r="C349" s="13"/>
    </row>
    <row r="350" spans="1:3">
      <c r="A350" s="13"/>
      <c r="B350" s="13"/>
      <c r="C350" s="13"/>
    </row>
    <row r="351" spans="1:3">
      <c r="A351" s="13"/>
      <c r="B351" s="13"/>
      <c r="C351" s="13"/>
    </row>
    <row r="352" spans="1:3">
      <c r="A352" s="13"/>
      <c r="B352" s="13"/>
      <c r="C352" s="13"/>
    </row>
    <row r="353" spans="1:3">
      <c r="A353" s="13"/>
      <c r="B353" s="13"/>
      <c r="C353" s="13"/>
    </row>
    <row r="354" spans="1:3">
      <c r="A354" s="13"/>
      <c r="B354" s="13"/>
      <c r="C354" s="13"/>
    </row>
    <row r="355" spans="1:3">
      <c r="A355" s="13"/>
      <c r="B355" s="13"/>
      <c r="C355" s="13"/>
    </row>
    <row r="356" spans="1:3">
      <c r="A356" s="13"/>
      <c r="B356" s="13"/>
      <c r="C356" s="13"/>
    </row>
    <row r="357" spans="1:3">
      <c r="A357" s="13"/>
      <c r="B357" s="13"/>
      <c r="C357" s="13"/>
    </row>
    <row r="358" spans="1:3">
      <c r="A358" s="13"/>
      <c r="B358" s="13"/>
      <c r="C358" s="13"/>
    </row>
    <row r="359" spans="1:3">
      <c r="A359" s="13"/>
      <c r="B359" s="13"/>
      <c r="C359" s="13"/>
    </row>
    <row r="360" spans="1:3">
      <c r="A360" s="13"/>
      <c r="B360" s="13"/>
      <c r="C360" s="13"/>
    </row>
    <row r="361" spans="1:3">
      <c r="A361" s="13"/>
      <c r="B361" s="13"/>
      <c r="C361" s="13"/>
    </row>
    <row r="362" spans="1:3">
      <c r="A362" s="13"/>
      <c r="B362" s="13"/>
      <c r="C362" s="13"/>
    </row>
    <row r="363" spans="1:3">
      <c r="A363" s="13"/>
      <c r="B363" s="13"/>
      <c r="C363" s="13"/>
    </row>
    <row r="364" spans="1:3">
      <c r="A364" s="13"/>
      <c r="B364" s="13"/>
      <c r="C364" s="13"/>
    </row>
    <row r="365" spans="1:3">
      <c r="A365" s="13"/>
      <c r="B365" s="13"/>
      <c r="C365" s="13"/>
    </row>
    <row r="366" spans="1:3">
      <c r="A366" s="13"/>
      <c r="B366" s="13"/>
      <c r="C366" s="13"/>
    </row>
    <row r="367" spans="1:3">
      <c r="A367" s="13"/>
      <c r="B367" s="13"/>
      <c r="C367" s="13"/>
    </row>
    <row r="368" spans="1:3">
      <c r="A368" s="13"/>
      <c r="B368" s="13"/>
      <c r="C368" s="13"/>
    </row>
    <row r="369" spans="1:3">
      <c r="A369" s="13"/>
      <c r="B369" s="13"/>
      <c r="C369" s="13"/>
    </row>
    <row r="370" spans="1:3">
      <c r="A370" s="13"/>
      <c r="B370" s="13"/>
      <c r="C370" s="13"/>
    </row>
    <row r="371" spans="1:3">
      <c r="A371" s="13"/>
      <c r="B371" s="13"/>
      <c r="C371" s="13"/>
    </row>
    <row r="372" spans="1:3">
      <c r="A372" s="13"/>
      <c r="B372" s="13"/>
      <c r="C372" s="13"/>
    </row>
    <row r="373" spans="1:3">
      <c r="A373" s="13"/>
      <c r="B373" s="13"/>
      <c r="C373" s="13"/>
    </row>
    <row r="374" spans="1:3">
      <c r="A374" s="13"/>
      <c r="B374" s="13"/>
      <c r="C374" s="13"/>
    </row>
    <row r="375" spans="1:3">
      <c r="A375" s="13"/>
      <c r="B375" s="13"/>
      <c r="C375" s="13"/>
    </row>
    <row r="376" spans="1:3">
      <c r="A376" s="13"/>
      <c r="B376" s="13"/>
      <c r="C376" s="13"/>
    </row>
    <row r="377" spans="1:3">
      <c r="A377" s="13"/>
      <c r="B377" s="13"/>
      <c r="C377" s="13"/>
    </row>
    <row r="378" spans="1:3">
      <c r="A378" s="13"/>
      <c r="B378" s="13"/>
      <c r="C378" s="13"/>
    </row>
    <row r="379" spans="1:3">
      <c r="A379" s="13"/>
      <c r="B379" s="13"/>
      <c r="C379" s="13"/>
    </row>
    <row r="380" spans="1:3">
      <c r="A380" s="13"/>
      <c r="B380" s="13"/>
      <c r="C380" s="13"/>
    </row>
    <row r="381" spans="1:3">
      <c r="A381" s="13"/>
      <c r="B381" s="13"/>
      <c r="C381" s="13"/>
    </row>
    <row r="382" spans="1:3">
      <c r="A382" s="13"/>
      <c r="B382" s="13"/>
      <c r="C382" s="13"/>
    </row>
    <row r="383" spans="1:3">
      <c r="A383" s="13"/>
      <c r="B383" s="13"/>
      <c r="C383" s="13"/>
    </row>
    <row r="384" spans="1:3">
      <c r="A384" s="13"/>
      <c r="B384" s="13"/>
      <c r="C384" s="13"/>
    </row>
    <row r="385" spans="1:3">
      <c r="A385" s="13"/>
      <c r="B385" s="13"/>
      <c r="C385" s="13"/>
    </row>
    <row r="386" spans="1:3">
      <c r="A386" s="13"/>
      <c r="B386" s="13"/>
      <c r="C386" s="13"/>
    </row>
    <row r="387" spans="1:3">
      <c r="A387" s="13"/>
      <c r="B387" s="13"/>
      <c r="C387" s="13"/>
    </row>
    <row r="388" spans="1:3">
      <c r="A388" s="13"/>
      <c r="B388" s="13"/>
      <c r="C388" s="13"/>
    </row>
    <row r="389" spans="1:3">
      <c r="A389" s="13"/>
      <c r="B389" s="13"/>
      <c r="C389" s="13"/>
    </row>
    <row r="390" spans="1:3">
      <c r="A390" s="13"/>
      <c r="B390" s="13"/>
      <c r="C390" s="13"/>
    </row>
    <row r="391" spans="1:3">
      <c r="A391" s="13"/>
      <c r="B391" s="13"/>
      <c r="C391" s="13"/>
    </row>
    <row r="392" spans="1:3">
      <c r="A392" s="13"/>
      <c r="B392" s="13"/>
      <c r="C392" s="13"/>
    </row>
    <row r="393" spans="1:3">
      <c r="A393" s="13"/>
      <c r="B393" s="13"/>
      <c r="C393" s="13"/>
    </row>
    <row r="394" spans="1:3">
      <c r="A394" s="13"/>
      <c r="B394" s="13"/>
      <c r="C394" s="13"/>
    </row>
    <row r="395" spans="1:3">
      <c r="A395" s="13"/>
      <c r="B395" s="13"/>
      <c r="C395" s="13"/>
    </row>
    <row r="396" spans="1:3">
      <c r="A396" s="13"/>
      <c r="B396" s="13"/>
      <c r="C396" s="13"/>
    </row>
    <row r="397" spans="1:3">
      <c r="A397" s="13"/>
      <c r="B397" s="13"/>
      <c r="C397" s="13"/>
    </row>
    <row r="398" spans="1:3">
      <c r="A398" s="13"/>
      <c r="B398" s="13"/>
      <c r="C398" s="13"/>
    </row>
    <row r="399" spans="1:3">
      <c r="A399" s="13"/>
      <c r="B399" s="13"/>
      <c r="C399" s="13"/>
    </row>
    <row r="400" spans="1:3">
      <c r="A400" s="13"/>
      <c r="B400" s="13"/>
      <c r="C400" s="13"/>
    </row>
    <row r="401" spans="1:3">
      <c r="A401" s="13"/>
      <c r="B401" s="13"/>
      <c r="C401" s="13"/>
    </row>
    <row r="402" spans="1:3">
      <c r="A402" s="13"/>
      <c r="B402" s="13"/>
      <c r="C402" s="13"/>
    </row>
    <row r="403" spans="1:3">
      <c r="A403" s="13"/>
      <c r="B403" s="13"/>
      <c r="C403" s="13"/>
    </row>
    <row r="404" spans="1:3">
      <c r="A404" s="13"/>
      <c r="B404" s="13"/>
      <c r="C404" s="13"/>
    </row>
    <row r="405" spans="1:3">
      <c r="A405" s="13"/>
      <c r="B405" s="13"/>
      <c r="C405" s="13"/>
    </row>
    <row r="406" spans="1:3">
      <c r="A406" s="13"/>
      <c r="B406" s="13"/>
      <c r="C406" s="13"/>
    </row>
    <row r="407" spans="1:3">
      <c r="A407" s="13"/>
      <c r="B407" s="13"/>
      <c r="C407" s="13"/>
    </row>
    <row r="408" spans="1:3">
      <c r="A408" s="13"/>
      <c r="B408" s="13"/>
      <c r="C408" s="13"/>
    </row>
    <row r="409" spans="1:3">
      <c r="A409" s="13"/>
      <c r="B409" s="13"/>
      <c r="C409" s="13"/>
    </row>
    <row r="410" spans="1:3">
      <c r="A410" s="13"/>
      <c r="B410" s="13"/>
      <c r="C410" s="13"/>
    </row>
    <row r="411" spans="1:3">
      <c r="A411" s="13"/>
      <c r="B411" s="13"/>
      <c r="C411" s="13"/>
    </row>
    <row r="412" spans="1:3">
      <c r="A412" s="13"/>
      <c r="B412" s="13"/>
      <c r="C412" s="13"/>
    </row>
    <row r="413" spans="1:3">
      <c r="A413" s="13"/>
      <c r="B413" s="13"/>
      <c r="C413" s="13"/>
    </row>
    <row r="414" spans="1:3">
      <c r="A414" s="13"/>
      <c r="B414" s="13"/>
      <c r="C414" s="13"/>
    </row>
    <row r="415" spans="1:3">
      <c r="A415" s="13"/>
      <c r="B415" s="13"/>
      <c r="C415" s="13"/>
    </row>
    <row r="416" spans="1:3">
      <c r="A416" s="13"/>
      <c r="B416" s="13"/>
      <c r="C416" s="13"/>
    </row>
    <row r="417" spans="1:3">
      <c r="A417" s="13"/>
      <c r="B417" s="13"/>
      <c r="C417" s="13"/>
    </row>
    <row r="418" spans="1:3">
      <c r="A418" s="13"/>
      <c r="B418" s="13"/>
      <c r="C418" s="13"/>
    </row>
    <row r="419" spans="1:3">
      <c r="A419" s="13"/>
      <c r="B419" s="13"/>
      <c r="C419" s="13"/>
    </row>
    <row r="420" spans="1:3">
      <c r="A420" s="13"/>
      <c r="B420" s="13"/>
      <c r="C420" s="13"/>
    </row>
    <row r="421" spans="1:3">
      <c r="A421" s="13"/>
      <c r="B421" s="13"/>
      <c r="C421" s="13"/>
    </row>
    <row r="422" spans="1:3">
      <c r="A422" s="13"/>
      <c r="B422" s="13"/>
      <c r="C422" s="13"/>
    </row>
    <row r="423" spans="1:3">
      <c r="A423" s="13"/>
      <c r="B423" s="13"/>
      <c r="C423" s="13"/>
    </row>
    <row r="424" spans="1:3">
      <c r="A424" s="13"/>
      <c r="B424" s="13"/>
      <c r="C424" s="13"/>
    </row>
    <row r="425" spans="1:3">
      <c r="A425" s="13"/>
      <c r="B425" s="13"/>
      <c r="C425" s="13"/>
    </row>
    <row r="426" spans="1:3">
      <c r="A426" s="13"/>
      <c r="B426" s="13"/>
      <c r="C426" s="13"/>
    </row>
    <row r="427" spans="1:3">
      <c r="A427" s="13"/>
      <c r="B427" s="13"/>
      <c r="C427" s="13"/>
    </row>
    <row r="428" spans="1:3">
      <c r="A428" s="13"/>
      <c r="B428" s="13"/>
      <c r="C428" s="13"/>
    </row>
    <row r="429" spans="1:3">
      <c r="A429" s="13"/>
      <c r="B429" s="13"/>
      <c r="C429" s="13"/>
    </row>
    <row r="430" spans="1:3">
      <c r="A430" s="13"/>
      <c r="B430" s="13"/>
      <c r="C430" s="13"/>
    </row>
    <row r="431" spans="1:3">
      <c r="A431" s="13"/>
      <c r="B431" s="13"/>
      <c r="C431" s="13"/>
    </row>
    <row r="432" spans="1:3">
      <c r="A432" s="13"/>
      <c r="B432" s="13"/>
      <c r="C432" s="13"/>
    </row>
    <row r="433" spans="1:3">
      <c r="A433" s="13"/>
      <c r="B433" s="13"/>
      <c r="C433" s="13"/>
    </row>
    <row r="434" spans="1:3">
      <c r="A434" s="13"/>
      <c r="B434" s="13"/>
      <c r="C434" s="13"/>
    </row>
    <row r="435" spans="1:3">
      <c r="A435" s="13"/>
      <c r="B435" s="13"/>
      <c r="C435" s="13"/>
    </row>
    <row r="436" spans="1:3">
      <c r="A436" s="13"/>
      <c r="B436" s="13"/>
      <c r="C436" s="13"/>
    </row>
    <row r="437" spans="1:3">
      <c r="A437" s="13"/>
      <c r="B437" s="13"/>
      <c r="C437" s="13"/>
    </row>
    <row r="438" spans="1:3">
      <c r="A438" s="13"/>
      <c r="B438" s="13"/>
      <c r="C438" s="13"/>
    </row>
    <row r="439" spans="1:3">
      <c r="A439" s="13"/>
      <c r="B439" s="13"/>
      <c r="C439" s="13"/>
    </row>
    <row r="440" spans="1:3">
      <c r="A440" s="13"/>
      <c r="B440" s="13"/>
      <c r="C440" s="13"/>
    </row>
    <row r="441" spans="1:3">
      <c r="A441" s="13"/>
      <c r="B441" s="13"/>
      <c r="C441" s="13"/>
    </row>
    <row r="442" spans="1:3">
      <c r="A442" s="13"/>
      <c r="B442" s="13"/>
      <c r="C442" s="13"/>
    </row>
    <row r="443" spans="1:3">
      <c r="A443" s="13"/>
      <c r="B443" s="13"/>
      <c r="C443" s="13"/>
    </row>
    <row r="444" spans="1:3">
      <c r="A444" s="13"/>
      <c r="B444" s="13"/>
      <c r="C444" s="13"/>
    </row>
    <row r="445" spans="1:3">
      <c r="A445" s="13"/>
      <c r="B445" s="13"/>
      <c r="C445" s="13"/>
    </row>
    <row r="446" spans="1:3">
      <c r="A446" s="13"/>
      <c r="B446" s="13"/>
      <c r="C446" s="13"/>
    </row>
    <row r="447" spans="1:3">
      <c r="A447" s="13"/>
      <c r="B447" s="13"/>
      <c r="C447" s="13"/>
    </row>
    <row r="448" spans="1:3">
      <c r="A448" s="13"/>
      <c r="B448" s="13"/>
      <c r="C448" s="13"/>
    </row>
    <row r="449" spans="1:3">
      <c r="A449" s="13"/>
      <c r="B449" s="13"/>
      <c r="C449" s="13"/>
    </row>
    <row r="450" spans="1:3">
      <c r="A450" s="13"/>
      <c r="B450" s="13"/>
      <c r="C450" s="13"/>
    </row>
    <row r="451" spans="1:3">
      <c r="A451" s="13"/>
      <c r="B451" s="13"/>
      <c r="C451" s="13"/>
    </row>
    <row r="452" spans="1:3">
      <c r="A452" s="13"/>
      <c r="B452" s="13"/>
      <c r="C452" s="13"/>
    </row>
    <row r="453" spans="1:3">
      <c r="A453" s="13"/>
      <c r="B453" s="13"/>
      <c r="C453" s="13"/>
    </row>
    <row r="454" spans="1:3">
      <c r="A454" s="13"/>
      <c r="B454" s="13"/>
      <c r="C454" s="13"/>
    </row>
    <row r="455" spans="1:3">
      <c r="A455" s="13"/>
      <c r="B455" s="13"/>
      <c r="C455" s="13"/>
    </row>
    <row r="456" spans="1:3">
      <c r="A456" s="13"/>
      <c r="B456" s="13"/>
      <c r="C456" s="13"/>
    </row>
    <row r="457" spans="1:3">
      <c r="A457" s="13"/>
      <c r="B457" s="13"/>
      <c r="C457" s="13"/>
    </row>
    <row r="458" spans="1:3">
      <c r="A458" s="13"/>
      <c r="B458" s="13"/>
      <c r="C458" s="13"/>
    </row>
    <row r="459" spans="1:3">
      <c r="A459" s="13"/>
      <c r="B459" s="13"/>
      <c r="C459" s="13"/>
    </row>
    <row r="460" spans="1:3">
      <c r="A460" s="13"/>
      <c r="B460" s="13"/>
      <c r="C460" s="13"/>
    </row>
    <row r="461" spans="1:3">
      <c r="A461" s="13"/>
      <c r="B461" s="13"/>
      <c r="C461" s="13"/>
    </row>
    <row r="462" spans="1:3">
      <c r="A462" s="13"/>
      <c r="B462" s="13"/>
      <c r="C462" s="13"/>
    </row>
    <row r="463" spans="1:3">
      <c r="A463" s="13"/>
      <c r="B463" s="13"/>
      <c r="C463" s="13"/>
    </row>
    <row r="464" spans="1:3">
      <c r="A464" s="13"/>
      <c r="B464" s="13"/>
      <c r="C464" s="13"/>
    </row>
    <row r="465" spans="1:3">
      <c r="A465" s="13"/>
      <c r="B465" s="13"/>
      <c r="C465" s="13"/>
    </row>
    <row r="466" spans="1:3">
      <c r="A466" s="13"/>
      <c r="B466" s="13"/>
      <c r="C466" s="13"/>
    </row>
    <row r="467" spans="1:3">
      <c r="A467" s="13"/>
      <c r="B467" s="13"/>
      <c r="C467" s="13"/>
    </row>
    <row r="468" spans="1:3">
      <c r="A468" s="13"/>
      <c r="B468" s="13"/>
      <c r="C468" s="13"/>
    </row>
    <row r="469" spans="1:3">
      <c r="A469" s="13"/>
      <c r="B469" s="13"/>
      <c r="C469" s="13"/>
    </row>
    <row r="470" spans="1:3">
      <c r="A470" s="13"/>
      <c r="B470" s="13"/>
      <c r="C470" s="13"/>
    </row>
    <row r="471" spans="1:3">
      <c r="A471" s="13"/>
      <c r="B471" s="13"/>
      <c r="C471" s="13"/>
    </row>
    <row r="472" spans="1:3">
      <c r="A472" s="13"/>
      <c r="B472" s="13"/>
      <c r="C472" s="13"/>
    </row>
    <row r="473" spans="1:3">
      <c r="A473" s="13"/>
      <c r="B473" s="13"/>
      <c r="C473" s="13"/>
    </row>
    <row r="474" spans="1:3">
      <c r="A474" s="13"/>
      <c r="B474" s="13"/>
      <c r="C474" s="13"/>
    </row>
    <row r="475" spans="1:3">
      <c r="A475" s="13"/>
      <c r="B475" s="13"/>
      <c r="C475" s="13"/>
    </row>
    <row r="476" spans="1:3">
      <c r="A476" s="13"/>
      <c r="B476" s="13"/>
      <c r="C476" s="13"/>
    </row>
    <row r="477" spans="1:3">
      <c r="A477" s="13"/>
      <c r="B477" s="13"/>
      <c r="C477" s="13"/>
    </row>
    <row r="478" spans="1:3">
      <c r="A478" s="13"/>
      <c r="B478" s="13"/>
      <c r="C478" s="13"/>
    </row>
    <row r="479" spans="1:3">
      <c r="A479" s="13"/>
      <c r="B479" s="13"/>
      <c r="C479" s="13"/>
    </row>
    <row r="480" spans="1:3">
      <c r="A480" s="13"/>
      <c r="B480" s="13"/>
      <c r="C480" s="13"/>
    </row>
    <row r="481" spans="1:3">
      <c r="A481" s="13"/>
      <c r="B481" s="13"/>
      <c r="C481" s="13"/>
    </row>
    <row r="482" spans="1:3">
      <c r="A482" s="13"/>
      <c r="B482" s="13"/>
      <c r="C482" s="13"/>
    </row>
    <row r="483" spans="1:3">
      <c r="A483" s="13"/>
      <c r="B483" s="13"/>
      <c r="C483" s="13"/>
    </row>
    <row r="484" spans="1:3">
      <c r="A484" s="13"/>
      <c r="B484" s="13"/>
      <c r="C484" s="13"/>
    </row>
    <row r="485" spans="1:3">
      <c r="A485" s="13"/>
      <c r="B485" s="13"/>
      <c r="C485" s="13"/>
    </row>
    <row r="486" spans="1:3">
      <c r="A486" s="13"/>
      <c r="B486" s="13"/>
      <c r="C486" s="13"/>
    </row>
    <row r="487" spans="1:3">
      <c r="A487" s="13"/>
      <c r="B487" s="13"/>
      <c r="C487" s="13"/>
    </row>
    <row r="488" spans="1:3">
      <c r="A488" s="13"/>
      <c r="B488" s="13"/>
      <c r="C488" s="13"/>
    </row>
    <row r="489" spans="1:3">
      <c r="A489" s="13"/>
      <c r="B489" s="13"/>
      <c r="C489" s="13"/>
    </row>
    <row r="490" spans="1:3">
      <c r="A490" s="13"/>
      <c r="B490" s="13"/>
      <c r="C490" s="13"/>
    </row>
    <row r="491" spans="1:3">
      <c r="A491" s="13"/>
      <c r="B491" s="13"/>
      <c r="C491" s="13"/>
    </row>
    <row r="492" spans="1:3">
      <c r="A492" s="13"/>
      <c r="B492" s="13"/>
      <c r="C492" s="13"/>
    </row>
    <row r="493" spans="1:3">
      <c r="A493" s="13"/>
      <c r="B493" s="13"/>
      <c r="C493" s="13"/>
    </row>
    <row r="494" spans="1:3">
      <c r="A494" s="13"/>
      <c r="B494" s="13"/>
      <c r="C494" s="13"/>
    </row>
    <row r="495" spans="1:3">
      <c r="A495" s="13"/>
      <c r="B495" s="13"/>
      <c r="C495" s="13"/>
    </row>
    <row r="496" spans="1:3">
      <c r="A496" s="13"/>
      <c r="B496" s="13"/>
      <c r="C496" s="13"/>
    </row>
    <row r="497" spans="1:3">
      <c r="A497" s="13"/>
      <c r="B497" s="13"/>
      <c r="C497" s="13"/>
    </row>
    <row r="498" spans="1:3">
      <c r="A498" s="13"/>
      <c r="B498" s="13"/>
      <c r="C498" s="13"/>
    </row>
    <row r="499" spans="1:3">
      <c r="A499" s="13"/>
      <c r="B499" s="13"/>
      <c r="C499" s="13"/>
    </row>
    <row r="500" spans="1:3">
      <c r="A500" s="13"/>
      <c r="B500" s="13"/>
      <c r="C500" s="13"/>
    </row>
    <row r="501" spans="1:3">
      <c r="A501" s="13"/>
      <c r="B501" s="13"/>
      <c r="C501" s="13"/>
    </row>
    <row r="502" spans="1:3">
      <c r="A502" s="13"/>
      <c r="B502" s="13"/>
      <c r="C502" s="13"/>
    </row>
    <row r="503" spans="1:3">
      <c r="A503" s="13"/>
      <c r="B503" s="13"/>
      <c r="C503" s="13"/>
    </row>
    <row r="504" spans="1:3">
      <c r="A504" s="13"/>
      <c r="B504" s="13"/>
      <c r="C504" s="13"/>
    </row>
    <row r="505" spans="1:3">
      <c r="A505" s="13"/>
      <c r="B505" s="13"/>
      <c r="C505" s="13"/>
    </row>
    <row r="506" spans="1:3">
      <c r="A506" s="13"/>
      <c r="B506" s="13"/>
      <c r="C506" s="13"/>
    </row>
    <row r="507" spans="1:3">
      <c r="A507" s="13"/>
      <c r="B507" s="13"/>
      <c r="C507" s="13"/>
    </row>
    <row r="508" spans="1:3">
      <c r="A508" s="13"/>
      <c r="B508" s="13"/>
      <c r="C508" s="13"/>
    </row>
    <row r="509" spans="1:3">
      <c r="A509" s="13"/>
      <c r="B509" s="13"/>
      <c r="C509" s="13"/>
    </row>
    <row r="510" spans="1:3">
      <c r="A510" s="13"/>
      <c r="B510" s="13"/>
      <c r="C510" s="13"/>
    </row>
    <row r="511" spans="1:3">
      <c r="A511" s="13"/>
      <c r="B511" s="13"/>
      <c r="C511" s="13"/>
    </row>
    <row r="512" spans="1:3">
      <c r="A512" s="13"/>
      <c r="B512" s="13"/>
      <c r="C512" s="13"/>
    </row>
    <row r="513" spans="1:3">
      <c r="A513" s="13"/>
      <c r="B513" s="13"/>
      <c r="C513" s="13"/>
    </row>
    <row r="514" spans="1:3">
      <c r="A514" s="13"/>
      <c r="B514" s="13"/>
      <c r="C514" s="13"/>
    </row>
    <row r="515" spans="1:3">
      <c r="A515" s="13"/>
      <c r="B515" s="13"/>
      <c r="C515" s="13"/>
    </row>
    <row r="516" spans="1:3">
      <c r="A516" s="13"/>
      <c r="B516" s="13"/>
      <c r="C516" s="13"/>
    </row>
    <row r="517" spans="1:3">
      <c r="A517" s="13"/>
      <c r="B517" s="13"/>
      <c r="C517" s="13"/>
    </row>
    <row r="518" spans="1:3">
      <c r="A518" s="13"/>
      <c r="B518" s="13"/>
      <c r="C518" s="13"/>
    </row>
    <row r="519" spans="1:3">
      <c r="A519" s="13"/>
      <c r="B519" s="13"/>
      <c r="C519" s="13"/>
    </row>
    <row r="520" spans="1:3">
      <c r="A520" s="13"/>
      <c r="B520" s="13"/>
      <c r="C520" s="13"/>
    </row>
    <row r="521" spans="1:3">
      <c r="A521" s="13"/>
      <c r="B521" s="13"/>
      <c r="C521" s="13"/>
    </row>
    <row r="522" spans="1:3">
      <c r="A522" s="13"/>
      <c r="B522" s="13"/>
      <c r="C522" s="13"/>
    </row>
    <row r="523" spans="1:3">
      <c r="A523" s="13"/>
      <c r="B523" s="13"/>
      <c r="C523" s="13"/>
    </row>
    <row r="524" spans="1:3">
      <c r="A524" s="13"/>
      <c r="B524" s="13"/>
      <c r="C524" s="13"/>
    </row>
    <row r="525" spans="1:3">
      <c r="A525" s="13"/>
      <c r="B525" s="13"/>
      <c r="C525" s="13"/>
    </row>
    <row r="526" spans="1:3">
      <c r="A526" s="13"/>
      <c r="B526" s="13"/>
      <c r="C526" s="13"/>
    </row>
    <row r="527" spans="1:3">
      <c r="A527" s="13"/>
      <c r="B527" s="13"/>
      <c r="C527" s="13"/>
    </row>
    <row r="528" spans="1:3">
      <c r="A528" s="13"/>
      <c r="B528" s="13"/>
      <c r="C528" s="13"/>
    </row>
    <row r="529" spans="1:3">
      <c r="A529" s="13"/>
      <c r="B529" s="13"/>
      <c r="C529" s="13"/>
    </row>
    <row r="530" spans="1:3">
      <c r="A530" s="13"/>
      <c r="B530" s="13"/>
      <c r="C530" s="13"/>
    </row>
    <row r="531" spans="1:3">
      <c r="A531" s="13"/>
      <c r="B531" s="13"/>
      <c r="C531" s="13"/>
    </row>
    <row r="532" spans="1:3">
      <c r="A532" s="13"/>
      <c r="B532" s="13"/>
      <c r="C532" s="13"/>
    </row>
    <row r="533" spans="1:3">
      <c r="A533" s="13"/>
      <c r="B533" s="13"/>
      <c r="C533" s="13"/>
    </row>
    <row r="534" spans="1:3">
      <c r="A534" s="13"/>
      <c r="B534" s="13"/>
      <c r="C534" s="13"/>
    </row>
    <row r="535" spans="1:3">
      <c r="A535" s="13"/>
      <c r="B535" s="13"/>
      <c r="C535" s="13"/>
    </row>
    <row r="536" spans="1:3">
      <c r="A536" s="13"/>
      <c r="B536" s="13"/>
      <c r="C536" s="13"/>
    </row>
    <row r="537" spans="1:3">
      <c r="A537" s="13"/>
      <c r="B537" s="13"/>
      <c r="C537" s="13"/>
    </row>
    <row r="538" spans="1:3">
      <c r="A538" s="13"/>
      <c r="B538" s="13"/>
      <c r="C538" s="13"/>
    </row>
    <row r="539" spans="1:3">
      <c r="A539" s="13"/>
      <c r="B539" s="13"/>
      <c r="C539" s="13"/>
    </row>
    <row r="540" spans="1:3">
      <c r="A540" s="13"/>
      <c r="B540" s="13"/>
      <c r="C540" s="13"/>
    </row>
    <row r="541" spans="1:3">
      <c r="A541" s="13"/>
      <c r="B541" s="13"/>
      <c r="C541" s="13"/>
    </row>
    <row r="542" spans="1:3">
      <c r="A542" s="13"/>
      <c r="B542" s="13"/>
      <c r="C542" s="13"/>
    </row>
    <row r="543" spans="1:3">
      <c r="A543" s="13"/>
      <c r="B543" s="13"/>
      <c r="C543" s="13"/>
    </row>
    <row r="544" spans="1:3">
      <c r="A544" s="13"/>
      <c r="B544" s="13"/>
      <c r="C544" s="13"/>
    </row>
    <row r="545" spans="1:3">
      <c r="A545" s="13"/>
      <c r="B545" s="13"/>
      <c r="C545" s="13"/>
    </row>
    <row r="546" spans="1:3">
      <c r="A546" s="13"/>
      <c r="B546" s="13"/>
      <c r="C546" s="13"/>
    </row>
    <row r="547" spans="1:3">
      <c r="A547" s="13"/>
      <c r="B547" s="13"/>
      <c r="C547" s="13"/>
    </row>
    <row r="548" spans="1:3">
      <c r="A548" s="13"/>
      <c r="B548" s="13"/>
      <c r="C548" s="13"/>
    </row>
    <row r="549" spans="1:3">
      <c r="A549" s="13"/>
      <c r="B549" s="13"/>
      <c r="C549" s="13"/>
    </row>
    <row r="550" spans="1:3">
      <c r="A550" s="13"/>
      <c r="B550" s="13"/>
      <c r="C550" s="13"/>
    </row>
    <row r="551" spans="1:3">
      <c r="A551" s="13"/>
      <c r="B551" s="13"/>
      <c r="C551" s="13"/>
    </row>
    <row r="552" spans="1:3">
      <c r="A552" s="13"/>
      <c r="B552" s="13"/>
      <c r="C552" s="13"/>
    </row>
    <row r="553" spans="1:3">
      <c r="A553" s="13"/>
      <c r="B553" s="13"/>
      <c r="C553" s="13"/>
    </row>
    <row r="554" spans="1:3">
      <c r="A554" s="13"/>
      <c r="B554" s="13"/>
      <c r="C554" s="13"/>
    </row>
    <row r="555" spans="1:3">
      <c r="A555" s="13"/>
      <c r="B555" s="13"/>
      <c r="C555" s="13"/>
    </row>
    <row r="556" spans="1:3">
      <c r="A556" s="13"/>
      <c r="B556" s="13"/>
      <c r="C556" s="13"/>
    </row>
    <row r="557" spans="1:3">
      <c r="A557" s="13"/>
      <c r="B557" s="13"/>
      <c r="C557" s="13"/>
    </row>
    <row r="558" spans="1:3">
      <c r="A558" s="13"/>
      <c r="B558" s="13"/>
      <c r="C558" s="13"/>
    </row>
    <row r="559" spans="1:3">
      <c r="A559" s="13"/>
      <c r="B559" s="13"/>
      <c r="C559" s="13"/>
    </row>
    <row r="560" spans="1:3">
      <c r="A560" s="13"/>
      <c r="B560" s="13"/>
      <c r="C560" s="13"/>
    </row>
    <row r="561" spans="1:3">
      <c r="A561" s="13"/>
      <c r="B561" s="13"/>
      <c r="C561" s="13"/>
    </row>
    <row r="562" spans="1:3">
      <c r="A562" s="13"/>
      <c r="B562" s="13"/>
      <c r="C562" s="13"/>
    </row>
    <row r="563" spans="1:3">
      <c r="A563" s="13"/>
      <c r="B563" s="13"/>
      <c r="C563" s="13"/>
    </row>
    <row r="564" spans="1:3">
      <c r="A564" s="13"/>
      <c r="B564" s="13"/>
      <c r="C564" s="13"/>
    </row>
    <row r="565" spans="1:3">
      <c r="A565" s="13"/>
      <c r="B565" s="13"/>
      <c r="C565" s="13"/>
    </row>
    <row r="566" spans="1:3">
      <c r="A566" s="13"/>
      <c r="B566" s="13"/>
      <c r="C566" s="13"/>
    </row>
    <row r="567" spans="1:3">
      <c r="A567" s="13"/>
      <c r="B567" s="13"/>
      <c r="C567" s="13"/>
    </row>
    <row r="568" spans="1:3">
      <c r="A568" s="13"/>
      <c r="B568" s="13"/>
      <c r="C568" s="13"/>
    </row>
    <row r="569" spans="1:3">
      <c r="A569" s="13"/>
      <c r="B569" s="13"/>
      <c r="C569" s="13"/>
    </row>
    <row r="570" spans="1:3">
      <c r="A570" s="13"/>
      <c r="B570" s="13"/>
      <c r="C570" s="13"/>
    </row>
    <row r="571" spans="1:3">
      <c r="A571" s="13"/>
      <c r="B571" s="13"/>
      <c r="C571" s="13"/>
    </row>
    <row r="572" spans="1:3">
      <c r="A572" s="13"/>
      <c r="B572" s="13"/>
      <c r="C572" s="13"/>
    </row>
    <row r="573" spans="1:3">
      <c r="A573" s="13"/>
      <c r="B573" s="13"/>
      <c r="C573" s="13"/>
    </row>
    <row r="574" spans="1:3">
      <c r="A574" s="13"/>
      <c r="B574" s="13"/>
      <c r="C574" s="13"/>
    </row>
    <row r="575" spans="1:3">
      <c r="A575" s="13"/>
      <c r="B575" s="13"/>
      <c r="C575" s="13"/>
    </row>
    <row r="576" spans="1:3">
      <c r="A576" s="13"/>
      <c r="B576" s="13"/>
      <c r="C576" s="13"/>
    </row>
    <row r="577" spans="1:3">
      <c r="A577" s="13"/>
      <c r="B577" s="13"/>
      <c r="C577" s="13"/>
    </row>
    <row r="578" spans="1:3">
      <c r="A578" s="13"/>
      <c r="B578" s="13"/>
      <c r="C578" s="13"/>
    </row>
    <row r="579" spans="1:3">
      <c r="A579" s="13"/>
      <c r="B579" s="13"/>
      <c r="C579" s="13"/>
    </row>
    <row r="580" spans="1:3">
      <c r="A580" s="13"/>
      <c r="B580" s="13"/>
      <c r="C580" s="13"/>
    </row>
    <row r="581" spans="1:3">
      <c r="A581" s="13"/>
      <c r="B581" s="13"/>
      <c r="C581" s="13"/>
    </row>
    <row r="582" spans="1:3">
      <c r="A582" s="13"/>
      <c r="B582" s="13"/>
      <c r="C582" s="13"/>
    </row>
    <row r="583" spans="1:3">
      <c r="A583" s="13"/>
      <c r="B583" s="13"/>
      <c r="C583" s="13"/>
    </row>
    <row r="584" spans="1:3">
      <c r="A584" s="13"/>
      <c r="B584" s="13"/>
      <c r="C584" s="13"/>
    </row>
    <row r="585" spans="1:3">
      <c r="A585" s="13"/>
      <c r="B585" s="13"/>
      <c r="C585" s="13"/>
    </row>
    <row r="586" spans="1:3">
      <c r="A586" s="13"/>
      <c r="B586" s="13"/>
      <c r="C586" s="13"/>
    </row>
    <row r="587" spans="1:3">
      <c r="A587" s="13"/>
      <c r="B587" s="13"/>
      <c r="C587" s="13"/>
    </row>
    <row r="588" spans="1:3">
      <c r="A588" s="13"/>
      <c r="B588" s="13"/>
      <c r="C588" s="13"/>
    </row>
    <row r="589" spans="1:3">
      <c r="A589" s="13"/>
      <c r="B589" s="13"/>
      <c r="C589" s="13"/>
    </row>
    <row r="590" spans="1:3">
      <c r="A590" s="13"/>
      <c r="B590" s="13"/>
      <c r="C590" s="13"/>
    </row>
    <row r="591" spans="1:3">
      <c r="A591" s="13"/>
      <c r="B591" s="13"/>
      <c r="C591" s="13"/>
    </row>
    <row r="592" spans="1:3">
      <c r="A592" s="13"/>
      <c r="B592" s="13"/>
      <c r="C592" s="13"/>
    </row>
    <row r="593" spans="1:3">
      <c r="A593" s="13"/>
      <c r="B593" s="13"/>
      <c r="C593" s="13"/>
    </row>
    <row r="594" spans="1:3">
      <c r="A594" s="13"/>
      <c r="B594" s="13"/>
      <c r="C594" s="13"/>
    </row>
    <row r="595" spans="1:3">
      <c r="A595" s="13"/>
      <c r="B595" s="13"/>
      <c r="C595" s="13"/>
    </row>
    <row r="596" spans="1:3">
      <c r="A596" s="13"/>
      <c r="B596" s="13"/>
      <c r="C596" s="13"/>
    </row>
    <row r="597" spans="1:3">
      <c r="A597" s="13"/>
      <c r="B597" s="13"/>
      <c r="C597" s="13"/>
    </row>
    <row r="598" spans="1:3">
      <c r="A598" s="13"/>
      <c r="B598" s="13"/>
      <c r="C598" s="13"/>
    </row>
    <row r="599" spans="1:3">
      <c r="A599" s="13"/>
      <c r="B599" s="13"/>
      <c r="C599" s="13"/>
    </row>
    <row r="600" spans="1:3">
      <c r="A600" s="13"/>
      <c r="B600" s="13"/>
      <c r="C600" s="13"/>
    </row>
    <row r="601" spans="1:3">
      <c r="A601" s="13"/>
      <c r="B601" s="13"/>
      <c r="C601" s="13"/>
    </row>
    <row r="602" spans="1:3">
      <c r="A602" s="13"/>
      <c r="B602" s="13"/>
      <c r="C602" s="13"/>
    </row>
    <row r="603" spans="1:3">
      <c r="A603" s="13"/>
      <c r="B603" s="13"/>
      <c r="C603" s="13"/>
    </row>
    <row r="604" spans="1:3">
      <c r="A604" s="13"/>
      <c r="B604" s="13"/>
      <c r="C604" s="13"/>
    </row>
    <row r="605" spans="1:3">
      <c r="A605" s="13"/>
      <c r="B605" s="13"/>
      <c r="C605" s="13"/>
    </row>
    <row r="606" spans="1:3">
      <c r="A606" s="13"/>
      <c r="B606" s="13"/>
      <c r="C606" s="13"/>
    </row>
    <row r="607" spans="1:3">
      <c r="A607" s="13"/>
      <c r="B607" s="13"/>
      <c r="C607" s="13"/>
    </row>
    <row r="608" spans="1:3">
      <c r="A608" s="13"/>
      <c r="B608" s="13"/>
      <c r="C608" s="13"/>
    </row>
    <row r="609" spans="1:3">
      <c r="A609" s="13"/>
      <c r="B609" s="13"/>
      <c r="C609" s="13"/>
    </row>
    <row r="610" spans="1:3">
      <c r="A610" s="13"/>
      <c r="B610" s="13"/>
      <c r="C610" s="13"/>
    </row>
    <row r="611" spans="1:3">
      <c r="A611" s="13"/>
      <c r="B611" s="13"/>
      <c r="C611" s="13"/>
    </row>
    <row r="612" spans="1:3">
      <c r="A612" s="13"/>
      <c r="B612" s="13"/>
      <c r="C612" s="13"/>
    </row>
    <row r="613" spans="1:3">
      <c r="A613" s="13"/>
      <c r="B613" s="13"/>
      <c r="C613" s="13"/>
    </row>
    <row r="614" spans="1:3">
      <c r="A614" s="13"/>
      <c r="B614" s="13"/>
      <c r="C614" s="13"/>
    </row>
    <row r="615" spans="1:3">
      <c r="A615" s="13"/>
      <c r="B615" s="13"/>
      <c r="C615" s="13"/>
    </row>
    <row r="616" spans="1:3">
      <c r="A616" s="13"/>
      <c r="B616" s="13"/>
      <c r="C616" s="13"/>
    </row>
    <row r="617" spans="1:3">
      <c r="A617" s="13"/>
      <c r="B617" s="13"/>
      <c r="C617" s="13"/>
    </row>
    <row r="618" spans="1:3">
      <c r="A618" s="13"/>
      <c r="B618" s="13"/>
      <c r="C618" s="13"/>
    </row>
    <row r="619" spans="1:3">
      <c r="A619" s="13"/>
      <c r="B619" s="13"/>
      <c r="C619" s="13"/>
    </row>
    <row r="620" spans="1:3">
      <c r="A620" s="13"/>
      <c r="B620" s="13"/>
      <c r="C620" s="13"/>
    </row>
    <row r="621" spans="1:3">
      <c r="A621" s="13"/>
      <c r="B621" s="13"/>
      <c r="C621" s="13"/>
    </row>
    <row r="622" spans="1:3">
      <c r="A622" s="13"/>
      <c r="B622" s="13"/>
      <c r="C622" s="13"/>
    </row>
    <row r="623" spans="1:3">
      <c r="A623" s="13"/>
      <c r="B623" s="13"/>
      <c r="C623" s="13"/>
    </row>
    <row r="624" spans="1:3">
      <c r="A624" s="13"/>
      <c r="B624" s="13"/>
      <c r="C624" s="13"/>
    </row>
    <row r="625" spans="1:3">
      <c r="A625" s="13"/>
      <c r="B625" s="13"/>
      <c r="C625" s="13"/>
    </row>
    <row r="626" spans="1:3">
      <c r="A626" s="13"/>
      <c r="B626" s="13"/>
      <c r="C626" s="13"/>
    </row>
    <row r="627" spans="1:3">
      <c r="A627" s="13"/>
      <c r="B627" s="13"/>
      <c r="C627" s="13"/>
    </row>
    <row r="628" spans="1:3">
      <c r="A628" s="13"/>
      <c r="B628" s="13"/>
      <c r="C628" s="13"/>
    </row>
    <row r="629" spans="1:3">
      <c r="A629" s="13"/>
      <c r="B629" s="13"/>
      <c r="C629" s="13"/>
    </row>
    <row r="630" spans="1:3">
      <c r="A630" s="13"/>
      <c r="B630" s="13"/>
      <c r="C630" s="13"/>
    </row>
    <row r="631" spans="1:3">
      <c r="A631" s="13"/>
      <c r="B631" s="13"/>
      <c r="C631" s="13"/>
    </row>
    <row r="632" spans="1:3">
      <c r="A632" s="13"/>
      <c r="B632" s="13"/>
      <c r="C632" s="13"/>
    </row>
    <row r="633" spans="1:3">
      <c r="A633" s="13"/>
      <c r="B633" s="13"/>
      <c r="C633" s="13"/>
    </row>
    <row r="634" spans="1:3">
      <c r="A634" s="13"/>
      <c r="B634" s="13"/>
      <c r="C634" s="13"/>
    </row>
    <row r="635" spans="1:3">
      <c r="A635" s="13"/>
      <c r="B635" s="13"/>
      <c r="C635" s="13"/>
    </row>
    <row r="636" spans="1:3">
      <c r="A636" s="13"/>
      <c r="B636" s="13"/>
      <c r="C636" s="13"/>
    </row>
    <row r="637" spans="1:3">
      <c r="A637" s="13"/>
      <c r="B637" s="13"/>
      <c r="C637" s="13"/>
    </row>
    <row r="638" spans="1:3">
      <c r="A638" s="13"/>
      <c r="B638" s="13"/>
      <c r="C638" s="13"/>
    </row>
    <row r="639" spans="1:3">
      <c r="A639" s="13"/>
      <c r="B639" s="13"/>
      <c r="C639" s="13"/>
    </row>
    <row r="640" spans="1:3">
      <c r="A640" s="13"/>
      <c r="B640" s="13"/>
      <c r="C640" s="13"/>
    </row>
    <row r="641" spans="1:3">
      <c r="A641" s="13"/>
      <c r="B641" s="13"/>
      <c r="C641" s="13"/>
    </row>
    <row r="642" spans="1:3">
      <c r="A642" s="13"/>
      <c r="B642" s="13"/>
      <c r="C642" s="13"/>
    </row>
    <row r="643" spans="1:3">
      <c r="A643" s="13"/>
      <c r="B643" s="13"/>
      <c r="C643" s="13"/>
    </row>
    <row r="644" spans="1:3">
      <c r="A644" s="13"/>
      <c r="B644" s="13"/>
      <c r="C644" s="13"/>
    </row>
    <row r="645" spans="1:3">
      <c r="A645" s="13"/>
      <c r="B645" s="13"/>
      <c r="C645" s="13"/>
    </row>
    <row r="646" spans="1:3">
      <c r="A646" s="13"/>
      <c r="B646" s="13"/>
      <c r="C646" s="13"/>
    </row>
    <row r="647" spans="1:3">
      <c r="A647" s="13"/>
      <c r="B647" s="13"/>
      <c r="C647" s="13"/>
    </row>
    <row r="648" spans="1:3">
      <c r="A648" s="13"/>
      <c r="B648" s="13"/>
      <c r="C648" s="13"/>
    </row>
    <row r="649" spans="1:3">
      <c r="A649" s="13"/>
      <c r="B649" s="13"/>
      <c r="C649" s="13"/>
    </row>
    <row r="650" spans="1:3">
      <c r="A650" s="13"/>
      <c r="B650" s="13"/>
      <c r="C650" s="13"/>
    </row>
    <row r="651" spans="1:3">
      <c r="A651" s="13"/>
      <c r="B651" s="13"/>
      <c r="C651" s="13"/>
    </row>
    <row r="652" spans="1:3">
      <c r="A652" s="13"/>
      <c r="B652" s="13"/>
      <c r="C652" s="13"/>
    </row>
    <row r="653" spans="1:3">
      <c r="A653" s="13"/>
      <c r="B653" s="13"/>
      <c r="C653" s="13"/>
    </row>
    <row r="654" spans="1:3">
      <c r="A654" s="13"/>
      <c r="B654" s="13"/>
      <c r="C654" s="13"/>
    </row>
    <row r="655" spans="1:3">
      <c r="A655" s="13"/>
      <c r="B655" s="13"/>
      <c r="C655" s="13"/>
    </row>
    <row r="656" spans="1:3">
      <c r="A656" s="13"/>
      <c r="B656" s="13"/>
      <c r="C656" s="13"/>
    </row>
    <row r="657" spans="1:3">
      <c r="A657" s="13"/>
      <c r="B657" s="13"/>
      <c r="C657" s="13"/>
    </row>
    <row r="658" spans="1:3">
      <c r="A658" s="13"/>
      <c r="B658" s="13"/>
      <c r="C658" s="13"/>
    </row>
    <row r="659" spans="1:3">
      <c r="A659" s="13"/>
      <c r="B659" s="13"/>
      <c r="C659" s="13"/>
    </row>
    <row r="660" spans="1:3">
      <c r="A660" s="13"/>
      <c r="B660" s="13"/>
      <c r="C660" s="13"/>
    </row>
    <row r="661" spans="1:3">
      <c r="A661" s="13"/>
      <c r="B661" s="13"/>
      <c r="C661" s="13"/>
    </row>
    <row r="662" spans="1:3">
      <c r="A662" s="13"/>
      <c r="B662" s="13"/>
      <c r="C662" s="13"/>
    </row>
    <row r="663" spans="1:3">
      <c r="A663" s="13"/>
      <c r="B663" s="13"/>
      <c r="C663" s="13"/>
    </row>
    <row r="664" spans="1:3">
      <c r="A664" s="13"/>
      <c r="B664" s="13"/>
      <c r="C664" s="13"/>
    </row>
    <row r="665" spans="1:3">
      <c r="A665" s="13"/>
      <c r="B665" s="13"/>
      <c r="C665" s="13"/>
    </row>
    <row r="666" spans="1:3">
      <c r="A666" s="13"/>
      <c r="B666" s="13"/>
      <c r="C666" s="13"/>
    </row>
    <row r="667" spans="1:3">
      <c r="A667" s="13"/>
      <c r="B667" s="13"/>
      <c r="C667" s="13"/>
    </row>
    <row r="668" spans="1:3">
      <c r="A668" s="13"/>
      <c r="B668" s="13"/>
      <c r="C668" s="13"/>
    </row>
    <row r="669" spans="1:3">
      <c r="A669" s="13"/>
      <c r="B669" s="13"/>
      <c r="C669" s="13"/>
    </row>
    <row r="670" spans="1:3">
      <c r="A670" s="13"/>
      <c r="B670" s="13"/>
      <c r="C670" s="13"/>
    </row>
    <row r="671" spans="1:3">
      <c r="A671" s="13"/>
      <c r="B671" s="13"/>
      <c r="C671" s="13"/>
    </row>
    <row r="672" spans="1:3">
      <c r="A672" s="13"/>
      <c r="B672" s="13"/>
      <c r="C672" s="13"/>
    </row>
    <row r="673" spans="1:3">
      <c r="A673" s="13"/>
      <c r="B673" s="13"/>
      <c r="C673" s="13"/>
    </row>
    <row r="674" spans="1:3">
      <c r="A674" s="13"/>
      <c r="B674" s="13"/>
      <c r="C674" s="13"/>
    </row>
    <row r="675" spans="1:3">
      <c r="A675" s="13"/>
      <c r="B675" s="13"/>
      <c r="C675" s="13"/>
    </row>
    <row r="676" spans="1:3">
      <c r="A676" s="13"/>
      <c r="B676" s="13"/>
      <c r="C676" s="13"/>
    </row>
    <row r="677" spans="1:3">
      <c r="A677" s="13"/>
      <c r="B677" s="13"/>
      <c r="C677" s="13"/>
    </row>
    <row r="678" spans="1:3">
      <c r="A678" s="13"/>
      <c r="B678" s="13"/>
      <c r="C678" s="13"/>
    </row>
    <row r="679" spans="1:3">
      <c r="A679" s="13"/>
      <c r="B679" s="13"/>
      <c r="C679" s="13"/>
    </row>
    <row r="680" spans="1:3">
      <c r="A680" s="13"/>
      <c r="B680" s="13"/>
      <c r="C680" s="13"/>
    </row>
    <row r="681" spans="1:3">
      <c r="A681" s="13"/>
      <c r="B681" s="13"/>
      <c r="C681" s="13"/>
    </row>
    <row r="682" spans="1:3">
      <c r="A682" s="13"/>
      <c r="B682" s="13"/>
      <c r="C682" s="13"/>
    </row>
    <row r="683" spans="1:3">
      <c r="A683" s="13"/>
      <c r="B683" s="13"/>
      <c r="C683" s="13"/>
    </row>
    <row r="684" spans="1:3">
      <c r="A684" s="13"/>
      <c r="B684" s="13"/>
      <c r="C684" s="13"/>
    </row>
    <row r="685" spans="1:3">
      <c r="A685" s="13"/>
      <c r="B685" s="13"/>
      <c r="C685" s="13"/>
    </row>
    <row r="686" spans="1:3">
      <c r="A686" s="13"/>
      <c r="B686" s="13"/>
      <c r="C686" s="13"/>
    </row>
    <row r="687" spans="1:3">
      <c r="A687" s="13"/>
      <c r="B687" s="13"/>
      <c r="C687" s="13"/>
    </row>
    <row r="688" spans="1:3">
      <c r="A688" s="13"/>
      <c r="B688" s="13"/>
      <c r="C688" s="13"/>
    </row>
    <row r="689" spans="1:3">
      <c r="A689" s="13"/>
      <c r="B689" s="13"/>
      <c r="C689" s="13"/>
    </row>
    <row r="690" spans="1:3">
      <c r="A690" s="13"/>
      <c r="B690" s="13"/>
      <c r="C690" s="13"/>
    </row>
    <row r="691" spans="1:3">
      <c r="A691" s="13"/>
      <c r="B691" s="13"/>
      <c r="C691" s="13"/>
    </row>
    <row r="692" spans="1:3">
      <c r="A692" s="13"/>
      <c r="B692" s="13"/>
      <c r="C692" s="13"/>
    </row>
    <row r="693" spans="1:3">
      <c r="A693" s="13"/>
      <c r="B693" s="13"/>
      <c r="C693" s="13"/>
    </row>
    <row r="694" spans="1:3">
      <c r="A694" s="13"/>
      <c r="B694" s="13"/>
      <c r="C694" s="13"/>
    </row>
    <row r="695" spans="1:3">
      <c r="A695" s="13"/>
      <c r="B695" s="13"/>
      <c r="C695" s="13"/>
    </row>
    <row r="696" spans="1:3">
      <c r="A696" s="13"/>
      <c r="B696" s="13"/>
      <c r="C696" s="13"/>
    </row>
    <row r="697" spans="1:3">
      <c r="A697" s="13"/>
      <c r="B697" s="13"/>
      <c r="C697" s="13"/>
    </row>
    <row r="698" spans="1:3">
      <c r="A698" s="13"/>
      <c r="B698" s="13"/>
      <c r="C698" s="13"/>
    </row>
    <row r="699" spans="1:3">
      <c r="A699" s="13"/>
      <c r="B699" s="13"/>
      <c r="C699" s="13"/>
    </row>
    <row r="700" spans="1:3">
      <c r="A700" s="13"/>
      <c r="B700" s="13"/>
      <c r="C700" s="13"/>
    </row>
    <row r="701" spans="1:3">
      <c r="A701" s="13"/>
      <c r="B701" s="13"/>
      <c r="C701" s="13"/>
    </row>
    <row r="702" spans="1:3">
      <c r="A702" s="13"/>
      <c r="B702" s="13"/>
      <c r="C702" s="13"/>
    </row>
    <row r="703" spans="1:3">
      <c r="A703" s="13"/>
      <c r="B703" s="13"/>
      <c r="C703" s="13"/>
    </row>
    <row r="704" spans="1:3">
      <c r="A704" s="13"/>
      <c r="B704" s="13"/>
      <c r="C704" s="13"/>
    </row>
    <row r="705" spans="1:3">
      <c r="A705" s="13"/>
      <c r="B705" s="13"/>
      <c r="C705" s="13"/>
    </row>
    <row r="706" spans="1:3">
      <c r="A706" s="13"/>
      <c r="B706" s="13"/>
      <c r="C706" s="13"/>
    </row>
    <row r="707" spans="1:3">
      <c r="A707" s="13"/>
      <c r="B707" s="13"/>
      <c r="C707" s="13"/>
    </row>
    <row r="708" spans="1:3">
      <c r="A708" s="13"/>
      <c r="B708" s="13"/>
      <c r="C708" s="13"/>
    </row>
    <row r="709" spans="1:3">
      <c r="A709" s="13"/>
      <c r="B709" s="13"/>
      <c r="C709" s="13"/>
    </row>
    <row r="710" spans="1:3">
      <c r="A710" s="13"/>
      <c r="B710" s="13"/>
      <c r="C710" s="13"/>
    </row>
    <row r="711" spans="1:3">
      <c r="A711" s="13"/>
      <c r="B711" s="13"/>
      <c r="C711" s="13"/>
    </row>
    <row r="712" spans="1:3">
      <c r="A712" s="13"/>
      <c r="B712" s="13"/>
      <c r="C712" s="13"/>
    </row>
    <row r="713" spans="1:3">
      <c r="A713" s="13"/>
      <c r="B713" s="13"/>
      <c r="C713" s="13"/>
    </row>
    <row r="714" spans="1:3">
      <c r="A714" s="13"/>
      <c r="B714" s="13"/>
      <c r="C714" s="13"/>
    </row>
    <row r="715" spans="1:3">
      <c r="A715" s="13"/>
      <c r="B715" s="13"/>
      <c r="C715" s="13"/>
    </row>
    <row r="716" spans="1:3">
      <c r="A716" s="13"/>
      <c r="B716" s="13"/>
      <c r="C716" s="13"/>
    </row>
    <row r="717" spans="1:3">
      <c r="A717" s="13"/>
      <c r="B717" s="13"/>
      <c r="C717" s="13"/>
    </row>
    <row r="718" spans="1:3">
      <c r="A718" s="13"/>
      <c r="B718" s="13"/>
      <c r="C718" s="13"/>
    </row>
    <row r="719" spans="1:3">
      <c r="A719" s="13"/>
      <c r="B719" s="13"/>
      <c r="C719" s="13"/>
    </row>
    <row r="720" spans="1:3">
      <c r="A720" s="13"/>
      <c r="B720" s="13"/>
      <c r="C720" s="13"/>
    </row>
    <row r="721" spans="1:3">
      <c r="A721" s="13"/>
      <c r="B721" s="13"/>
      <c r="C721" s="13"/>
    </row>
    <row r="722" spans="1:3">
      <c r="A722" s="13"/>
      <c r="B722" s="13"/>
      <c r="C722" s="13"/>
    </row>
    <row r="723" spans="1:3">
      <c r="A723" s="13"/>
      <c r="B723" s="13"/>
      <c r="C723" s="13"/>
    </row>
    <row r="724" spans="1:3">
      <c r="A724" s="13"/>
      <c r="B724" s="13"/>
      <c r="C724" s="13"/>
    </row>
    <row r="725" spans="1:3">
      <c r="A725" s="13"/>
      <c r="B725" s="13"/>
      <c r="C725" s="13"/>
    </row>
    <row r="726" spans="1:3">
      <c r="A726" s="13"/>
      <c r="B726" s="13"/>
      <c r="C726" s="13"/>
    </row>
    <row r="727" spans="1:3">
      <c r="A727" s="13"/>
      <c r="B727" s="13"/>
      <c r="C727" s="13"/>
    </row>
    <row r="728" spans="1:3">
      <c r="A728" s="13"/>
      <c r="B728" s="13"/>
      <c r="C728" s="13"/>
    </row>
    <row r="729" spans="1:3">
      <c r="A729" s="13"/>
      <c r="B729" s="13"/>
      <c r="C729" s="13"/>
    </row>
    <row r="730" spans="1:3">
      <c r="A730" s="13"/>
      <c r="B730" s="13"/>
      <c r="C730" s="13"/>
    </row>
    <row r="731" spans="1:3">
      <c r="A731" s="13"/>
      <c r="B731" s="13"/>
      <c r="C731" s="13"/>
    </row>
    <row r="732" spans="1:3">
      <c r="A732" s="13"/>
      <c r="B732" s="13"/>
      <c r="C732" s="13"/>
    </row>
    <row r="733" spans="1:3">
      <c r="A733" s="13"/>
      <c r="B733" s="13"/>
      <c r="C733" s="13"/>
    </row>
    <row r="734" spans="1:3">
      <c r="A734" s="13"/>
      <c r="B734" s="13"/>
      <c r="C734" s="13"/>
    </row>
    <row r="735" spans="1:3">
      <c r="A735" s="13"/>
      <c r="B735" s="13"/>
      <c r="C735" s="13"/>
    </row>
    <row r="736" spans="1:3">
      <c r="A736" s="13"/>
      <c r="B736" s="13"/>
      <c r="C736" s="13"/>
    </row>
    <row r="737" spans="1:3">
      <c r="A737" s="13"/>
      <c r="B737" s="13"/>
      <c r="C737" s="13"/>
    </row>
    <row r="738" spans="1:3">
      <c r="A738" s="13"/>
      <c r="B738" s="13"/>
      <c r="C738" s="13"/>
    </row>
    <row r="739" spans="1:3">
      <c r="A739" s="13"/>
      <c r="B739" s="13"/>
      <c r="C739" s="13"/>
    </row>
    <row r="740" spans="1:3">
      <c r="A740" s="13"/>
      <c r="B740" s="13"/>
      <c r="C740" s="13"/>
    </row>
    <row r="741" spans="1:3">
      <c r="A741" s="13"/>
      <c r="B741" s="13"/>
      <c r="C741" s="13"/>
    </row>
    <row r="742" spans="1:3">
      <c r="A742" s="13"/>
      <c r="B742" s="13"/>
      <c r="C742" s="13"/>
    </row>
    <row r="743" spans="1:3">
      <c r="A743" s="13"/>
      <c r="B743" s="13"/>
      <c r="C743" s="13"/>
    </row>
    <row r="744" spans="1:3">
      <c r="A744" s="13"/>
      <c r="B744" s="13"/>
      <c r="C744" s="13"/>
    </row>
    <row r="745" spans="1:3">
      <c r="A745" s="13"/>
      <c r="B745" s="13"/>
      <c r="C745" s="13"/>
    </row>
    <row r="746" spans="1:3">
      <c r="A746" s="13"/>
      <c r="B746" s="13"/>
      <c r="C746" s="13"/>
    </row>
    <row r="747" spans="1:3">
      <c r="A747" s="13"/>
      <c r="B747" s="13"/>
      <c r="C747" s="13"/>
    </row>
    <row r="748" spans="1:3">
      <c r="A748" s="13"/>
      <c r="B748" s="13"/>
      <c r="C748" s="13"/>
    </row>
    <row r="749" spans="1:3">
      <c r="A749" s="13"/>
      <c r="B749" s="13"/>
      <c r="C749" s="13"/>
    </row>
    <row r="750" spans="1:3">
      <c r="A750" s="13"/>
      <c r="B750" s="13"/>
      <c r="C750" s="13"/>
    </row>
    <row r="751" spans="1:3">
      <c r="A751" s="13"/>
      <c r="B751" s="13"/>
      <c r="C751" s="13"/>
    </row>
    <row r="752" spans="1:3">
      <c r="A752" s="13"/>
      <c r="B752" s="13"/>
      <c r="C752" s="13"/>
    </row>
    <row r="753" spans="1:3">
      <c r="A753" s="13"/>
      <c r="B753" s="13"/>
      <c r="C753" s="13"/>
    </row>
    <row r="754" spans="1:3">
      <c r="A754" s="13"/>
      <c r="B754" s="13"/>
      <c r="C754" s="13"/>
    </row>
    <row r="755" spans="1:3">
      <c r="A755" s="13"/>
      <c r="B755" s="13"/>
      <c r="C755" s="13"/>
    </row>
    <row r="756" spans="1:3">
      <c r="A756" s="13"/>
      <c r="B756" s="13"/>
      <c r="C756" s="13"/>
    </row>
    <row r="757" spans="1:3">
      <c r="A757" s="13"/>
      <c r="B757" s="13"/>
      <c r="C757" s="13"/>
    </row>
    <row r="758" spans="1:3">
      <c r="A758" s="13"/>
      <c r="B758" s="13"/>
      <c r="C758" s="13"/>
    </row>
    <row r="759" spans="1:3">
      <c r="A759" s="13"/>
      <c r="B759" s="13"/>
      <c r="C759" s="13"/>
    </row>
    <row r="760" spans="1:3">
      <c r="A760" s="13"/>
      <c r="B760" s="13"/>
      <c r="C760" s="13"/>
    </row>
    <row r="761" spans="1:3">
      <c r="A761" s="13"/>
      <c r="B761" s="13"/>
      <c r="C761" s="13"/>
    </row>
    <row r="762" spans="1:3">
      <c r="A762" s="13"/>
      <c r="B762" s="13"/>
      <c r="C762" s="13"/>
    </row>
    <row r="763" spans="1:3">
      <c r="A763" s="13"/>
      <c r="B763" s="13"/>
      <c r="C763" s="13"/>
    </row>
    <row r="764" spans="1:3">
      <c r="A764" s="13"/>
      <c r="B764" s="13"/>
      <c r="C764" s="13"/>
    </row>
    <row r="765" spans="1:3">
      <c r="A765" s="13"/>
      <c r="B765" s="13"/>
      <c r="C765" s="13"/>
    </row>
    <row r="766" spans="1:3">
      <c r="A766" s="13"/>
      <c r="B766" s="13"/>
      <c r="C766" s="13"/>
    </row>
    <row r="767" spans="1:3">
      <c r="A767" s="13"/>
      <c r="B767" s="13"/>
      <c r="C767" s="13"/>
    </row>
    <row r="768" spans="1:3">
      <c r="A768" s="13"/>
      <c r="B768" s="13"/>
      <c r="C768" s="13"/>
    </row>
    <row r="769" spans="1:3">
      <c r="A769" s="13"/>
      <c r="B769" s="13"/>
      <c r="C769" s="13"/>
    </row>
    <row r="770" spans="1:3">
      <c r="A770" s="13"/>
      <c r="B770" s="13"/>
      <c r="C770" s="13"/>
    </row>
    <row r="771" spans="1:3">
      <c r="A771" s="13"/>
      <c r="B771" s="13"/>
      <c r="C771" s="13"/>
    </row>
    <row r="772" spans="1:3">
      <c r="A772" s="13"/>
      <c r="B772" s="13"/>
      <c r="C772" s="13"/>
    </row>
    <row r="773" spans="1:3">
      <c r="A773" s="13"/>
      <c r="B773" s="13"/>
      <c r="C773" s="13"/>
    </row>
    <row r="774" spans="1:3">
      <c r="A774" s="13"/>
      <c r="B774" s="13"/>
      <c r="C774" s="13"/>
    </row>
    <row r="775" spans="1:3">
      <c r="A775" s="13"/>
      <c r="B775" s="13"/>
      <c r="C775" s="13"/>
    </row>
    <row r="776" spans="1:3">
      <c r="A776" s="13"/>
      <c r="B776" s="13"/>
      <c r="C776" s="13"/>
    </row>
    <row r="777" spans="1:3">
      <c r="A777" s="13"/>
      <c r="B777" s="13"/>
      <c r="C777" s="13"/>
    </row>
    <row r="778" spans="1:3">
      <c r="A778" s="13"/>
      <c r="B778" s="13"/>
      <c r="C778" s="13"/>
    </row>
    <row r="779" spans="1:3">
      <c r="A779" s="13"/>
      <c r="B779" s="13"/>
      <c r="C779" s="13"/>
    </row>
    <row r="780" spans="1:3">
      <c r="A780" s="13"/>
      <c r="B780" s="13"/>
      <c r="C780" s="13"/>
    </row>
    <row r="781" spans="1:3">
      <c r="A781" s="13"/>
      <c r="B781" s="13"/>
      <c r="C781" s="13"/>
    </row>
    <row r="782" spans="1:3">
      <c r="A782" s="13"/>
      <c r="B782" s="13"/>
      <c r="C782" s="13"/>
    </row>
    <row r="783" spans="1:3">
      <c r="A783" s="13"/>
      <c r="B783" s="13"/>
      <c r="C783" s="13"/>
    </row>
    <row r="784" spans="1:3">
      <c r="A784" s="13"/>
      <c r="B784" s="13"/>
      <c r="C784" s="13"/>
    </row>
    <row r="785" spans="1:3">
      <c r="A785" s="13"/>
      <c r="B785" s="13"/>
      <c r="C785" s="13"/>
    </row>
    <row r="786" spans="1:3">
      <c r="A786" s="13"/>
      <c r="B786" s="13"/>
      <c r="C786" s="13"/>
    </row>
    <row r="787" spans="1:3">
      <c r="A787" s="13"/>
      <c r="B787" s="13"/>
      <c r="C787" s="13"/>
    </row>
    <row r="788" spans="1:3">
      <c r="A788" s="13"/>
      <c r="B788" s="13"/>
      <c r="C788" s="13"/>
    </row>
    <row r="789" spans="1:3">
      <c r="A789" s="13"/>
      <c r="B789" s="13"/>
      <c r="C789" s="13"/>
    </row>
    <row r="790" spans="1:3">
      <c r="A790" s="13"/>
      <c r="B790" s="13"/>
      <c r="C790" s="13"/>
    </row>
    <row r="791" spans="1:3">
      <c r="A791" s="13"/>
      <c r="B791" s="13"/>
      <c r="C791" s="13"/>
    </row>
    <row r="792" spans="1:3">
      <c r="A792" s="13"/>
      <c r="B792" s="13"/>
      <c r="C792" s="13"/>
    </row>
    <row r="793" spans="1:3">
      <c r="A793" s="13"/>
      <c r="B793" s="13"/>
      <c r="C793" s="13"/>
    </row>
    <row r="794" spans="1:3">
      <c r="A794" s="13"/>
      <c r="B794" s="13"/>
      <c r="C794" s="13"/>
    </row>
    <row r="795" spans="1:3">
      <c r="A795" s="13"/>
      <c r="B795" s="13"/>
      <c r="C795" s="13"/>
    </row>
    <row r="796" spans="1:3">
      <c r="A796" s="13"/>
      <c r="B796" s="13"/>
      <c r="C796" s="13"/>
    </row>
    <row r="797" spans="1:3">
      <c r="A797" s="13"/>
      <c r="B797" s="13"/>
      <c r="C797" s="13"/>
    </row>
    <row r="798" spans="1:3">
      <c r="A798" s="13"/>
      <c r="B798" s="13"/>
      <c r="C798" s="13"/>
    </row>
    <row r="799" spans="1:3">
      <c r="A799" s="13"/>
      <c r="B799" s="13"/>
      <c r="C799" s="13"/>
    </row>
    <row r="800" spans="1:3">
      <c r="A800" s="13"/>
      <c r="B800" s="13"/>
      <c r="C800" s="13"/>
    </row>
    <row r="801" spans="1:3">
      <c r="A801" s="13"/>
      <c r="B801" s="13"/>
      <c r="C801" s="13"/>
    </row>
    <row r="802" spans="1:3">
      <c r="A802" s="13"/>
      <c r="B802" s="13"/>
      <c r="C802" s="13"/>
    </row>
    <row r="803" spans="1:3">
      <c r="A803" s="13"/>
      <c r="B803" s="13"/>
      <c r="C803" s="13"/>
    </row>
    <row r="804" spans="1:3">
      <c r="A804" s="13"/>
      <c r="B804" s="13"/>
      <c r="C804" s="13"/>
    </row>
    <row r="805" spans="1:3">
      <c r="A805" s="13"/>
      <c r="B805" s="13"/>
      <c r="C805" s="13"/>
    </row>
    <row r="806" spans="1:3">
      <c r="A806" s="13"/>
      <c r="B806" s="13"/>
      <c r="C806" s="13"/>
    </row>
    <row r="807" spans="1:3">
      <c r="A807" s="13"/>
      <c r="B807" s="13"/>
      <c r="C807" s="13"/>
    </row>
    <row r="808" spans="1:3">
      <c r="A808" s="13"/>
      <c r="B808" s="13"/>
      <c r="C808" s="13"/>
    </row>
    <row r="809" spans="1:3">
      <c r="A809" s="13"/>
      <c r="B809" s="13"/>
      <c r="C809" s="13"/>
    </row>
    <row r="810" spans="1:3">
      <c r="A810" s="13"/>
      <c r="B810" s="13"/>
      <c r="C810" s="13"/>
    </row>
    <row r="811" spans="1:3">
      <c r="A811" s="13"/>
      <c r="B811" s="13"/>
      <c r="C811" s="13"/>
    </row>
    <row r="812" spans="1:3">
      <c r="A812" s="13"/>
      <c r="B812" s="13"/>
      <c r="C812" s="13"/>
    </row>
    <row r="813" spans="1:3">
      <c r="A813" s="13"/>
      <c r="B813" s="13"/>
      <c r="C813" s="13"/>
    </row>
    <row r="814" spans="1:3">
      <c r="A814" s="13"/>
      <c r="B814" s="13"/>
      <c r="C814" s="13"/>
    </row>
    <row r="815" spans="1:3">
      <c r="A815" s="13"/>
      <c r="B815" s="13"/>
      <c r="C815" s="13"/>
    </row>
    <row r="816" spans="1:3">
      <c r="A816" s="13"/>
      <c r="B816" s="13"/>
      <c r="C816" s="13"/>
    </row>
    <row r="817" spans="1:3">
      <c r="A817" s="13"/>
      <c r="B817" s="13"/>
      <c r="C817" s="13"/>
    </row>
    <row r="818" spans="1:3">
      <c r="A818" s="13"/>
      <c r="B818" s="13"/>
      <c r="C818" s="13"/>
    </row>
    <row r="819" spans="1:3">
      <c r="A819" s="13"/>
      <c r="B819" s="13"/>
      <c r="C819" s="13"/>
    </row>
    <row r="820" spans="1:3">
      <c r="A820" s="13"/>
      <c r="B820" s="13"/>
      <c r="C820" s="13"/>
    </row>
    <row r="821" spans="1:3">
      <c r="A821" s="13"/>
      <c r="B821" s="13"/>
      <c r="C821" s="13"/>
    </row>
    <row r="822" spans="1:3">
      <c r="A822" s="13"/>
      <c r="B822" s="13"/>
      <c r="C822" s="13"/>
    </row>
    <row r="823" spans="1:3">
      <c r="A823" s="13"/>
      <c r="B823" s="13"/>
      <c r="C823" s="13"/>
    </row>
    <row r="824" spans="1:3">
      <c r="A824" s="13"/>
      <c r="B824" s="13"/>
      <c r="C824" s="13"/>
    </row>
    <row r="825" spans="1:3">
      <c r="A825" s="13"/>
      <c r="B825" s="13"/>
      <c r="C825" s="13"/>
    </row>
    <row r="826" spans="1:3">
      <c r="A826" s="13"/>
      <c r="B826" s="13"/>
      <c r="C826" s="13"/>
    </row>
    <row r="827" spans="1:3">
      <c r="A827" s="13"/>
      <c r="B827" s="13"/>
      <c r="C827" s="13"/>
    </row>
    <row r="828" spans="1:3">
      <c r="A828" s="13"/>
      <c r="B828" s="13"/>
      <c r="C828" s="13"/>
    </row>
    <row r="829" spans="1:3">
      <c r="A829" s="13"/>
      <c r="B829" s="13"/>
      <c r="C829" s="13"/>
    </row>
    <row r="830" spans="1:3">
      <c r="A830" s="13"/>
      <c r="B830" s="13"/>
      <c r="C830" s="13"/>
    </row>
    <row r="831" spans="1:3">
      <c r="A831" s="13"/>
      <c r="B831" s="13"/>
      <c r="C831" s="13"/>
    </row>
    <row r="832" spans="1:3">
      <c r="A832" s="13"/>
      <c r="B832" s="13"/>
      <c r="C832" s="13"/>
    </row>
    <row r="833" spans="1:3">
      <c r="A833" s="13"/>
      <c r="B833" s="13"/>
      <c r="C833" s="13"/>
    </row>
    <row r="834" spans="1:3">
      <c r="A834" s="13"/>
      <c r="B834" s="13"/>
      <c r="C834" s="13"/>
    </row>
    <row r="835" spans="1:3">
      <c r="A835" s="13"/>
      <c r="B835" s="13"/>
      <c r="C835" s="13"/>
    </row>
    <row r="836" spans="1:3">
      <c r="A836" s="13"/>
      <c r="B836" s="13"/>
      <c r="C836" s="13"/>
    </row>
    <row r="837" spans="1:3">
      <c r="A837" s="13"/>
      <c r="B837" s="13"/>
      <c r="C837" s="13"/>
    </row>
    <row r="838" spans="1:3">
      <c r="A838" s="13"/>
      <c r="B838" s="13"/>
      <c r="C838" s="13"/>
    </row>
    <row r="839" spans="1:3">
      <c r="A839" s="13"/>
      <c r="B839" s="13"/>
      <c r="C839" s="13"/>
    </row>
    <row r="840" spans="1:3">
      <c r="A840" s="13"/>
      <c r="B840" s="13"/>
      <c r="C840" s="13"/>
    </row>
    <row r="841" spans="1:3">
      <c r="A841" s="13"/>
      <c r="B841" s="13"/>
      <c r="C841" s="13"/>
    </row>
    <row r="842" spans="1:3">
      <c r="A842" s="13"/>
      <c r="B842" s="13"/>
      <c r="C842" s="13"/>
    </row>
    <row r="843" spans="1:3">
      <c r="A843" s="13"/>
      <c r="B843" s="13"/>
      <c r="C843" s="13"/>
    </row>
    <row r="844" spans="1:3">
      <c r="A844" s="13"/>
      <c r="B844" s="13"/>
      <c r="C844" s="13"/>
    </row>
    <row r="845" spans="1:3">
      <c r="A845" s="13"/>
      <c r="B845" s="13"/>
      <c r="C845" s="13"/>
    </row>
    <row r="846" spans="1:3">
      <c r="A846" s="13"/>
      <c r="B846" s="13"/>
      <c r="C846" s="13"/>
    </row>
    <row r="847" spans="1:3">
      <c r="A847" s="13"/>
      <c r="B847" s="13"/>
      <c r="C847" s="13"/>
    </row>
    <row r="848" spans="1:3">
      <c r="A848" s="13"/>
      <c r="B848" s="13"/>
      <c r="C848" s="13"/>
    </row>
    <row r="849" spans="1:3">
      <c r="A849" s="13"/>
      <c r="B849" s="13"/>
      <c r="C849" s="13"/>
    </row>
    <row r="850" spans="1:3">
      <c r="A850" s="13"/>
      <c r="B850" s="13"/>
      <c r="C850" s="13"/>
    </row>
    <row r="851" spans="1:3">
      <c r="A851" s="13"/>
      <c r="B851" s="13"/>
      <c r="C851" s="13"/>
    </row>
    <row r="852" spans="1:3">
      <c r="A852" s="13"/>
      <c r="B852" s="13"/>
      <c r="C852" s="13"/>
    </row>
    <row r="853" spans="1:3">
      <c r="A853" s="13"/>
      <c r="B853" s="13"/>
      <c r="C853" s="13"/>
    </row>
    <row r="854" spans="1:3">
      <c r="A854" s="13"/>
      <c r="B854" s="13"/>
      <c r="C854" s="13"/>
    </row>
    <row r="855" spans="1:3">
      <c r="A855" s="13"/>
      <c r="B855" s="13"/>
      <c r="C855" s="13"/>
    </row>
    <row r="856" spans="1:3">
      <c r="A856" s="13"/>
      <c r="B856" s="13"/>
      <c r="C856" s="13"/>
    </row>
    <row r="857" spans="1:3">
      <c r="A857" s="13"/>
      <c r="B857" s="13"/>
      <c r="C857" s="13"/>
    </row>
    <row r="858" spans="1:3">
      <c r="A858" s="13"/>
      <c r="B858" s="13"/>
      <c r="C858" s="13"/>
    </row>
    <row r="859" spans="1:3">
      <c r="A859" s="13"/>
      <c r="B859" s="13"/>
      <c r="C859" s="13"/>
    </row>
    <row r="860" spans="1:3">
      <c r="A860" s="13"/>
      <c r="B860" s="13"/>
      <c r="C860" s="13"/>
    </row>
    <row r="861" spans="1:3">
      <c r="A861" s="13"/>
      <c r="B861" s="13"/>
      <c r="C861" s="13"/>
    </row>
    <row r="862" spans="1:3">
      <c r="A862" s="13"/>
      <c r="B862" s="13"/>
      <c r="C862" s="13"/>
    </row>
    <row r="863" spans="1:3">
      <c r="A863" s="13"/>
      <c r="B863" s="13"/>
      <c r="C863" s="13"/>
    </row>
    <row r="864" spans="1:3">
      <c r="A864" s="13"/>
      <c r="B864" s="13"/>
      <c r="C864" s="13"/>
    </row>
    <row r="865" spans="1:3">
      <c r="A865" s="13"/>
      <c r="B865" s="13"/>
      <c r="C865" s="13"/>
    </row>
    <row r="866" spans="1:3">
      <c r="A866" s="13"/>
      <c r="B866" s="13"/>
      <c r="C866" s="13"/>
    </row>
    <row r="867" spans="1:3">
      <c r="A867" s="13"/>
      <c r="B867" s="13"/>
      <c r="C867" s="13"/>
    </row>
    <row r="868" spans="1:3">
      <c r="A868" s="13"/>
      <c r="B868" s="13"/>
      <c r="C868" s="13"/>
    </row>
    <row r="869" spans="1:3">
      <c r="A869" s="13"/>
      <c r="B869" s="13"/>
      <c r="C869" s="13"/>
    </row>
    <row r="870" spans="1:3">
      <c r="A870" s="13"/>
      <c r="B870" s="13"/>
      <c r="C870" s="13"/>
    </row>
    <row r="871" spans="1:3">
      <c r="A871" s="13"/>
      <c r="B871" s="13"/>
      <c r="C871" s="13"/>
    </row>
    <row r="872" spans="1:3">
      <c r="A872" s="13"/>
      <c r="B872" s="13"/>
      <c r="C872" s="13"/>
    </row>
    <row r="873" spans="1:3">
      <c r="A873" s="13"/>
      <c r="B873" s="13"/>
      <c r="C873" s="13"/>
    </row>
    <row r="874" spans="1:3">
      <c r="A874" s="13"/>
      <c r="B874" s="13"/>
      <c r="C874" s="13"/>
    </row>
    <row r="875" spans="1:3">
      <c r="A875" s="13"/>
      <c r="B875" s="13"/>
      <c r="C875" s="13"/>
    </row>
    <row r="876" spans="1:3">
      <c r="A876" s="13"/>
      <c r="B876" s="13"/>
      <c r="C876" s="13"/>
    </row>
    <row r="877" spans="1:3">
      <c r="A877" s="13"/>
      <c r="B877" s="13"/>
      <c r="C877" s="13"/>
    </row>
    <row r="878" spans="1:3">
      <c r="A878" s="13"/>
      <c r="B878" s="13"/>
      <c r="C878" s="13"/>
    </row>
    <row r="879" spans="1:3">
      <c r="A879" s="13"/>
      <c r="B879" s="13"/>
      <c r="C879" s="13"/>
    </row>
    <row r="880" spans="1:3">
      <c r="A880" s="13"/>
      <c r="B880" s="13"/>
      <c r="C880" s="13"/>
    </row>
    <row r="881" spans="1:3">
      <c r="A881" s="13"/>
      <c r="B881" s="13"/>
      <c r="C881" s="13"/>
    </row>
    <row r="882" spans="1:3">
      <c r="A882" s="13"/>
      <c r="B882" s="13"/>
      <c r="C882" s="13"/>
    </row>
    <row r="883" spans="1:3">
      <c r="A883" s="13"/>
      <c r="B883" s="13"/>
      <c r="C883" s="13"/>
    </row>
    <row r="884" spans="1:3">
      <c r="A884" s="13"/>
      <c r="B884" s="13"/>
      <c r="C884" s="13"/>
    </row>
    <row r="885" spans="1:3">
      <c r="A885" s="13"/>
      <c r="B885" s="13"/>
      <c r="C885" s="13"/>
    </row>
    <row r="886" spans="1:3">
      <c r="A886" s="13"/>
      <c r="B886" s="13"/>
      <c r="C886" s="13"/>
    </row>
    <row r="887" spans="1:3">
      <c r="A887" s="13"/>
      <c r="B887" s="13"/>
      <c r="C887" s="13"/>
    </row>
    <row r="888" spans="1:3">
      <c r="A888" s="13"/>
      <c r="B888" s="13"/>
      <c r="C888" s="13"/>
    </row>
    <row r="889" spans="1:3">
      <c r="A889" s="13"/>
      <c r="B889" s="13"/>
      <c r="C889" s="13"/>
    </row>
    <row r="890" spans="1:3">
      <c r="A890" s="13"/>
      <c r="B890" s="13"/>
      <c r="C890" s="13"/>
    </row>
    <row r="891" spans="1:3">
      <c r="A891" s="13"/>
      <c r="B891" s="13"/>
      <c r="C891" s="13"/>
    </row>
    <row r="892" spans="1:3">
      <c r="A892" s="13"/>
      <c r="B892" s="13"/>
      <c r="C892" s="13"/>
    </row>
    <row r="893" spans="1:3">
      <c r="A893" s="13"/>
      <c r="B893" s="13"/>
      <c r="C893" s="13"/>
    </row>
    <row r="894" spans="1:3">
      <c r="A894" s="13"/>
      <c r="B894" s="13"/>
      <c r="C894" s="13"/>
    </row>
    <row r="895" spans="1:3">
      <c r="A895" s="13"/>
      <c r="B895" s="13"/>
      <c r="C895" s="13"/>
    </row>
    <row r="896" spans="1:3">
      <c r="A896" s="13"/>
      <c r="B896" s="13"/>
      <c r="C896" s="13"/>
    </row>
    <row r="897" spans="1:3">
      <c r="A897" s="13"/>
      <c r="B897" s="13"/>
      <c r="C897" s="13"/>
    </row>
    <row r="898" spans="1:3">
      <c r="A898" s="13"/>
      <c r="B898" s="13"/>
      <c r="C898" s="13"/>
    </row>
    <row r="899" spans="1:3">
      <c r="A899" s="13"/>
      <c r="B899" s="13"/>
      <c r="C899" s="13"/>
    </row>
    <row r="900" spans="1:3">
      <c r="A900" s="13"/>
      <c r="B900" s="13"/>
      <c r="C900" s="13"/>
    </row>
    <row r="901" spans="1:3">
      <c r="A901" s="13"/>
      <c r="B901" s="13"/>
      <c r="C901" s="13"/>
    </row>
    <row r="902" spans="1:3">
      <c r="A902" s="13"/>
      <c r="B902" s="13"/>
      <c r="C902" s="13"/>
    </row>
    <row r="903" spans="1:3">
      <c r="A903" s="13"/>
      <c r="B903" s="13"/>
      <c r="C903" s="13"/>
    </row>
    <row r="904" spans="1:3">
      <c r="A904" s="13"/>
      <c r="B904" s="13"/>
      <c r="C904" s="13"/>
    </row>
    <row r="905" spans="1:3">
      <c r="A905" s="13"/>
      <c r="B905" s="13"/>
      <c r="C905" s="13"/>
    </row>
    <row r="906" spans="1:3">
      <c r="A906" s="13"/>
      <c r="B906" s="13"/>
      <c r="C906" s="13"/>
    </row>
    <row r="907" spans="1:3">
      <c r="A907" s="13"/>
      <c r="B907" s="13"/>
      <c r="C907" s="13"/>
    </row>
    <row r="908" spans="1:3">
      <c r="A908" s="13"/>
      <c r="B908" s="13"/>
      <c r="C908" s="13"/>
    </row>
    <row r="909" spans="1:3">
      <c r="A909" s="13"/>
      <c r="B909" s="13"/>
      <c r="C909" s="13"/>
    </row>
    <row r="910" spans="1:3">
      <c r="A910" s="13"/>
      <c r="B910" s="13"/>
      <c r="C910" s="13"/>
    </row>
    <row r="911" spans="1:3">
      <c r="A911" s="13"/>
      <c r="B911" s="13"/>
      <c r="C911" s="13"/>
    </row>
    <row r="912" spans="1:3">
      <c r="A912" s="13"/>
      <c r="B912" s="13"/>
      <c r="C912" s="13"/>
    </row>
    <row r="913" spans="1:3">
      <c r="A913" s="13"/>
      <c r="B913" s="13"/>
      <c r="C913" s="13"/>
    </row>
    <row r="914" spans="1:3">
      <c r="A914" s="13"/>
      <c r="B914" s="13"/>
      <c r="C914" s="13"/>
    </row>
    <row r="915" spans="1:3">
      <c r="A915" s="13"/>
      <c r="B915" s="13"/>
      <c r="C915" s="13"/>
    </row>
    <row r="916" spans="1:3">
      <c r="A916" s="13"/>
      <c r="B916" s="13"/>
      <c r="C916" s="13"/>
    </row>
    <row r="917" spans="1:3">
      <c r="A917" s="13"/>
      <c r="B917" s="13"/>
      <c r="C917" s="13"/>
    </row>
    <row r="918" spans="1:3">
      <c r="A918" s="13"/>
      <c r="B918" s="13"/>
      <c r="C918" s="13"/>
    </row>
    <row r="919" spans="1:3">
      <c r="A919" s="13"/>
      <c r="B919" s="13"/>
      <c r="C919" s="13"/>
    </row>
    <row r="920" spans="1:3">
      <c r="A920" s="13"/>
      <c r="B920" s="13"/>
      <c r="C920" s="13"/>
    </row>
    <row r="921" spans="1:3">
      <c r="A921" s="13"/>
      <c r="B921" s="13"/>
      <c r="C921" s="13"/>
    </row>
    <row r="922" spans="1:3">
      <c r="A922" s="13"/>
      <c r="B922" s="13"/>
      <c r="C922" s="13"/>
    </row>
    <row r="923" spans="1:3">
      <c r="A923" s="13"/>
      <c r="B923" s="13"/>
      <c r="C923" s="13"/>
    </row>
    <row r="924" spans="1:3">
      <c r="A924" s="13"/>
      <c r="B924" s="13"/>
      <c r="C924" s="13"/>
    </row>
    <row r="925" spans="1:3">
      <c r="A925" s="13"/>
      <c r="B925" s="13"/>
      <c r="C925" s="13"/>
    </row>
    <row r="926" spans="1:3">
      <c r="A926" s="13"/>
      <c r="B926" s="13"/>
      <c r="C926" s="13"/>
    </row>
    <row r="927" spans="1:3">
      <c r="A927" s="13"/>
      <c r="B927" s="13"/>
      <c r="C927" s="13"/>
    </row>
    <row r="928" spans="1:3">
      <c r="A928" s="13"/>
      <c r="B928" s="13"/>
      <c r="C928" s="13"/>
    </row>
    <row r="929" spans="1:3">
      <c r="A929" s="13"/>
      <c r="B929" s="13"/>
      <c r="C929" s="13"/>
    </row>
    <row r="930" spans="1:3">
      <c r="A930" s="13"/>
      <c r="B930" s="13"/>
      <c r="C930" s="13"/>
    </row>
    <row r="931" spans="1:3">
      <c r="A931" s="13"/>
      <c r="B931" s="13"/>
      <c r="C931" s="13"/>
    </row>
    <row r="932" spans="1:3">
      <c r="A932" s="13"/>
      <c r="B932" s="13"/>
      <c r="C932" s="13"/>
    </row>
    <row r="933" spans="1:3">
      <c r="A933" s="13"/>
      <c r="B933" s="13"/>
      <c r="C933" s="13"/>
    </row>
    <row r="934" spans="1:3">
      <c r="A934" s="13"/>
      <c r="B934" s="13"/>
      <c r="C934" s="13"/>
    </row>
    <row r="935" spans="1:3">
      <c r="A935" s="13"/>
      <c r="B935" s="13"/>
      <c r="C935" s="13"/>
    </row>
    <row r="936" spans="1:3">
      <c r="A936" s="13"/>
      <c r="B936" s="13"/>
      <c r="C936" s="13"/>
    </row>
    <row r="937" spans="1:3">
      <c r="A937" s="13"/>
      <c r="B937" s="13"/>
      <c r="C937" s="13"/>
    </row>
    <row r="938" spans="1:3">
      <c r="A938" s="13"/>
      <c r="B938" s="13"/>
      <c r="C938" s="13"/>
    </row>
    <row r="939" spans="1:3">
      <c r="A939" s="13"/>
      <c r="B939" s="13"/>
      <c r="C939" s="13"/>
    </row>
    <row r="940" spans="1:3">
      <c r="A940" s="13"/>
      <c r="B940" s="13"/>
      <c r="C940" s="13"/>
    </row>
    <row r="941" spans="1:3">
      <c r="A941" s="13"/>
      <c r="B941" s="13"/>
      <c r="C941" s="13"/>
    </row>
    <row r="942" spans="1:3">
      <c r="A942" s="13"/>
      <c r="B942" s="13"/>
      <c r="C942" s="13"/>
    </row>
    <row r="943" spans="1:3">
      <c r="A943" s="13"/>
      <c r="B943" s="13"/>
      <c r="C943" s="13"/>
    </row>
    <row r="944" spans="1:3">
      <c r="A944" s="13"/>
      <c r="B944" s="13"/>
      <c r="C944" s="13"/>
    </row>
    <row r="945" spans="1:3">
      <c r="A945" s="13"/>
      <c r="B945" s="13"/>
      <c r="C945" s="13"/>
    </row>
    <row r="946" spans="1:3">
      <c r="A946" s="13"/>
      <c r="B946" s="13"/>
      <c r="C946" s="13"/>
    </row>
    <row r="947" spans="1:3">
      <c r="A947" s="13"/>
      <c r="B947" s="13"/>
      <c r="C947" s="13"/>
    </row>
    <row r="948" spans="1:3">
      <c r="A948" s="13"/>
      <c r="B948" s="13"/>
      <c r="C948" s="13"/>
    </row>
    <row r="949" spans="1:3">
      <c r="A949" s="13"/>
      <c r="B949" s="13"/>
      <c r="C949" s="13"/>
    </row>
    <row r="950" spans="1:3">
      <c r="A950" s="13"/>
      <c r="B950" s="13"/>
      <c r="C950" s="13"/>
    </row>
    <row r="951" spans="1:3">
      <c r="A951" s="13"/>
      <c r="B951" s="13"/>
      <c r="C951" s="13"/>
    </row>
    <row r="952" spans="1:3">
      <c r="A952" s="13"/>
      <c r="B952" s="13"/>
      <c r="C952" s="13"/>
    </row>
    <row r="953" spans="1:3">
      <c r="A953" s="13"/>
      <c r="B953" s="13"/>
      <c r="C953" s="13"/>
    </row>
    <row r="954" spans="1:3">
      <c r="A954" s="13"/>
      <c r="B954" s="13"/>
      <c r="C954" s="13"/>
    </row>
    <row r="955" spans="1:3">
      <c r="A955" s="13"/>
      <c r="B955" s="13"/>
      <c r="C955" s="13"/>
    </row>
    <row r="956" spans="1:3">
      <c r="A956" s="13"/>
      <c r="B956" s="13"/>
      <c r="C956" s="13"/>
    </row>
    <row r="957" spans="1:3">
      <c r="A957" s="13"/>
      <c r="B957" s="13"/>
      <c r="C957" s="13"/>
    </row>
    <row r="958" spans="1:3">
      <c r="A958" s="13"/>
      <c r="B958" s="13"/>
      <c r="C958" s="13"/>
    </row>
    <row r="959" spans="1:3">
      <c r="A959" s="13"/>
      <c r="B959" s="13"/>
      <c r="C959" s="13"/>
    </row>
    <row r="960" spans="1:3">
      <c r="A960" s="13"/>
      <c r="B960" s="13"/>
      <c r="C960" s="13"/>
    </row>
    <row r="961" spans="1:3">
      <c r="A961" s="13"/>
      <c r="B961" s="13"/>
      <c r="C961" s="13"/>
    </row>
    <row r="962" spans="1:3">
      <c r="A962" s="13"/>
      <c r="B962" s="13"/>
      <c r="C962" s="13"/>
    </row>
    <row r="963" spans="1:3">
      <c r="A963" s="13"/>
      <c r="B963" s="13"/>
      <c r="C963" s="13"/>
    </row>
    <row r="964" spans="1:3">
      <c r="A964" s="13"/>
      <c r="B964" s="13"/>
      <c r="C964" s="13"/>
    </row>
    <row r="965" spans="1:3">
      <c r="A965" s="13"/>
      <c r="B965" s="13"/>
      <c r="C965" s="13"/>
    </row>
    <row r="966" spans="1:3">
      <c r="A966" s="13"/>
      <c r="B966" s="13"/>
      <c r="C966" s="13"/>
    </row>
    <row r="967" spans="1:3">
      <c r="A967" s="13"/>
      <c r="B967" s="13"/>
      <c r="C967" s="13"/>
    </row>
    <row r="968" spans="1:3">
      <c r="A968" s="13"/>
      <c r="B968" s="13"/>
      <c r="C968" s="13"/>
    </row>
    <row r="969" spans="1:3">
      <c r="A969" s="13"/>
      <c r="B969" s="13"/>
      <c r="C969" s="13"/>
    </row>
    <row r="970" spans="1:3">
      <c r="A970" s="13"/>
      <c r="B970" s="13"/>
      <c r="C970" s="13"/>
    </row>
    <row r="971" spans="1:3">
      <c r="A971" s="13"/>
      <c r="B971" s="13"/>
      <c r="C971" s="13"/>
    </row>
    <row r="972" spans="1:3">
      <c r="A972" s="13"/>
      <c r="B972" s="13"/>
      <c r="C972" s="13"/>
    </row>
    <row r="973" spans="1:3">
      <c r="A973" s="13"/>
      <c r="B973" s="13"/>
      <c r="C973" s="13"/>
    </row>
    <row r="974" spans="1:3">
      <c r="A974" s="13"/>
      <c r="B974" s="13"/>
      <c r="C974" s="13"/>
    </row>
    <row r="975" spans="1:3">
      <c r="A975" s="13"/>
      <c r="B975" s="13"/>
      <c r="C975" s="13"/>
    </row>
    <row r="976" spans="1:3">
      <c r="A976" s="13"/>
      <c r="B976" s="13"/>
      <c r="C976" s="13"/>
    </row>
    <row r="977" spans="1:3">
      <c r="A977" s="13"/>
      <c r="B977" s="13"/>
      <c r="C977" s="13"/>
    </row>
    <row r="978" spans="1:3">
      <c r="A978" s="13"/>
      <c r="B978" s="13"/>
      <c r="C978" s="13"/>
    </row>
    <row r="979" spans="1:3">
      <c r="A979" s="13"/>
      <c r="B979" s="13"/>
      <c r="C979" s="13"/>
    </row>
    <row r="980" spans="1:3">
      <c r="A980" s="13"/>
      <c r="B980" s="13"/>
      <c r="C980" s="13"/>
    </row>
    <row r="981" spans="1:3">
      <c r="A981" s="13"/>
      <c r="B981" s="13"/>
      <c r="C981" s="13"/>
    </row>
    <row r="982" spans="1:3">
      <c r="A982" s="13"/>
      <c r="B982" s="13"/>
      <c r="C982" s="13"/>
    </row>
    <row r="983" spans="1:3">
      <c r="A983" s="13"/>
      <c r="B983" s="13"/>
      <c r="C983" s="13"/>
    </row>
    <row r="984" spans="1:3">
      <c r="A984" s="13"/>
      <c r="B984" s="13"/>
      <c r="C984" s="13"/>
    </row>
    <row r="985" spans="1:3">
      <c r="A985" s="13"/>
      <c r="B985" s="13"/>
      <c r="C985" s="13"/>
    </row>
    <row r="986" spans="1:3">
      <c r="A986" s="13"/>
      <c r="B986" s="13"/>
      <c r="C986" s="13"/>
    </row>
    <row r="987" spans="1:3">
      <c r="A987" s="13"/>
      <c r="B987" s="13"/>
      <c r="C987" s="13"/>
    </row>
    <row r="988" spans="1:3">
      <c r="A988" s="13"/>
      <c r="B988" s="13"/>
      <c r="C988" s="13"/>
    </row>
    <row r="989" spans="1:3">
      <c r="A989" s="13"/>
      <c r="B989" s="13"/>
      <c r="C989" s="13"/>
    </row>
    <row r="990" spans="1:3">
      <c r="A990" s="13"/>
      <c r="B990" s="13"/>
      <c r="C990" s="13"/>
    </row>
    <row r="991" spans="1:3">
      <c r="A991" s="13"/>
      <c r="B991" s="13"/>
      <c r="C991" s="13"/>
    </row>
    <row r="992" spans="1:3">
      <c r="A992" s="13"/>
      <c r="B992" s="13"/>
      <c r="C992" s="13"/>
    </row>
    <row r="993" spans="1:3">
      <c r="A993" s="13"/>
      <c r="B993" s="13"/>
      <c r="C993" s="13"/>
    </row>
    <row r="994" spans="1:3">
      <c r="A994" s="13"/>
      <c r="B994" s="13"/>
      <c r="C994" s="13"/>
    </row>
    <row r="995" spans="1:3">
      <c r="A995" s="13"/>
      <c r="B995" s="13"/>
      <c r="C995" s="13"/>
    </row>
    <row r="996" spans="1:3">
      <c r="A996" s="13"/>
      <c r="B996" s="13"/>
      <c r="C996" s="13"/>
    </row>
    <row r="997" spans="1:3">
      <c r="A997" s="13"/>
      <c r="B997" s="13"/>
      <c r="C997" s="13"/>
    </row>
    <row r="998" spans="1:3">
      <c r="A998" s="13"/>
      <c r="B998" s="13"/>
      <c r="C998" s="13"/>
    </row>
    <row r="999" spans="1:3">
      <c r="A999" s="13"/>
      <c r="B999" s="13"/>
      <c r="C999" s="13"/>
    </row>
    <row r="1000" spans="1:3">
      <c r="A1000" s="13"/>
      <c r="B1000" s="13"/>
      <c r="C1000" s="13"/>
    </row>
    <row r="1001" spans="1:3">
      <c r="A1001" s="13"/>
      <c r="B1001" s="13"/>
      <c r="C1001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0.33203125" customWidth="1"/>
    <col min="2" max="2" width="10.88671875" customWidth="1"/>
    <col min="3" max="3" width="10.21875" customWidth="1"/>
    <col min="4" max="4" width="9.88671875" customWidth="1"/>
    <col min="5" max="5" width="11.88671875" customWidth="1"/>
    <col min="6" max="6" width="15.21875" customWidth="1"/>
    <col min="7" max="7" width="14.88671875" customWidth="1"/>
    <col min="8" max="8" width="17.77734375" customWidth="1"/>
    <col min="9" max="9" width="10.21875" customWidth="1"/>
    <col min="10" max="10" width="9.88671875" customWidth="1"/>
    <col min="11" max="11" width="11.88671875" customWidth="1"/>
    <col min="12" max="12" width="16.109375" customWidth="1"/>
    <col min="13" max="13" width="15.77734375" customWidth="1"/>
    <col min="14" max="14" width="17.77734375" customWidth="1"/>
    <col min="15" max="15" width="10" customWidth="1"/>
    <col min="16" max="16" width="9.6640625" customWidth="1"/>
    <col min="17" max="17" width="11.6640625" customWidth="1"/>
    <col min="18" max="18" width="21.88671875" customWidth="1"/>
    <col min="19" max="19" width="21.44140625" customWidth="1"/>
    <col min="20" max="20" width="23.33203125" customWidth="1"/>
    <col min="21" max="21" width="18.88671875" customWidth="1"/>
    <col min="22" max="22" width="18.44140625" customWidth="1"/>
    <col min="23" max="23" width="20.44140625" customWidth="1"/>
    <col min="24" max="24" width="19.21875" customWidth="1"/>
    <col min="25" max="25" width="18.88671875" customWidth="1"/>
    <col min="26" max="26" width="20.88671875" customWidth="1"/>
  </cols>
  <sheetData>
    <row r="1" spans="1:26">
      <c r="A1" s="72" t="s">
        <v>2</v>
      </c>
      <c r="B1" s="73" t="s">
        <v>3</v>
      </c>
      <c r="C1" s="74" t="s">
        <v>1407</v>
      </c>
      <c r="D1" s="74" t="s">
        <v>1408</v>
      </c>
      <c r="E1" s="74" t="s">
        <v>1409</v>
      </c>
      <c r="F1" s="75" t="s">
        <v>1410</v>
      </c>
      <c r="G1" s="75" t="s">
        <v>1411</v>
      </c>
      <c r="H1" s="75" t="s">
        <v>1412</v>
      </c>
      <c r="I1" s="74" t="s">
        <v>1413</v>
      </c>
      <c r="J1" s="74" t="s">
        <v>1414</v>
      </c>
      <c r="K1" s="74" t="s">
        <v>1415</v>
      </c>
      <c r="L1" s="75" t="s">
        <v>1416</v>
      </c>
      <c r="M1" s="75" t="s">
        <v>1417</v>
      </c>
      <c r="N1" s="75" t="s">
        <v>1418</v>
      </c>
      <c r="O1" s="74" t="s">
        <v>1419</v>
      </c>
      <c r="P1" s="74" t="s">
        <v>1420</v>
      </c>
      <c r="Q1" s="74" t="s">
        <v>1421</v>
      </c>
      <c r="R1" s="75" t="s">
        <v>1422</v>
      </c>
      <c r="S1" s="75" t="s">
        <v>1423</v>
      </c>
      <c r="T1" s="75" t="s">
        <v>1424</v>
      </c>
      <c r="U1" s="74" t="s">
        <v>1425</v>
      </c>
      <c r="V1" s="74" t="s">
        <v>1426</v>
      </c>
      <c r="W1" s="74" t="s">
        <v>1427</v>
      </c>
      <c r="X1" s="75" t="s">
        <v>1428</v>
      </c>
      <c r="Y1" s="75" t="s">
        <v>1429</v>
      </c>
      <c r="Z1" s="75" t="s">
        <v>1430</v>
      </c>
    </row>
    <row r="2" spans="1:26">
      <c r="A2" s="76" t="s">
        <v>177</v>
      </c>
      <c r="B2" s="77"/>
      <c r="C2" s="78">
        <v>0</v>
      </c>
      <c r="D2" s="78">
        <v>0</v>
      </c>
      <c r="E2" s="79">
        <f t="shared" ref="E2:E52" si="0">C2+D2</f>
        <v>0</v>
      </c>
      <c r="F2" s="80">
        <v>0</v>
      </c>
      <c r="G2" s="80">
        <v>0</v>
      </c>
      <c r="H2" s="81">
        <f t="shared" ref="H2:H52" si="1">F2+G2</f>
        <v>0</v>
      </c>
      <c r="I2" s="78">
        <v>0</v>
      </c>
      <c r="J2" s="78">
        <v>0</v>
      </c>
      <c r="K2" s="79">
        <f t="shared" ref="K2:K52" si="2">I2+J2</f>
        <v>0</v>
      </c>
      <c r="L2" s="80">
        <v>0</v>
      </c>
      <c r="M2" s="80">
        <v>0</v>
      </c>
      <c r="N2" s="81">
        <f t="shared" ref="N2:N52" si="3">L2+M2</f>
        <v>0</v>
      </c>
      <c r="O2" s="78">
        <v>20000</v>
      </c>
      <c r="P2" s="78">
        <v>10000</v>
      </c>
      <c r="Q2" s="79">
        <f t="shared" ref="Q2:Q52" si="4">O2+P2</f>
        <v>30000</v>
      </c>
      <c r="R2" s="80">
        <v>20000</v>
      </c>
      <c r="S2" s="80">
        <v>10000</v>
      </c>
      <c r="T2" s="81">
        <f t="shared" ref="T2:T52" si="5">R2+S2</f>
        <v>30000</v>
      </c>
      <c r="U2" s="78">
        <v>20000</v>
      </c>
      <c r="V2" s="78">
        <v>10000</v>
      </c>
      <c r="W2" s="79">
        <f t="shared" ref="W2:W52" si="6">U2+V2</f>
        <v>30000</v>
      </c>
      <c r="X2" s="80">
        <v>20000</v>
      </c>
      <c r="Y2" s="80">
        <v>10000</v>
      </c>
      <c r="Z2" s="81">
        <f t="shared" ref="Z2:Z52" si="7">X2+Y2</f>
        <v>30000</v>
      </c>
    </row>
    <row r="3" spans="1:26">
      <c r="A3" s="76" t="s">
        <v>524</v>
      </c>
      <c r="B3" s="77"/>
      <c r="C3" s="78">
        <v>0</v>
      </c>
      <c r="D3" s="78">
        <v>0</v>
      </c>
      <c r="E3" s="79">
        <f t="shared" si="0"/>
        <v>0</v>
      </c>
      <c r="F3" s="80">
        <v>0</v>
      </c>
      <c r="G3" s="80">
        <v>0</v>
      </c>
      <c r="H3" s="81">
        <f t="shared" si="1"/>
        <v>0</v>
      </c>
      <c r="I3" s="78">
        <v>0</v>
      </c>
      <c r="J3" s="78">
        <v>0</v>
      </c>
      <c r="K3" s="79">
        <f t="shared" si="2"/>
        <v>0</v>
      </c>
      <c r="L3" s="80">
        <v>0</v>
      </c>
      <c r="M3" s="80">
        <v>0</v>
      </c>
      <c r="N3" s="81">
        <f t="shared" si="3"/>
        <v>0</v>
      </c>
      <c r="O3" s="78">
        <v>20000</v>
      </c>
      <c r="P3" s="78">
        <v>10000</v>
      </c>
      <c r="Q3" s="79">
        <f t="shared" si="4"/>
        <v>30000</v>
      </c>
      <c r="R3" s="80">
        <v>20000</v>
      </c>
      <c r="S3" s="80">
        <v>10000</v>
      </c>
      <c r="T3" s="81">
        <f t="shared" si="5"/>
        <v>30000</v>
      </c>
      <c r="U3" s="78">
        <v>20000</v>
      </c>
      <c r="V3" s="78">
        <v>10000</v>
      </c>
      <c r="W3" s="79">
        <f t="shared" si="6"/>
        <v>30000</v>
      </c>
      <c r="X3" s="80">
        <v>20000</v>
      </c>
      <c r="Y3" s="80">
        <v>10000</v>
      </c>
      <c r="Z3" s="81">
        <f t="shared" si="7"/>
        <v>30000</v>
      </c>
    </row>
    <row r="4" spans="1:26">
      <c r="A4" s="76" t="s">
        <v>529</v>
      </c>
      <c r="B4" s="77"/>
      <c r="C4" s="78">
        <v>900</v>
      </c>
      <c r="D4" s="78">
        <v>900</v>
      </c>
      <c r="E4" s="79">
        <f t="shared" si="0"/>
        <v>1800</v>
      </c>
      <c r="F4" s="80">
        <v>900</v>
      </c>
      <c r="G4" s="80">
        <v>900</v>
      </c>
      <c r="H4" s="81">
        <f t="shared" si="1"/>
        <v>1800</v>
      </c>
      <c r="I4" s="78">
        <v>1800</v>
      </c>
      <c r="J4" s="78">
        <v>900</v>
      </c>
      <c r="K4" s="79">
        <f t="shared" si="2"/>
        <v>2700</v>
      </c>
      <c r="L4" s="80">
        <v>1800</v>
      </c>
      <c r="M4" s="80">
        <v>900</v>
      </c>
      <c r="N4" s="81">
        <f t="shared" si="3"/>
        <v>2700</v>
      </c>
      <c r="O4" s="78">
        <v>2200</v>
      </c>
      <c r="P4" s="78">
        <v>1300</v>
      </c>
      <c r="Q4" s="79">
        <f t="shared" si="4"/>
        <v>3500</v>
      </c>
      <c r="R4" s="80">
        <v>2200</v>
      </c>
      <c r="S4" s="80">
        <v>1300</v>
      </c>
      <c r="T4" s="81">
        <f t="shared" si="5"/>
        <v>3500</v>
      </c>
      <c r="U4" s="78">
        <v>2500</v>
      </c>
      <c r="V4" s="78">
        <v>2500</v>
      </c>
      <c r="W4" s="79">
        <f t="shared" si="6"/>
        <v>5000</v>
      </c>
      <c r="X4" s="80">
        <v>18000</v>
      </c>
      <c r="Y4" s="80">
        <v>12000</v>
      </c>
      <c r="Z4" s="81">
        <f t="shared" si="7"/>
        <v>30000</v>
      </c>
    </row>
    <row r="5" spans="1:26">
      <c r="A5" s="76" t="s">
        <v>556</v>
      </c>
      <c r="B5" s="77"/>
      <c r="C5" s="78">
        <v>1800</v>
      </c>
      <c r="D5" s="78">
        <v>900</v>
      </c>
      <c r="E5" s="79">
        <f t="shared" si="0"/>
        <v>2700</v>
      </c>
      <c r="F5" s="80">
        <v>1800</v>
      </c>
      <c r="G5" s="80">
        <v>900</v>
      </c>
      <c r="H5" s="81">
        <f t="shared" si="1"/>
        <v>2700</v>
      </c>
      <c r="I5" s="78">
        <v>2200</v>
      </c>
      <c r="J5" s="78">
        <v>1300</v>
      </c>
      <c r="K5" s="79">
        <f t="shared" si="2"/>
        <v>3500</v>
      </c>
      <c r="L5" s="80">
        <v>2200</v>
      </c>
      <c r="M5" s="80">
        <v>1300</v>
      </c>
      <c r="N5" s="81">
        <f t="shared" si="3"/>
        <v>3500</v>
      </c>
      <c r="O5" s="78">
        <v>2700</v>
      </c>
      <c r="P5" s="78">
        <v>1300</v>
      </c>
      <c r="Q5" s="79">
        <f t="shared" si="4"/>
        <v>4000</v>
      </c>
      <c r="R5" s="80">
        <v>2700</v>
      </c>
      <c r="S5" s="80">
        <v>1300</v>
      </c>
      <c r="T5" s="81">
        <f t="shared" si="5"/>
        <v>4000</v>
      </c>
      <c r="U5" s="78">
        <v>2500</v>
      </c>
      <c r="V5" s="78">
        <v>2500</v>
      </c>
      <c r="W5" s="79">
        <f t="shared" si="6"/>
        <v>5000</v>
      </c>
      <c r="X5" s="80">
        <v>18000</v>
      </c>
      <c r="Y5" s="80">
        <v>12000</v>
      </c>
      <c r="Z5" s="81">
        <f t="shared" si="7"/>
        <v>30000</v>
      </c>
    </row>
    <row r="6" spans="1:26">
      <c r="A6" s="76" t="s">
        <v>573</v>
      </c>
      <c r="B6" s="77"/>
      <c r="C6" s="78">
        <v>0</v>
      </c>
      <c r="D6" s="78">
        <v>0</v>
      </c>
      <c r="E6" s="79">
        <f t="shared" si="0"/>
        <v>0</v>
      </c>
      <c r="F6" s="80">
        <v>0</v>
      </c>
      <c r="G6" s="80">
        <v>0</v>
      </c>
      <c r="H6" s="81">
        <f t="shared" si="1"/>
        <v>0</v>
      </c>
      <c r="I6" s="78">
        <v>0</v>
      </c>
      <c r="J6" s="78">
        <v>0</v>
      </c>
      <c r="K6" s="79">
        <f t="shared" si="2"/>
        <v>0</v>
      </c>
      <c r="L6" s="80">
        <v>0</v>
      </c>
      <c r="M6" s="80">
        <v>0</v>
      </c>
      <c r="N6" s="81">
        <f t="shared" si="3"/>
        <v>0</v>
      </c>
      <c r="O6" s="78">
        <v>0</v>
      </c>
      <c r="P6" s="78">
        <v>0</v>
      </c>
      <c r="Q6" s="79">
        <f t="shared" si="4"/>
        <v>0</v>
      </c>
      <c r="R6" s="80">
        <v>0</v>
      </c>
      <c r="S6" s="80">
        <v>0</v>
      </c>
      <c r="T6" s="81">
        <f t="shared" si="5"/>
        <v>0</v>
      </c>
      <c r="U6" s="78">
        <v>2500</v>
      </c>
      <c r="V6" s="78">
        <v>2500</v>
      </c>
      <c r="W6" s="79">
        <f t="shared" si="6"/>
        <v>5000</v>
      </c>
      <c r="X6" s="80">
        <v>24000</v>
      </c>
      <c r="Y6" s="80">
        <v>16000</v>
      </c>
      <c r="Z6" s="81">
        <f t="shared" si="7"/>
        <v>40000</v>
      </c>
    </row>
    <row r="7" spans="1:26">
      <c r="A7" s="76" t="s">
        <v>656</v>
      </c>
      <c r="B7" s="77"/>
      <c r="C7" s="78">
        <v>0</v>
      </c>
      <c r="D7" s="78">
        <v>0</v>
      </c>
      <c r="E7" s="79">
        <f t="shared" si="0"/>
        <v>0</v>
      </c>
      <c r="F7" s="80">
        <v>0</v>
      </c>
      <c r="G7" s="80">
        <v>0</v>
      </c>
      <c r="H7" s="81">
        <f t="shared" si="1"/>
        <v>0</v>
      </c>
      <c r="I7" s="78">
        <v>0</v>
      </c>
      <c r="J7" s="78">
        <v>0</v>
      </c>
      <c r="K7" s="79">
        <f t="shared" si="2"/>
        <v>0</v>
      </c>
      <c r="L7" s="80">
        <v>0</v>
      </c>
      <c r="M7" s="80">
        <v>0</v>
      </c>
      <c r="N7" s="81">
        <f t="shared" si="3"/>
        <v>0</v>
      </c>
      <c r="O7" s="78">
        <v>0</v>
      </c>
      <c r="P7" s="78">
        <v>0</v>
      </c>
      <c r="Q7" s="79">
        <f t="shared" si="4"/>
        <v>0</v>
      </c>
      <c r="R7" s="80">
        <v>0</v>
      </c>
      <c r="S7" s="80">
        <v>0</v>
      </c>
      <c r="T7" s="81">
        <f t="shared" si="5"/>
        <v>0</v>
      </c>
      <c r="U7" s="78">
        <v>2500</v>
      </c>
      <c r="V7" s="78">
        <v>2500</v>
      </c>
      <c r="W7" s="79">
        <f t="shared" si="6"/>
        <v>5000</v>
      </c>
      <c r="X7" s="80">
        <v>24000</v>
      </c>
      <c r="Y7" s="80">
        <v>16000</v>
      </c>
      <c r="Z7" s="81">
        <f t="shared" si="7"/>
        <v>40000</v>
      </c>
    </row>
    <row r="8" spans="1:26">
      <c r="A8" s="76" t="s">
        <v>51</v>
      </c>
      <c r="B8" s="77"/>
      <c r="C8" s="78">
        <v>0</v>
      </c>
      <c r="D8" s="78">
        <v>0</v>
      </c>
      <c r="E8" s="79">
        <f t="shared" si="0"/>
        <v>0</v>
      </c>
      <c r="F8" s="80">
        <v>0</v>
      </c>
      <c r="G8" s="80">
        <v>0</v>
      </c>
      <c r="H8" s="81">
        <f t="shared" si="1"/>
        <v>0</v>
      </c>
      <c r="I8" s="78">
        <v>0</v>
      </c>
      <c r="J8" s="78">
        <v>0</v>
      </c>
      <c r="K8" s="79">
        <f t="shared" si="2"/>
        <v>0</v>
      </c>
      <c r="L8" s="80">
        <v>0</v>
      </c>
      <c r="M8" s="80">
        <v>0</v>
      </c>
      <c r="N8" s="81">
        <f t="shared" si="3"/>
        <v>0</v>
      </c>
      <c r="O8" s="78">
        <v>0</v>
      </c>
      <c r="P8" s="78">
        <v>0</v>
      </c>
      <c r="Q8" s="79">
        <f t="shared" si="4"/>
        <v>0</v>
      </c>
      <c r="R8" s="80">
        <v>0</v>
      </c>
      <c r="S8" s="80">
        <v>0</v>
      </c>
      <c r="T8" s="81">
        <f t="shared" si="5"/>
        <v>0</v>
      </c>
      <c r="U8" s="78">
        <v>2500</v>
      </c>
      <c r="V8" s="78">
        <v>2500</v>
      </c>
      <c r="W8" s="79">
        <f t="shared" si="6"/>
        <v>5000</v>
      </c>
      <c r="X8" s="80">
        <v>24000</v>
      </c>
      <c r="Y8" s="80">
        <v>16000</v>
      </c>
      <c r="Z8" s="81">
        <f t="shared" si="7"/>
        <v>40000</v>
      </c>
    </row>
    <row r="9" spans="1:26">
      <c r="A9" s="76" t="s">
        <v>328</v>
      </c>
      <c r="B9" s="77"/>
      <c r="C9" s="78">
        <v>1800</v>
      </c>
      <c r="D9" s="78">
        <v>1800</v>
      </c>
      <c r="E9" s="79">
        <f t="shared" si="0"/>
        <v>3600</v>
      </c>
      <c r="F9" s="80">
        <v>1800</v>
      </c>
      <c r="G9" s="80">
        <v>1800</v>
      </c>
      <c r="H9" s="81">
        <f t="shared" si="1"/>
        <v>3600</v>
      </c>
      <c r="I9" s="78">
        <v>2300</v>
      </c>
      <c r="J9" s="78">
        <v>2300</v>
      </c>
      <c r="K9" s="79">
        <f t="shared" si="2"/>
        <v>4600</v>
      </c>
      <c r="L9" s="80">
        <v>2300</v>
      </c>
      <c r="M9" s="80">
        <v>2300</v>
      </c>
      <c r="N9" s="81">
        <f t="shared" si="3"/>
        <v>4600</v>
      </c>
      <c r="O9" s="78">
        <v>2800</v>
      </c>
      <c r="P9" s="78">
        <v>2800</v>
      </c>
      <c r="Q9" s="79">
        <f t="shared" si="4"/>
        <v>5600</v>
      </c>
      <c r="R9" s="80">
        <v>2800</v>
      </c>
      <c r="S9" s="80">
        <v>2800</v>
      </c>
      <c r="T9" s="81">
        <f t="shared" si="5"/>
        <v>5600</v>
      </c>
      <c r="U9" s="78">
        <v>3750</v>
      </c>
      <c r="V9" s="78">
        <v>3750</v>
      </c>
      <c r="W9" s="79">
        <f t="shared" si="6"/>
        <v>7500</v>
      </c>
      <c r="X9" s="80">
        <v>24000</v>
      </c>
      <c r="Y9" s="80">
        <v>16000</v>
      </c>
      <c r="Z9" s="81">
        <f t="shared" si="7"/>
        <v>40000</v>
      </c>
    </row>
    <row r="10" spans="1:26">
      <c r="A10" s="76" t="s">
        <v>593</v>
      </c>
      <c r="B10" s="77"/>
      <c r="C10" s="78">
        <v>0</v>
      </c>
      <c r="D10" s="78">
        <v>0</v>
      </c>
      <c r="E10" s="79">
        <f t="shared" si="0"/>
        <v>0</v>
      </c>
      <c r="F10" s="80">
        <v>0</v>
      </c>
      <c r="G10" s="80">
        <v>0</v>
      </c>
      <c r="H10" s="81">
        <f t="shared" si="1"/>
        <v>0</v>
      </c>
      <c r="I10" s="78">
        <v>0</v>
      </c>
      <c r="J10" s="78">
        <v>0</v>
      </c>
      <c r="K10" s="79">
        <f t="shared" si="2"/>
        <v>0</v>
      </c>
      <c r="L10" s="80">
        <v>0</v>
      </c>
      <c r="M10" s="80">
        <v>0</v>
      </c>
      <c r="N10" s="81">
        <f t="shared" si="3"/>
        <v>0</v>
      </c>
      <c r="O10" s="78">
        <v>0</v>
      </c>
      <c r="P10" s="78">
        <v>0</v>
      </c>
      <c r="Q10" s="79">
        <f t="shared" si="4"/>
        <v>0</v>
      </c>
      <c r="R10" s="80">
        <v>0</v>
      </c>
      <c r="S10" s="80">
        <v>0</v>
      </c>
      <c r="T10" s="81">
        <f t="shared" si="5"/>
        <v>0</v>
      </c>
      <c r="U10" s="78">
        <v>2500</v>
      </c>
      <c r="V10" s="78">
        <v>2500</v>
      </c>
      <c r="W10" s="79">
        <f t="shared" si="6"/>
        <v>5000</v>
      </c>
      <c r="X10" s="80">
        <v>18000</v>
      </c>
      <c r="Y10" s="80">
        <v>12000</v>
      </c>
      <c r="Z10" s="81">
        <f t="shared" si="7"/>
        <v>30000</v>
      </c>
    </row>
    <row r="11" spans="1:26">
      <c r="A11" s="76" t="s">
        <v>77</v>
      </c>
      <c r="B11" s="77"/>
      <c r="C11" s="78">
        <v>0</v>
      </c>
      <c r="D11" s="78">
        <v>0</v>
      </c>
      <c r="E11" s="79">
        <f t="shared" si="0"/>
        <v>0</v>
      </c>
      <c r="F11" s="80">
        <v>0</v>
      </c>
      <c r="G11" s="80">
        <v>0</v>
      </c>
      <c r="H11" s="81">
        <f t="shared" si="1"/>
        <v>0</v>
      </c>
      <c r="I11" s="79">
        <v>0</v>
      </c>
      <c r="J11" s="79">
        <v>0</v>
      </c>
      <c r="K11" s="79">
        <f t="shared" si="2"/>
        <v>0</v>
      </c>
      <c r="L11" s="80">
        <v>0</v>
      </c>
      <c r="M11" s="80">
        <v>0</v>
      </c>
      <c r="N11" s="81">
        <f t="shared" si="3"/>
        <v>0</v>
      </c>
      <c r="O11" s="78">
        <v>5000</v>
      </c>
      <c r="P11" s="78">
        <v>5000</v>
      </c>
      <c r="Q11" s="79">
        <f t="shared" si="4"/>
        <v>10000</v>
      </c>
      <c r="R11" s="80">
        <v>5000</v>
      </c>
      <c r="S11" s="80">
        <v>5000</v>
      </c>
      <c r="T11" s="81">
        <f t="shared" si="5"/>
        <v>10000</v>
      </c>
      <c r="U11" s="78">
        <v>7500</v>
      </c>
      <c r="V11" s="78">
        <v>7500</v>
      </c>
      <c r="W11" s="79">
        <f t="shared" si="6"/>
        <v>15000</v>
      </c>
      <c r="X11" s="80">
        <v>24000</v>
      </c>
      <c r="Y11" s="80">
        <v>16000</v>
      </c>
      <c r="Z11" s="81">
        <f t="shared" si="7"/>
        <v>40000</v>
      </c>
    </row>
    <row r="12" spans="1:26">
      <c r="A12" s="76" t="s">
        <v>934</v>
      </c>
      <c r="B12" s="77"/>
      <c r="C12" s="78">
        <v>0</v>
      </c>
      <c r="D12" s="78">
        <v>0</v>
      </c>
      <c r="E12" s="79">
        <f t="shared" si="0"/>
        <v>0</v>
      </c>
      <c r="F12" s="80">
        <v>0</v>
      </c>
      <c r="G12" s="80">
        <v>0</v>
      </c>
      <c r="H12" s="81">
        <f t="shared" si="1"/>
        <v>0</v>
      </c>
      <c r="I12" s="78">
        <v>0</v>
      </c>
      <c r="J12" s="78">
        <v>0</v>
      </c>
      <c r="K12" s="79">
        <f t="shared" si="2"/>
        <v>0</v>
      </c>
      <c r="L12" s="80">
        <v>0</v>
      </c>
      <c r="M12" s="80">
        <v>0</v>
      </c>
      <c r="N12" s="81">
        <f t="shared" si="3"/>
        <v>0</v>
      </c>
      <c r="O12" s="78">
        <v>6000</v>
      </c>
      <c r="P12" s="78">
        <v>4000</v>
      </c>
      <c r="Q12" s="79">
        <f t="shared" si="4"/>
        <v>10000</v>
      </c>
      <c r="R12" s="80">
        <v>6000</v>
      </c>
      <c r="S12" s="80">
        <v>4000</v>
      </c>
      <c r="T12" s="81">
        <f t="shared" si="5"/>
        <v>10000</v>
      </c>
      <c r="U12" s="78">
        <v>6000</v>
      </c>
      <c r="V12" s="78">
        <v>4000</v>
      </c>
      <c r="W12" s="79">
        <f t="shared" si="6"/>
        <v>10000</v>
      </c>
      <c r="X12" s="80">
        <v>24000</v>
      </c>
      <c r="Y12" s="80">
        <v>16000</v>
      </c>
      <c r="Z12" s="81">
        <f t="shared" si="7"/>
        <v>40000</v>
      </c>
    </row>
    <row r="13" spans="1:26">
      <c r="A13" s="76" t="s">
        <v>931</v>
      </c>
      <c r="B13" s="77"/>
      <c r="C13" s="78">
        <v>0</v>
      </c>
      <c r="D13" s="78">
        <v>0</v>
      </c>
      <c r="E13" s="79">
        <f t="shared" si="0"/>
        <v>0</v>
      </c>
      <c r="F13" s="80">
        <v>0</v>
      </c>
      <c r="G13" s="80">
        <v>0</v>
      </c>
      <c r="H13" s="81">
        <f t="shared" si="1"/>
        <v>0</v>
      </c>
      <c r="I13" s="78">
        <v>0</v>
      </c>
      <c r="J13" s="78">
        <v>0</v>
      </c>
      <c r="K13" s="79">
        <f t="shared" si="2"/>
        <v>0</v>
      </c>
      <c r="L13" s="80">
        <v>0</v>
      </c>
      <c r="M13" s="80">
        <v>0</v>
      </c>
      <c r="N13" s="81">
        <f t="shared" si="3"/>
        <v>0</v>
      </c>
      <c r="O13" s="78">
        <v>0</v>
      </c>
      <c r="P13" s="78">
        <v>0</v>
      </c>
      <c r="Q13" s="79">
        <f t="shared" si="4"/>
        <v>0</v>
      </c>
      <c r="R13" s="80">
        <v>0</v>
      </c>
      <c r="S13" s="80">
        <v>0</v>
      </c>
      <c r="T13" s="81">
        <f t="shared" si="5"/>
        <v>0</v>
      </c>
      <c r="U13" s="78">
        <v>0</v>
      </c>
      <c r="V13" s="78">
        <v>0</v>
      </c>
      <c r="W13" s="79">
        <f t="shared" si="6"/>
        <v>0</v>
      </c>
      <c r="X13" s="80">
        <v>0</v>
      </c>
      <c r="Y13" s="80">
        <v>0</v>
      </c>
      <c r="Z13" s="81">
        <f t="shared" si="7"/>
        <v>0</v>
      </c>
    </row>
    <row r="14" spans="1:26">
      <c r="A14" s="76" t="s">
        <v>600</v>
      </c>
      <c r="B14" s="77"/>
      <c r="C14" s="78">
        <v>1800</v>
      </c>
      <c r="D14" s="78">
        <v>900</v>
      </c>
      <c r="E14" s="79">
        <f t="shared" si="0"/>
        <v>2700</v>
      </c>
      <c r="F14" s="80">
        <v>1800</v>
      </c>
      <c r="G14" s="80">
        <v>900</v>
      </c>
      <c r="H14" s="81">
        <f t="shared" si="1"/>
        <v>2700</v>
      </c>
      <c r="I14" s="78">
        <v>2200</v>
      </c>
      <c r="J14" s="78">
        <v>1300</v>
      </c>
      <c r="K14" s="79">
        <f t="shared" si="2"/>
        <v>3500</v>
      </c>
      <c r="L14" s="80">
        <v>2200</v>
      </c>
      <c r="M14" s="80">
        <v>1300</v>
      </c>
      <c r="N14" s="81">
        <f t="shared" si="3"/>
        <v>3500</v>
      </c>
      <c r="O14" s="78">
        <v>2700</v>
      </c>
      <c r="P14" s="78">
        <v>1800</v>
      </c>
      <c r="Q14" s="79">
        <f t="shared" si="4"/>
        <v>4500</v>
      </c>
      <c r="R14" s="80">
        <v>2700</v>
      </c>
      <c r="S14" s="80">
        <v>1800</v>
      </c>
      <c r="T14" s="81">
        <f t="shared" si="5"/>
        <v>4500</v>
      </c>
      <c r="U14" s="78">
        <v>2500</v>
      </c>
      <c r="V14" s="78">
        <v>2500</v>
      </c>
      <c r="W14" s="79">
        <f t="shared" si="6"/>
        <v>5000</v>
      </c>
      <c r="X14" s="80">
        <v>18000</v>
      </c>
      <c r="Y14" s="80">
        <v>12000</v>
      </c>
      <c r="Z14" s="81">
        <f t="shared" si="7"/>
        <v>30000</v>
      </c>
    </row>
    <row r="15" spans="1:26">
      <c r="A15" s="76" t="s">
        <v>1003</v>
      </c>
      <c r="B15" s="77"/>
      <c r="C15" s="78">
        <v>0</v>
      </c>
      <c r="D15" s="78">
        <v>0</v>
      </c>
      <c r="E15" s="79">
        <f t="shared" si="0"/>
        <v>0</v>
      </c>
      <c r="F15" s="80">
        <v>0</v>
      </c>
      <c r="G15" s="80">
        <v>0</v>
      </c>
      <c r="H15" s="81">
        <f t="shared" si="1"/>
        <v>0</v>
      </c>
      <c r="I15" s="78">
        <v>0</v>
      </c>
      <c r="J15" s="78">
        <v>0</v>
      </c>
      <c r="K15" s="79">
        <f t="shared" si="2"/>
        <v>0</v>
      </c>
      <c r="L15" s="80">
        <v>0</v>
      </c>
      <c r="M15" s="80">
        <v>0</v>
      </c>
      <c r="N15" s="81">
        <f t="shared" si="3"/>
        <v>0</v>
      </c>
      <c r="O15" s="78">
        <v>0</v>
      </c>
      <c r="P15" s="78">
        <v>0</v>
      </c>
      <c r="Q15" s="79">
        <f t="shared" si="4"/>
        <v>0</v>
      </c>
      <c r="R15" s="80">
        <v>0</v>
      </c>
      <c r="S15" s="80">
        <v>0</v>
      </c>
      <c r="T15" s="81">
        <f t="shared" si="5"/>
        <v>0</v>
      </c>
      <c r="U15" s="78">
        <v>0</v>
      </c>
      <c r="V15" s="78">
        <v>0</v>
      </c>
      <c r="W15" s="79">
        <f t="shared" si="6"/>
        <v>0</v>
      </c>
      <c r="X15" s="80">
        <v>0</v>
      </c>
      <c r="Y15" s="80">
        <v>0</v>
      </c>
      <c r="Z15" s="81">
        <f t="shared" si="7"/>
        <v>0</v>
      </c>
    </row>
    <row r="16" spans="1:26">
      <c r="A16" s="82" t="s">
        <v>1431</v>
      </c>
      <c r="B16" s="77"/>
      <c r="C16" s="78">
        <v>0</v>
      </c>
      <c r="D16" s="78">
        <v>0</v>
      </c>
      <c r="E16" s="79">
        <f t="shared" si="0"/>
        <v>0</v>
      </c>
      <c r="F16" s="80">
        <v>0</v>
      </c>
      <c r="G16" s="80">
        <v>0</v>
      </c>
      <c r="H16" s="81">
        <f t="shared" si="1"/>
        <v>0</v>
      </c>
      <c r="I16" s="78">
        <v>0</v>
      </c>
      <c r="J16" s="78">
        <v>0</v>
      </c>
      <c r="K16" s="79">
        <f t="shared" si="2"/>
        <v>0</v>
      </c>
      <c r="L16" s="80">
        <v>0</v>
      </c>
      <c r="M16" s="80">
        <v>0</v>
      </c>
      <c r="N16" s="81">
        <f t="shared" si="3"/>
        <v>0</v>
      </c>
      <c r="O16" s="78">
        <v>0</v>
      </c>
      <c r="P16" s="78">
        <v>0</v>
      </c>
      <c r="Q16" s="79">
        <f t="shared" si="4"/>
        <v>0</v>
      </c>
      <c r="R16" s="80">
        <v>0</v>
      </c>
      <c r="S16" s="80">
        <v>0</v>
      </c>
      <c r="T16" s="81">
        <f t="shared" si="5"/>
        <v>0</v>
      </c>
      <c r="U16" s="78">
        <v>1250</v>
      </c>
      <c r="V16" s="78">
        <v>1250</v>
      </c>
      <c r="W16" s="79">
        <f t="shared" si="6"/>
        <v>2500</v>
      </c>
      <c r="X16" s="80">
        <v>18000</v>
      </c>
      <c r="Y16" s="80">
        <v>12000</v>
      </c>
      <c r="Z16" s="81">
        <f t="shared" si="7"/>
        <v>30000</v>
      </c>
    </row>
    <row r="17" spans="1:26">
      <c r="A17" s="76" t="s">
        <v>115</v>
      </c>
      <c r="B17" s="77"/>
      <c r="C17" s="78">
        <v>7500</v>
      </c>
      <c r="D17" s="78">
        <v>2500</v>
      </c>
      <c r="E17" s="79">
        <f t="shared" si="0"/>
        <v>10000</v>
      </c>
      <c r="F17" s="80">
        <v>7500</v>
      </c>
      <c r="G17" s="80">
        <v>2500</v>
      </c>
      <c r="H17" s="81">
        <f t="shared" si="1"/>
        <v>10000</v>
      </c>
      <c r="I17" s="78">
        <v>7500</v>
      </c>
      <c r="J17" s="78">
        <v>2500</v>
      </c>
      <c r="K17" s="79">
        <f t="shared" si="2"/>
        <v>10000</v>
      </c>
      <c r="L17" s="80">
        <v>7500</v>
      </c>
      <c r="M17" s="80">
        <v>2500</v>
      </c>
      <c r="N17" s="81">
        <f t="shared" si="3"/>
        <v>10000</v>
      </c>
      <c r="O17" s="78">
        <v>5000</v>
      </c>
      <c r="P17" s="78">
        <v>5000</v>
      </c>
      <c r="Q17" s="79">
        <f t="shared" si="4"/>
        <v>10000</v>
      </c>
      <c r="R17" s="80">
        <v>5000</v>
      </c>
      <c r="S17" s="80">
        <v>5000</v>
      </c>
      <c r="T17" s="81">
        <f t="shared" si="5"/>
        <v>10000</v>
      </c>
      <c r="U17" s="78">
        <v>7500</v>
      </c>
      <c r="V17" s="78">
        <v>7500</v>
      </c>
      <c r="W17" s="79">
        <f t="shared" si="6"/>
        <v>15000</v>
      </c>
      <c r="X17" s="80">
        <v>24000</v>
      </c>
      <c r="Y17" s="80">
        <v>16000</v>
      </c>
      <c r="Z17" s="81">
        <f t="shared" si="7"/>
        <v>40000</v>
      </c>
    </row>
    <row r="18" spans="1:26">
      <c r="A18" s="76" t="s">
        <v>528</v>
      </c>
      <c r="B18" s="77"/>
      <c r="C18" s="78">
        <v>0</v>
      </c>
      <c r="D18" s="78">
        <v>0</v>
      </c>
      <c r="E18" s="79">
        <f t="shared" si="0"/>
        <v>0</v>
      </c>
      <c r="F18" s="80">
        <v>0</v>
      </c>
      <c r="G18" s="80">
        <v>0</v>
      </c>
      <c r="H18" s="81">
        <f t="shared" si="1"/>
        <v>0</v>
      </c>
      <c r="I18" s="78">
        <v>0</v>
      </c>
      <c r="J18" s="78">
        <v>0</v>
      </c>
      <c r="K18" s="79">
        <f t="shared" si="2"/>
        <v>0</v>
      </c>
      <c r="L18" s="80">
        <v>0</v>
      </c>
      <c r="M18" s="80">
        <v>0</v>
      </c>
      <c r="N18" s="81">
        <f t="shared" si="3"/>
        <v>0</v>
      </c>
      <c r="O18" s="78">
        <v>0</v>
      </c>
      <c r="P18" s="78">
        <v>0</v>
      </c>
      <c r="Q18" s="79">
        <f t="shared" si="4"/>
        <v>0</v>
      </c>
      <c r="R18" s="80">
        <v>0</v>
      </c>
      <c r="S18" s="80">
        <v>0</v>
      </c>
      <c r="T18" s="81">
        <f t="shared" si="5"/>
        <v>0</v>
      </c>
      <c r="U18" s="78">
        <v>0</v>
      </c>
      <c r="V18" s="78">
        <v>0</v>
      </c>
      <c r="W18" s="79">
        <f t="shared" si="6"/>
        <v>0</v>
      </c>
      <c r="X18" s="80">
        <v>0</v>
      </c>
      <c r="Y18" s="80">
        <v>0</v>
      </c>
      <c r="Z18" s="81">
        <f t="shared" si="7"/>
        <v>0</v>
      </c>
    </row>
    <row r="19" spans="1:26">
      <c r="A19" s="76" t="s">
        <v>208</v>
      </c>
      <c r="B19" s="77"/>
      <c r="C19" s="78">
        <v>0</v>
      </c>
      <c r="D19" s="78">
        <v>0</v>
      </c>
      <c r="E19" s="79">
        <f t="shared" si="0"/>
        <v>0</v>
      </c>
      <c r="F19" s="80">
        <v>0</v>
      </c>
      <c r="G19" s="80">
        <v>0</v>
      </c>
      <c r="H19" s="81">
        <f t="shared" si="1"/>
        <v>0</v>
      </c>
      <c r="I19" s="78">
        <v>0</v>
      </c>
      <c r="J19" s="78">
        <v>0</v>
      </c>
      <c r="K19" s="79">
        <f t="shared" si="2"/>
        <v>0</v>
      </c>
      <c r="L19" s="80">
        <v>0</v>
      </c>
      <c r="M19" s="80">
        <v>0</v>
      </c>
      <c r="N19" s="81">
        <f t="shared" si="3"/>
        <v>0</v>
      </c>
      <c r="O19" s="78">
        <v>0</v>
      </c>
      <c r="P19" s="78">
        <v>0</v>
      </c>
      <c r="Q19" s="79">
        <f t="shared" si="4"/>
        <v>0</v>
      </c>
      <c r="R19" s="80">
        <v>0</v>
      </c>
      <c r="S19" s="80">
        <v>0</v>
      </c>
      <c r="T19" s="81">
        <f t="shared" si="5"/>
        <v>0</v>
      </c>
      <c r="U19" s="78">
        <v>0</v>
      </c>
      <c r="V19" s="78">
        <v>0</v>
      </c>
      <c r="W19" s="79">
        <f t="shared" si="6"/>
        <v>0</v>
      </c>
      <c r="X19" s="80">
        <v>0</v>
      </c>
      <c r="Y19" s="80">
        <v>0</v>
      </c>
      <c r="Z19" s="81">
        <f t="shared" si="7"/>
        <v>0</v>
      </c>
    </row>
    <row r="20" spans="1:26">
      <c r="A20" s="76" t="s">
        <v>174</v>
      </c>
      <c r="B20" s="77"/>
      <c r="C20" s="78">
        <v>1800</v>
      </c>
      <c r="D20" s="78">
        <v>900</v>
      </c>
      <c r="E20" s="79">
        <f t="shared" si="0"/>
        <v>2700</v>
      </c>
      <c r="F20" s="80">
        <v>1800</v>
      </c>
      <c r="G20" s="80">
        <v>900</v>
      </c>
      <c r="H20" s="81">
        <f t="shared" si="1"/>
        <v>2700</v>
      </c>
      <c r="I20" s="78">
        <v>2300</v>
      </c>
      <c r="J20" s="78">
        <v>900</v>
      </c>
      <c r="K20" s="79">
        <f t="shared" si="2"/>
        <v>3200</v>
      </c>
      <c r="L20" s="80">
        <v>2300</v>
      </c>
      <c r="M20" s="80">
        <v>900</v>
      </c>
      <c r="N20" s="81">
        <f t="shared" si="3"/>
        <v>3200</v>
      </c>
      <c r="O20" s="78">
        <v>2700</v>
      </c>
      <c r="P20" s="78">
        <v>1300</v>
      </c>
      <c r="Q20" s="79">
        <f t="shared" si="4"/>
        <v>4000</v>
      </c>
      <c r="R20" s="80">
        <v>2700</v>
      </c>
      <c r="S20" s="80">
        <v>1300</v>
      </c>
      <c r="T20" s="81">
        <f t="shared" si="5"/>
        <v>4000</v>
      </c>
      <c r="U20" s="78">
        <v>2000</v>
      </c>
      <c r="V20" s="78">
        <v>2000</v>
      </c>
      <c r="W20" s="79">
        <f t="shared" si="6"/>
        <v>4000</v>
      </c>
      <c r="X20" s="80">
        <v>12000</v>
      </c>
      <c r="Y20" s="80">
        <v>8000</v>
      </c>
      <c r="Z20" s="81">
        <f t="shared" si="7"/>
        <v>20000</v>
      </c>
    </row>
    <row r="21" spans="1:26">
      <c r="A21" s="76" t="s">
        <v>162</v>
      </c>
      <c r="B21" s="77"/>
      <c r="C21" s="78">
        <v>1800</v>
      </c>
      <c r="D21" s="78">
        <v>900</v>
      </c>
      <c r="E21" s="79">
        <f t="shared" si="0"/>
        <v>2700</v>
      </c>
      <c r="F21" s="80">
        <v>1800</v>
      </c>
      <c r="G21" s="80">
        <v>900</v>
      </c>
      <c r="H21" s="81">
        <f t="shared" si="1"/>
        <v>2700</v>
      </c>
      <c r="I21" s="78">
        <v>2300</v>
      </c>
      <c r="J21" s="78">
        <v>900</v>
      </c>
      <c r="K21" s="79">
        <f t="shared" si="2"/>
        <v>3200</v>
      </c>
      <c r="L21" s="80">
        <v>2300</v>
      </c>
      <c r="M21" s="80">
        <v>900</v>
      </c>
      <c r="N21" s="81">
        <f t="shared" si="3"/>
        <v>3200</v>
      </c>
      <c r="O21" s="78">
        <v>2700</v>
      </c>
      <c r="P21" s="78">
        <v>1300</v>
      </c>
      <c r="Q21" s="79">
        <f t="shared" si="4"/>
        <v>4000</v>
      </c>
      <c r="R21" s="80">
        <v>2700</v>
      </c>
      <c r="S21" s="80">
        <v>1300</v>
      </c>
      <c r="T21" s="81">
        <f t="shared" si="5"/>
        <v>4000</v>
      </c>
      <c r="U21" s="78">
        <v>2000</v>
      </c>
      <c r="V21" s="78">
        <v>2000</v>
      </c>
      <c r="W21" s="79">
        <f t="shared" si="6"/>
        <v>4000</v>
      </c>
      <c r="X21" s="80">
        <v>12000</v>
      </c>
      <c r="Y21" s="80">
        <v>8000</v>
      </c>
      <c r="Z21" s="81">
        <f t="shared" si="7"/>
        <v>20000</v>
      </c>
    </row>
    <row r="22" spans="1:26">
      <c r="A22" s="76" t="s">
        <v>58</v>
      </c>
      <c r="B22" s="77"/>
      <c r="C22" s="78">
        <v>1800</v>
      </c>
      <c r="D22" s="78">
        <v>900</v>
      </c>
      <c r="E22" s="79">
        <f t="shared" si="0"/>
        <v>2700</v>
      </c>
      <c r="F22" s="80">
        <v>1800</v>
      </c>
      <c r="G22" s="80">
        <v>900</v>
      </c>
      <c r="H22" s="81">
        <f t="shared" si="1"/>
        <v>2700</v>
      </c>
      <c r="I22" s="78">
        <v>2300</v>
      </c>
      <c r="J22" s="78">
        <v>900</v>
      </c>
      <c r="K22" s="79">
        <f t="shared" si="2"/>
        <v>3200</v>
      </c>
      <c r="L22" s="80">
        <v>2300</v>
      </c>
      <c r="M22" s="80">
        <v>900</v>
      </c>
      <c r="N22" s="81">
        <f t="shared" si="3"/>
        <v>3200</v>
      </c>
      <c r="O22" s="78">
        <v>2700</v>
      </c>
      <c r="P22" s="78">
        <v>1300</v>
      </c>
      <c r="Q22" s="79">
        <f t="shared" si="4"/>
        <v>4000</v>
      </c>
      <c r="R22" s="80">
        <v>2700</v>
      </c>
      <c r="S22" s="80">
        <v>1300</v>
      </c>
      <c r="T22" s="81">
        <f t="shared" si="5"/>
        <v>4000</v>
      </c>
      <c r="U22" s="78">
        <v>2000</v>
      </c>
      <c r="V22" s="78">
        <v>2000</v>
      </c>
      <c r="W22" s="79">
        <f t="shared" si="6"/>
        <v>4000</v>
      </c>
      <c r="X22" s="80">
        <v>12000</v>
      </c>
      <c r="Y22" s="80">
        <v>8000</v>
      </c>
      <c r="Z22" s="81">
        <f t="shared" si="7"/>
        <v>20000</v>
      </c>
    </row>
    <row r="23" spans="1:26">
      <c r="A23" s="76" t="s">
        <v>294</v>
      </c>
      <c r="B23" s="77"/>
      <c r="C23" s="78">
        <v>900</v>
      </c>
      <c r="D23" s="78">
        <v>900</v>
      </c>
      <c r="E23" s="79">
        <f t="shared" si="0"/>
        <v>1800</v>
      </c>
      <c r="F23" s="80">
        <v>900</v>
      </c>
      <c r="G23" s="80">
        <v>900</v>
      </c>
      <c r="H23" s="81">
        <f t="shared" si="1"/>
        <v>1800</v>
      </c>
      <c r="I23" s="78">
        <v>1800</v>
      </c>
      <c r="J23" s="78">
        <v>900</v>
      </c>
      <c r="K23" s="79">
        <f t="shared" si="2"/>
        <v>2700</v>
      </c>
      <c r="L23" s="80">
        <v>1800</v>
      </c>
      <c r="M23" s="80">
        <v>900</v>
      </c>
      <c r="N23" s="81">
        <f t="shared" si="3"/>
        <v>2700</v>
      </c>
      <c r="O23" s="78">
        <v>2700</v>
      </c>
      <c r="P23" s="78">
        <v>1300</v>
      </c>
      <c r="Q23" s="79">
        <f t="shared" si="4"/>
        <v>4000</v>
      </c>
      <c r="R23" s="80">
        <v>2700</v>
      </c>
      <c r="S23" s="80">
        <v>1300</v>
      </c>
      <c r="T23" s="81">
        <f t="shared" si="5"/>
        <v>4000</v>
      </c>
      <c r="U23" s="78">
        <v>2000</v>
      </c>
      <c r="V23" s="78">
        <v>2000</v>
      </c>
      <c r="W23" s="79">
        <f t="shared" si="6"/>
        <v>4000</v>
      </c>
      <c r="X23" s="80">
        <v>12000</v>
      </c>
      <c r="Y23" s="80">
        <v>8000</v>
      </c>
      <c r="Z23" s="81">
        <f t="shared" si="7"/>
        <v>20000</v>
      </c>
    </row>
    <row r="24" spans="1:26">
      <c r="A24" s="76" t="s">
        <v>74</v>
      </c>
      <c r="B24" s="77"/>
      <c r="C24" s="78">
        <v>2600</v>
      </c>
      <c r="D24" s="78">
        <v>1800</v>
      </c>
      <c r="E24" s="79">
        <f t="shared" si="0"/>
        <v>4400</v>
      </c>
      <c r="F24" s="80">
        <v>2600</v>
      </c>
      <c r="G24" s="80">
        <v>1800</v>
      </c>
      <c r="H24" s="81">
        <f t="shared" si="1"/>
        <v>4400</v>
      </c>
      <c r="I24" s="78">
        <v>3500</v>
      </c>
      <c r="J24" s="78">
        <v>2300</v>
      </c>
      <c r="K24" s="79">
        <f t="shared" si="2"/>
        <v>5800</v>
      </c>
      <c r="L24" s="80">
        <v>3500</v>
      </c>
      <c r="M24" s="80">
        <v>2300</v>
      </c>
      <c r="N24" s="81">
        <f t="shared" si="3"/>
        <v>5800</v>
      </c>
      <c r="O24" s="78">
        <v>4500</v>
      </c>
      <c r="P24" s="78">
        <v>2600</v>
      </c>
      <c r="Q24" s="79">
        <f t="shared" si="4"/>
        <v>7100</v>
      </c>
      <c r="R24" s="80">
        <v>4500</v>
      </c>
      <c r="S24" s="80">
        <v>2600</v>
      </c>
      <c r="T24" s="81">
        <f t="shared" si="5"/>
        <v>7100</v>
      </c>
      <c r="U24" s="78">
        <v>3550</v>
      </c>
      <c r="V24" s="78">
        <v>3550</v>
      </c>
      <c r="W24" s="79">
        <f t="shared" si="6"/>
        <v>7100</v>
      </c>
      <c r="X24" s="80">
        <v>12000</v>
      </c>
      <c r="Y24" s="80">
        <v>8000</v>
      </c>
      <c r="Z24" s="81">
        <f t="shared" si="7"/>
        <v>20000</v>
      </c>
    </row>
    <row r="25" spans="1:26">
      <c r="A25" s="76" t="s">
        <v>38</v>
      </c>
      <c r="B25" s="77"/>
      <c r="C25" s="78">
        <v>1000</v>
      </c>
      <c r="D25" s="78">
        <v>500</v>
      </c>
      <c r="E25" s="79">
        <f t="shared" si="0"/>
        <v>1500</v>
      </c>
      <c r="F25" s="80">
        <v>1000</v>
      </c>
      <c r="G25" s="80">
        <v>500</v>
      </c>
      <c r="H25" s="81">
        <f t="shared" si="1"/>
        <v>1500</v>
      </c>
      <c r="I25" s="78">
        <v>1200</v>
      </c>
      <c r="J25" s="78">
        <v>800</v>
      </c>
      <c r="K25" s="79">
        <f t="shared" si="2"/>
        <v>2000</v>
      </c>
      <c r="L25" s="80">
        <v>1200</v>
      </c>
      <c r="M25" s="80">
        <v>800</v>
      </c>
      <c r="N25" s="81">
        <f t="shared" si="3"/>
        <v>2000</v>
      </c>
      <c r="O25" s="78">
        <v>1500</v>
      </c>
      <c r="P25" s="78">
        <v>1000</v>
      </c>
      <c r="Q25" s="79">
        <f t="shared" si="4"/>
        <v>2500</v>
      </c>
      <c r="R25" s="80">
        <v>1500</v>
      </c>
      <c r="S25" s="80">
        <v>1000</v>
      </c>
      <c r="T25" s="81">
        <f t="shared" si="5"/>
        <v>2500</v>
      </c>
      <c r="U25" s="78">
        <v>0</v>
      </c>
      <c r="V25" s="78">
        <v>0</v>
      </c>
      <c r="W25" s="79">
        <f t="shared" si="6"/>
        <v>0</v>
      </c>
      <c r="X25" s="80">
        <v>2500</v>
      </c>
      <c r="Y25" s="80">
        <v>0</v>
      </c>
      <c r="Z25" s="81">
        <f t="shared" si="7"/>
        <v>2500</v>
      </c>
    </row>
    <row r="26" spans="1:26">
      <c r="A26" s="76" t="s">
        <v>104</v>
      </c>
      <c r="B26" s="77"/>
      <c r="C26" s="78">
        <v>1000</v>
      </c>
      <c r="D26" s="78">
        <v>500</v>
      </c>
      <c r="E26" s="79">
        <f t="shared" si="0"/>
        <v>1500</v>
      </c>
      <c r="F26" s="80">
        <v>1000</v>
      </c>
      <c r="G26" s="80">
        <v>500</v>
      </c>
      <c r="H26" s="81">
        <f t="shared" si="1"/>
        <v>1500</v>
      </c>
      <c r="I26" s="78">
        <v>1200</v>
      </c>
      <c r="J26" s="78">
        <v>800</v>
      </c>
      <c r="K26" s="79">
        <f t="shared" si="2"/>
        <v>2000</v>
      </c>
      <c r="L26" s="80">
        <v>1200</v>
      </c>
      <c r="M26" s="80">
        <v>800</v>
      </c>
      <c r="N26" s="81">
        <f t="shared" si="3"/>
        <v>2000</v>
      </c>
      <c r="O26" s="78">
        <v>1500</v>
      </c>
      <c r="P26" s="78">
        <v>1000</v>
      </c>
      <c r="Q26" s="79">
        <f t="shared" si="4"/>
        <v>2500</v>
      </c>
      <c r="R26" s="80">
        <v>1500</v>
      </c>
      <c r="S26" s="80">
        <v>1000</v>
      </c>
      <c r="T26" s="81">
        <f t="shared" si="5"/>
        <v>2500</v>
      </c>
      <c r="U26" s="78">
        <v>0</v>
      </c>
      <c r="V26" s="78">
        <v>0</v>
      </c>
      <c r="W26" s="79">
        <f t="shared" si="6"/>
        <v>0</v>
      </c>
      <c r="X26" s="80">
        <v>2500</v>
      </c>
      <c r="Y26" s="80">
        <v>0</v>
      </c>
      <c r="Z26" s="81">
        <f t="shared" si="7"/>
        <v>2500</v>
      </c>
    </row>
    <row r="27" spans="1:26">
      <c r="A27" s="76" t="s">
        <v>133</v>
      </c>
      <c r="B27" s="77"/>
      <c r="C27" s="78">
        <v>1000</v>
      </c>
      <c r="D27" s="78">
        <v>500</v>
      </c>
      <c r="E27" s="79">
        <f t="shared" si="0"/>
        <v>1500</v>
      </c>
      <c r="F27" s="80">
        <v>1000</v>
      </c>
      <c r="G27" s="80">
        <v>500</v>
      </c>
      <c r="H27" s="81">
        <f t="shared" si="1"/>
        <v>1500</v>
      </c>
      <c r="I27" s="78">
        <v>1200</v>
      </c>
      <c r="J27" s="78">
        <v>800</v>
      </c>
      <c r="K27" s="79">
        <f t="shared" si="2"/>
        <v>2000</v>
      </c>
      <c r="L27" s="80">
        <v>1200</v>
      </c>
      <c r="M27" s="80">
        <v>800</v>
      </c>
      <c r="N27" s="81">
        <f t="shared" si="3"/>
        <v>2000</v>
      </c>
      <c r="O27" s="78">
        <v>1500</v>
      </c>
      <c r="P27" s="78">
        <v>1000</v>
      </c>
      <c r="Q27" s="79">
        <f t="shared" si="4"/>
        <v>2500</v>
      </c>
      <c r="R27" s="80">
        <v>1500</v>
      </c>
      <c r="S27" s="80">
        <v>1000</v>
      </c>
      <c r="T27" s="81">
        <f t="shared" si="5"/>
        <v>2500</v>
      </c>
      <c r="U27" s="78">
        <v>0</v>
      </c>
      <c r="V27" s="78">
        <v>0</v>
      </c>
      <c r="W27" s="79">
        <f t="shared" si="6"/>
        <v>0</v>
      </c>
      <c r="X27" s="80">
        <v>2500</v>
      </c>
      <c r="Y27" s="80">
        <v>0</v>
      </c>
      <c r="Z27" s="81">
        <f t="shared" si="7"/>
        <v>2500</v>
      </c>
    </row>
    <row r="28" spans="1:26">
      <c r="A28" s="76" t="s">
        <v>141</v>
      </c>
      <c r="B28" s="77"/>
      <c r="C28" s="78">
        <v>1000</v>
      </c>
      <c r="D28" s="78">
        <v>500</v>
      </c>
      <c r="E28" s="79">
        <f t="shared" si="0"/>
        <v>1500</v>
      </c>
      <c r="F28" s="80">
        <v>1000</v>
      </c>
      <c r="G28" s="80">
        <v>500</v>
      </c>
      <c r="H28" s="81">
        <f t="shared" si="1"/>
        <v>1500</v>
      </c>
      <c r="I28" s="78">
        <v>1200</v>
      </c>
      <c r="J28" s="78">
        <v>800</v>
      </c>
      <c r="K28" s="79">
        <f t="shared" si="2"/>
        <v>2000</v>
      </c>
      <c r="L28" s="80">
        <v>1200</v>
      </c>
      <c r="M28" s="80">
        <v>800</v>
      </c>
      <c r="N28" s="81">
        <f t="shared" si="3"/>
        <v>2000</v>
      </c>
      <c r="O28" s="78">
        <v>1500</v>
      </c>
      <c r="P28" s="78">
        <v>1000</v>
      </c>
      <c r="Q28" s="79">
        <f t="shared" si="4"/>
        <v>2500</v>
      </c>
      <c r="R28" s="80">
        <v>1500</v>
      </c>
      <c r="S28" s="80">
        <v>1000</v>
      </c>
      <c r="T28" s="81">
        <f t="shared" si="5"/>
        <v>2500</v>
      </c>
      <c r="U28" s="78">
        <v>0</v>
      </c>
      <c r="V28" s="78">
        <v>0</v>
      </c>
      <c r="W28" s="79">
        <f t="shared" si="6"/>
        <v>0</v>
      </c>
      <c r="X28" s="80">
        <v>2500</v>
      </c>
      <c r="Y28" s="80">
        <v>0</v>
      </c>
      <c r="Z28" s="81">
        <f t="shared" si="7"/>
        <v>2500</v>
      </c>
    </row>
    <row r="29" spans="1:26">
      <c r="A29" s="76" t="s">
        <v>154</v>
      </c>
      <c r="B29" s="77"/>
      <c r="C29" s="78">
        <v>1000</v>
      </c>
      <c r="D29" s="78">
        <v>500</v>
      </c>
      <c r="E29" s="79">
        <f t="shared" si="0"/>
        <v>1500</v>
      </c>
      <c r="F29" s="80">
        <v>1000</v>
      </c>
      <c r="G29" s="80">
        <v>500</v>
      </c>
      <c r="H29" s="81">
        <f t="shared" si="1"/>
        <v>1500</v>
      </c>
      <c r="I29" s="78">
        <v>1200</v>
      </c>
      <c r="J29" s="78">
        <v>800</v>
      </c>
      <c r="K29" s="79">
        <f t="shared" si="2"/>
        <v>2000</v>
      </c>
      <c r="L29" s="80">
        <v>1200</v>
      </c>
      <c r="M29" s="80">
        <v>800</v>
      </c>
      <c r="N29" s="81">
        <f t="shared" si="3"/>
        <v>2000</v>
      </c>
      <c r="O29" s="78">
        <v>1500</v>
      </c>
      <c r="P29" s="78">
        <v>1000</v>
      </c>
      <c r="Q29" s="79">
        <f t="shared" si="4"/>
        <v>2500</v>
      </c>
      <c r="R29" s="80">
        <v>1500</v>
      </c>
      <c r="S29" s="80">
        <v>1000</v>
      </c>
      <c r="T29" s="81">
        <f t="shared" si="5"/>
        <v>2500</v>
      </c>
      <c r="U29" s="78">
        <v>0</v>
      </c>
      <c r="V29" s="78">
        <v>0</v>
      </c>
      <c r="W29" s="79">
        <f t="shared" si="6"/>
        <v>0</v>
      </c>
      <c r="X29" s="80">
        <v>2500</v>
      </c>
      <c r="Y29" s="80">
        <v>0</v>
      </c>
      <c r="Z29" s="81">
        <f t="shared" si="7"/>
        <v>2500</v>
      </c>
    </row>
    <row r="30" spans="1:26">
      <c r="A30" s="76" t="s">
        <v>159</v>
      </c>
      <c r="B30" s="77"/>
      <c r="C30" s="78">
        <v>1000</v>
      </c>
      <c r="D30" s="78">
        <v>500</v>
      </c>
      <c r="E30" s="79">
        <f t="shared" si="0"/>
        <v>1500</v>
      </c>
      <c r="F30" s="80">
        <v>1000</v>
      </c>
      <c r="G30" s="80">
        <v>500</v>
      </c>
      <c r="H30" s="81">
        <f t="shared" si="1"/>
        <v>1500</v>
      </c>
      <c r="I30" s="78">
        <v>1200</v>
      </c>
      <c r="J30" s="78">
        <v>800</v>
      </c>
      <c r="K30" s="79">
        <f t="shared" si="2"/>
        <v>2000</v>
      </c>
      <c r="L30" s="80">
        <v>1200</v>
      </c>
      <c r="M30" s="80">
        <v>800</v>
      </c>
      <c r="N30" s="81">
        <f t="shared" si="3"/>
        <v>2000</v>
      </c>
      <c r="O30" s="78">
        <v>1500</v>
      </c>
      <c r="P30" s="78">
        <v>1000</v>
      </c>
      <c r="Q30" s="79">
        <f t="shared" si="4"/>
        <v>2500</v>
      </c>
      <c r="R30" s="80">
        <v>1500</v>
      </c>
      <c r="S30" s="80">
        <v>1000</v>
      </c>
      <c r="T30" s="81">
        <f t="shared" si="5"/>
        <v>2500</v>
      </c>
      <c r="U30" s="78">
        <v>0</v>
      </c>
      <c r="V30" s="78">
        <v>0</v>
      </c>
      <c r="W30" s="79">
        <f t="shared" si="6"/>
        <v>0</v>
      </c>
      <c r="X30" s="80">
        <v>2500</v>
      </c>
      <c r="Y30" s="80">
        <v>0</v>
      </c>
      <c r="Z30" s="81">
        <f t="shared" si="7"/>
        <v>2500</v>
      </c>
    </row>
    <row r="31" spans="1:26">
      <c r="A31" s="76" t="s">
        <v>164</v>
      </c>
      <c r="B31" s="77"/>
      <c r="C31" s="78">
        <v>1000</v>
      </c>
      <c r="D31" s="78">
        <v>500</v>
      </c>
      <c r="E31" s="79">
        <f t="shared" si="0"/>
        <v>1500</v>
      </c>
      <c r="F31" s="80">
        <v>1000</v>
      </c>
      <c r="G31" s="80">
        <v>500</v>
      </c>
      <c r="H31" s="81">
        <f t="shared" si="1"/>
        <v>1500</v>
      </c>
      <c r="I31" s="78">
        <v>1200</v>
      </c>
      <c r="J31" s="78">
        <v>800</v>
      </c>
      <c r="K31" s="79">
        <f t="shared" si="2"/>
        <v>2000</v>
      </c>
      <c r="L31" s="80">
        <v>1200</v>
      </c>
      <c r="M31" s="80">
        <v>800</v>
      </c>
      <c r="N31" s="81">
        <f t="shared" si="3"/>
        <v>2000</v>
      </c>
      <c r="O31" s="78">
        <v>1500</v>
      </c>
      <c r="P31" s="78">
        <v>1000</v>
      </c>
      <c r="Q31" s="79">
        <f t="shared" si="4"/>
        <v>2500</v>
      </c>
      <c r="R31" s="80">
        <v>1500</v>
      </c>
      <c r="S31" s="80">
        <v>1000</v>
      </c>
      <c r="T31" s="81">
        <f t="shared" si="5"/>
        <v>2500</v>
      </c>
      <c r="U31" s="78">
        <v>0</v>
      </c>
      <c r="V31" s="78">
        <v>0</v>
      </c>
      <c r="W31" s="79">
        <f t="shared" si="6"/>
        <v>0</v>
      </c>
      <c r="X31" s="80">
        <v>2500</v>
      </c>
      <c r="Y31" s="80">
        <v>0</v>
      </c>
      <c r="Z31" s="81">
        <f t="shared" si="7"/>
        <v>2500</v>
      </c>
    </row>
    <row r="32" spans="1:26">
      <c r="A32" s="76" t="s">
        <v>598</v>
      </c>
      <c r="B32" s="77"/>
      <c r="C32" s="78">
        <v>0</v>
      </c>
      <c r="D32" s="78">
        <v>0</v>
      </c>
      <c r="E32" s="79">
        <f t="shared" si="0"/>
        <v>0</v>
      </c>
      <c r="F32" s="80">
        <v>0</v>
      </c>
      <c r="G32" s="80">
        <v>0</v>
      </c>
      <c r="H32" s="81">
        <f t="shared" si="1"/>
        <v>0</v>
      </c>
      <c r="I32" s="78">
        <v>0</v>
      </c>
      <c r="J32" s="78">
        <v>0</v>
      </c>
      <c r="K32" s="79">
        <f t="shared" si="2"/>
        <v>0</v>
      </c>
      <c r="L32" s="80">
        <v>0</v>
      </c>
      <c r="M32" s="80">
        <v>0</v>
      </c>
      <c r="N32" s="81">
        <f t="shared" si="3"/>
        <v>0</v>
      </c>
      <c r="O32" s="78">
        <v>0</v>
      </c>
      <c r="P32" s="78">
        <v>0</v>
      </c>
      <c r="Q32" s="79">
        <f t="shared" si="4"/>
        <v>0</v>
      </c>
      <c r="R32" s="80">
        <v>0</v>
      </c>
      <c r="S32" s="80">
        <v>0</v>
      </c>
      <c r="T32" s="81">
        <f t="shared" si="5"/>
        <v>0</v>
      </c>
      <c r="U32" s="78">
        <v>0</v>
      </c>
      <c r="V32" s="78">
        <v>0</v>
      </c>
      <c r="W32" s="79">
        <f t="shared" si="6"/>
        <v>0</v>
      </c>
      <c r="X32" s="80">
        <v>0</v>
      </c>
      <c r="Y32" s="80">
        <v>0</v>
      </c>
      <c r="Z32" s="81">
        <f t="shared" si="7"/>
        <v>0</v>
      </c>
    </row>
    <row r="33" spans="1:26">
      <c r="A33" s="76" t="s">
        <v>613</v>
      </c>
      <c r="B33" s="77"/>
      <c r="C33" s="78">
        <v>0</v>
      </c>
      <c r="D33" s="78">
        <v>0</v>
      </c>
      <c r="E33" s="79">
        <f t="shared" si="0"/>
        <v>0</v>
      </c>
      <c r="F33" s="80">
        <v>0</v>
      </c>
      <c r="G33" s="80">
        <v>0</v>
      </c>
      <c r="H33" s="81">
        <f t="shared" si="1"/>
        <v>0</v>
      </c>
      <c r="I33" s="78">
        <v>0</v>
      </c>
      <c r="J33" s="78">
        <v>0</v>
      </c>
      <c r="K33" s="79">
        <f t="shared" si="2"/>
        <v>0</v>
      </c>
      <c r="L33" s="80">
        <v>0</v>
      </c>
      <c r="M33" s="80">
        <v>0</v>
      </c>
      <c r="N33" s="81">
        <f t="shared" si="3"/>
        <v>0</v>
      </c>
      <c r="O33" s="78">
        <v>0</v>
      </c>
      <c r="P33" s="78">
        <v>0</v>
      </c>
      <c r="Q33" s="79">
        <f t="shared" si="4"/>
        <v>0</v>
      </c>
      <c r="R33" s="80">
        <v>0</v>
      </c>
      <c r="S33" s="80">
        <v>0</v>
      </c>
      <c r="T33" s="81">
        <f t="shared" si="5"/>
        <v>0</v>
      </c>
      <c r="U33" s="78">
        <v>0</v>
      </c>
      <c r="V33" s="78">
        <v>0</v>
      </c>
      <c r="W33" s="79">
        <f t="shared" si="6"/>
        <v>0</v>
      </c>
      <c r="X33" s="80">
        <v>0</v>
      </c>
      <c r="Y33" s="80">
        <v>0</v>
      </c>
      <c r="Z33" s="81">
        <f t="shared" si="7"/>
        <v>0</v>
      </c>
    </row>
    <row r="34" spans="1:26">
      <c r="A34" s="76" t="s">
        <v>623</v>
      </c>
      <c r="B34" s="77"/>
      <c r="C34" s="78">
        <v>0</v>
      </c>
      <c r="D34" s="78">
        <v>0</v>
      </c>
      <c r="E34" s="79">
        <f t="shared" si="0"/>
        <v>0</v>
      </c>
      <c r="F34" s="80">
        <v>0</v>
      </c>
      <c r="G34" s="80">
        <v>0</v>
      </c>
      <c r="H34" s="81">
        <f t="shared" si="1"/>
        <v>0</v>
      </c>
      <c r="I34" s="78">
        <v>0</v>
      </c>
      <c r="J34" s="78">
        <v>0</v>
      </c>
      <c r="K34" s="79">
        <f t="shared" si="2"/>
        <v>0</v>
      </c>
      <c r="L34" s="80">
        <v>0</v>
      </c>
      <c r="M34" s="80">
        <v>0</v>
      </c>
      <c r="N34" s="81">
        <f t="shared" si="3"/>
        <v>0</v>
      </c>
      <c r="O34" s="78">
        <v>0</v>
      </c>
      <c r="P34" s="78">
        <v>0</v>
      </c>
      <c r="Q34" s="79">
        <f t="shared" si="4"/>
        <v>0</v>
      </c>
      <c r="R34" s="80">
        <v>0</v>
      </c>
      <c r="S34" s="80">
        <v>0</v>
      </c>
      <c r="T34" s="81">
        <f t="shared" si="5"/>
        <v>0</v>
      </c>
      <c r="U34" s="78">
        <v>0</v>
      </c>
      <c r="V34" s="78">
        <v>0</v>
      </c>
      <c r="W34" s="79">
        <f t="shared" si="6"/>
        <v>0</v>
      </c>
      <c r="X34" s="80">
        <v>0</v>
      </c>
      <c r="Y34" s="80">
        <v>0</v>
      </c>
      <c r="Z34" s="81">
        <f t="shared" si="7"/>
        <v>0</v>
      </c>
    </row>
    <row r="35" spans="1:26">
      <c r="A35" s="76" t="s">
        <v>625</v>
      </c>
      <c r="B35" s="77"/>
      <c r="C35" s="78">
        <v>0</v>
      </c>
      <c r="D35" s="78">
        <v>0</v>
      </c>
      <c r="E35" s="79">
        <f t="shared" si="0"/>
        <v>0</v>
      </c>
      <c r="F35" s="80">
        <v>0</v>
      </c>
      <c r="G35" s="80">
        <v>0</v>
      </c>
      <c r="H35" s="81">
        <f t="shared" si="1"/>
        <v>0</v>
      </c>
      <c r="I35" s="78">
        <v>0</v>
      </c>
      <c r="J35" s="78">
        <v>0</v>
      </c>
      <c r="K35" s="79">
        <f t="shared" si="2"/>
        <v>0</v>
      </c>
      <c r="L35" s="80">
        <v>0</v>
      </c>
      <c r="M35" s="80">
        <v>0</v>
      </c>
      <c r="N35" s="81">
        <f t="shared" si="3"/>
        <v>0</v>
      </c>
      <c r="O35" s="78">
        <v>0</v>
      </c>
      <c r="P35" s="78">
        <v>0</v>
      </c>
      <c r="Q35" s="79">
        <f t="shared" si="4"/>
        <v>0</v>
      </c>
      <c r="R35" s="80">
        <v>0</v>
      </c>
      <c r="S35" s="80">
        <v>0</v>
      </c>
      <c r="T35" s="81">
        <f t="shared" si="5"/>
        <v>0</v>
      </c>
      <c r="U35" s="78">
        <v>0</v>
      </c>
      <c r="V35" s="78">
        <v>0</v>
      </c>
      <c r="W35" s="79">
        <f t="shared" si="6"/>
        <v>0</v>
      </c>
      <c r="X35" s="80">
        <v>0</v>
      </c>
      <c r="Y35" s="80">
        <v>0</v>
      </c>
      <c r="Z35" s="81">
        <f t="shared" si="7"/>
        <v>0</v>
      </c>
    </row>
    <row r="36" spans="1:26">
      <c r="A36" s="76" t="s">
        <v>631</v>
      </c>
      <c r="B36" s="77"/>
      <c r="C36" s="78">
        <v>1500</v>
      </c>
      <c r="D36" s="78">
        <v>1000</v>
      </c>
      <c r="E36" s="79">
        <f t="shared" si="0"/>
        <v>2500</v>
      </c>
      <c r="F36" s="80">
        <v>1500</v>
      </c>
      <c r="G36" s="80">
        <v>1000</v>
      </c>
      <c r="H36" s="81">
        <f t="shared" si="1"/>
        <v>2500</v>
      </c>
      <c r="I36" s="78">
        <v>2000</v>
      </c>
      <c r="J36" s="78">
        <v>1500</v>
      </c>
      <c r="K36" s="79">
        <f t="shared" si="2"/>
        <v>3500</v>
      </c>
      <c r="L36" s="80">
        <v>2000</v>
      </c>
      <c r="M36" s="80">
        <v>1500</v>
      </c>
      <c r="N36" s="81">
        <f t="shared" si="3"/>
        <v>3500</v>
      </c>
      <c r="O36" s="78">
        <v>2500</v>
      </c>
      <c r="P36" s="78">
        <v>1500</v>
      </c>
      <c r="Q36" s="79">
        <f t="shared" si="4"/>
        <v>4000</v>
      </c>
      <c r="R36" s="80">
        <v>2500</v>
      </c>
      <c r="S36" s="80">
        <v>1500</v>
      </c>
      <c r="T36" s="81">
        <f t="shared" si="5"/>
        <v>4000</v>
      </c>
      <c r="U36" s="78">
        <v>0</v>
      </c>
      <c r="V36" s="78">
        <v>0</v>
      </c>
      <c r="W36" s="79">
        <f t="shared" si="6"/>
        <v>0</v>
      </c>
      <c r="X36" s="80">
        <v>4000</v>
      </c>
      <c r="Y36" s="80">
        <v>0</v>
      </c>
      <c r="Z36" s="81">
        <f t="shared" si="7"/>
        <v>4000</v>
      </c>
    </row>
    <row r="37" spans="1:26">
      <c r="A37" s="76" t="s">
        <v>632</v>
      </c>
      <c r="B37" s="77"/>
      <c r="C37" s="78">
        <v>1500</v>
      </c>
      <c r="D37" s="78">
        <v>1000</v>
      </c>
      <c r="E37" s="79">
        <f t="shared" si="0"/>
        <v>2500</v>
      </c>
      <c r="F37" s="80">
        <v>1500</v>
      </c>
      <c r="G37" s="80">
        <v>1000</v>
      </c>
      <c r="H37" s="81">
        <f t="shared" si="1"/>
        <v>2500</v>
      </c>
      <c r="I37" s="78">
        <v>2000</v>
      </c>
      <c r="J37" s="78">
        <v>1500</v>
      </c>
      <c r="K37" s="79">
        <f t="shared" si="2"/>
        <v>3500</v>
      </c>
      <c r="L37" s="80">
        <v>2000</v>
      </c>
      <c r="M37" s="80">
        <v>1500</v>
      </c>
      <c r="N37" s="81">
        <f t="shared" si="3"/>
        <v>3500</v>
      </c>
      <c r="O37" s="78">
        <v>2500</v>
      </c>
      <c r="P37" s="78">
        <v>1500</v>
      </c>
      <c r="Q37" s="79">
        <f t="shared" si="4"/>
        <v>4000</v>
      </c>
      <c r="R37" s="80">
        <v>2500</v>
      </c>
      <c r="S37" s="80">
        <v>1500</v>
      </c>
      <c r="T37" s="81">
        <f t="shared" si="5"/>
        <v>4000</v>
      </c>
      <c r="U37" s="78">
        <v>0</v>
      </c>
      <c r="V37" s="78">
        <v>0</v>
      </c>
      <c r="W37" s="79">
        <f t="shared" si="6"/>
        <v>0</v>
      </c>
      <c r="X37" s="80">
        <v>4000</v>
      </c>
      <c r="Y37" s="80">
        <v>0</v>
      </c>
      <c r="Z37" s="81">
        <f t="shared" si="7"/>
        <v>4000</v>
      </c>
    </row>
    <row r="38" spans="1:26">
      <c r="A38" s="76" t="s">
        <v>643</v>
      </c>
      <c r="B38" s="77"/>
      <c r="C38" s="78">
        <v>1500</v>
      </c>
      <c r="D38" s="78">
        <v>1000</v>
      </c>
      <c r="E38" s="79">
        <f t="shared" si="0"/>
        <v>2500</v>
      </c>
      <c r="F38" s="80">
        <v>1500</v>
      </c>
      <c r="G38" s="80">
        <v>1000</v>
      </c>
      <c r="H38" s="81">
        <f t="shared" si="1"/>
        <v>2500</v>
      </c>
      <c r="I38" s="78">
        <v>2000</v>
      </c>
      <c r="J38" s="78">
        <v>1500</v>
      </c>
      <c r="K38" s="79">
        <f t="shared" si="2"/>
        <v>3500</v>
      </c>
      <c r="L38" s="80">
        <v>2000</v>
      </c>
      <c r="M38" s="80">
        <v>1500</v>
      </c>
      <c r="N38" s="81">
        <f t="shared" si="3"/>
        <v>3500</v>
      </c>
      <c r="O38" s="78">
        <v>2500</v>
      </c>
      <c r="P38" s="78">
        <v>1500</v>
      </c>
      <c r="Q38" s="79">
        <f t="shared" si="4"/>
        <v>4000</v>
      </c>
      <c r="R38" s="80">
        <v>2500</v>
      </c>
      <c r="S38" s="80">
        <v>1500</v>
      </c>
      <c r="T38" s="81">
        <f t="shared" si="5"/>
        <v>4000</v>
      </c>
      <c r="U38" s="78">
        <v>0</v>
      </c>
      <c r="V38" s="78">
        <v>0</v>
      </c>
      <c r="W38" s="79">
        <f t="shared" si="6"/>
        <v>0</v>
      </c>
      <c r="X38" s="80">
        <v>4000</v>
      </c>
      <c r="Y38" s="80">
        <v>0</v>
      </c>
      <c r="Z38" s="81">
        <f t="shared" si="7"/>
        <v>4000</v>
      </c>
    </row>
    <row r="39" spans="1:26">
      <c r="A39" s="76" t="s">
        <v>646</v>
      </c>
      <c r="B39" s="77"/>
      <c r="C39" s="78">
        <v>1500</v>
      </c>
      <c r="D39" s="78">
        <v>1000</v>
      </c>
      <c r="E39" s="79">
        <f t="shared" si="0"/>
        <v>2500</v>
      </c>
      <c r="F39" s="80">
        <v>1500</v>
      </c>
      <c r="G39" s="80">
        <v>1000</v>
      </c>
      <c r="H39" s="81">
        <f t="shared" si="1"/>
        <v>2500</v>
      </c>
      <c r="I39" s="78">
        <v>2000</v>
      </c>
      <c r="J39" s="78">
        <v>1500</v>
      </c>
      <c r="K39" s="79">
        <f t="shared" si="2"/>
        <v>3500</v>
      </c>
      <c r="L39" s="80">
        <v>2000</v>
      </c>
      <c r="M39" s="80">
        <v>1500</v>
      </c>
      <c r="N39" s="81">
        <f t="shared" si="3"/>
        <v>3500</v>
      </c>
      <c r="O39" s="78">
        <v>2500</v>
      </c>
      <c r="P39" s="78">
        <v>1500</v>
      </c>
      <c r="Q39" s="79">
        <f t="shared" si="4"/>
        <v>4000</v>
      </c>
      <c r="R39" s="80">
        <v>2500</v>
      </c>
      <c r="S39" s="80">
        <v>1500</v>
      </c>
      <c r="T39" s="81">
        <f t="shared" si="5"/>
        <v>4000</v>
      </c>
      <c r="U39" s="78">
        <v>0</v>
      </c>
      <c r="V39" s="78">
        <v>0</v>
      </c>
      <c r="W39" s="79">
        <f t="shared" si="6"/>
        <v>0</v>
      </c>
      <c r="X39" s="80">
        <v>4000</v>
      </c>
      <c r="Y39" s="80">
        <v>0</v>
      </c>
      <c r="Z39" s="81">
        <f t="shared" si="7"/>
        <v>4000</v>
      </c>
    </row>
    <row r="40" spans="1:26">
      <c r="A40" s="76" t="s">
        <v>650</v>
      </c>
      <c r="B40" s="77"/>
      <c r="C40" s="78">
        <v>1500</v>
      </c>
      <c r="D40" s="78">
        <v>1000</v>
      </c>
      <c r="E40" s="79">
        <f t="shared" si="0"/>
        <v>2500</v>
      </c>
      <c r="F40" s="80">
        <v>1500</v>
      </c>
      <c r="G40" s="80">
        <v>1000</v>
      </c>
      <c r="H40" s="81">
        <f t="shared" si="1"/>
        <v>2500</v>
      </c>
      <c r="I40" s="78">
        <v>2000</v>
      </c>
      <c r="J40" s="78">
        <v>1500</v>
      </c>
      <c r="K40" s="79">
        <f t="shared" si="2"/>
        <v>3500</v>
      </c>
      <c r="L40" s="80">
        <v>2000</v>
      </c>
      <c r="M40" s="80">
        <v>1500</v>
      </c>
      <c r="N40" s="81">
        <f t="shared" si="3"/>
        <v>3500</v>
      </c>
      <c r="O40" s="78">
        <v>2500</v>
      </c>
      <c r="P40" s="78">
        <v>1500</v>
      </c>
      <c r="Q40" s="79">
        <f t="shared" si="4"/>
        <v>4000</v>
      </c>
      <c r="R40" s="80">
        <v>2500</v>
      </c>
      <c r="S40" s="80">
        <v>1500</v>
      </c>
      <c r="T40" s="81">
        <f t="shared" si="5"/>
        <v>4000</v>
      </c>
      <c r="U40" s="78">
        <v>0</v>
      </c>
      <c r="V40" s="78">
        <v>0</v>
      </c>
      <c r="W40" s="79">
        <f t="shared" si="6"/>
        <v>0</v>
      </c>
      <c r="X40" s="80">
        <v>4000</v>
      </c>
      <c r="Y40" s="80">
        <v>0</v>
      </c>
      <c r="Z40" s="81">
        <f t="shared" si="7"/>
        <v>4000</v>
      </c>
    </row>
    <row r="41" spans="1:26">
      <c r="A41" s="76" t="s">
        <v>841</v>
      </c>
      <c r="B41" s="77"/>
      <c r="C41" s="78">
        <v>0</v>
      </c>
      <c r="D41" s="78">
        <v>0</v>
      </c>
      <c r="E41" s="79">
        <f t="shared" si="0"/>
        <v>0</v>
      </c>
      <c r="F41" s="80">
        <v>0</v>
      </c>
      <c r="G41" s="80">
        <v>0</v>
      </c>
      <c r="H41" s="81">
        <f t="shared" si="1"/>
        <v>0</v>
      </c>
      <c r="I41" s="78">
        <v>0</v>
      </c>
      <c r="J41" s="78">
        <v>0</v>
      </c>
      <c r="K41" s="79">
        <f t="shared" si="2"/>
        <v>0</v>
      </c>
      <c r="L41" s="80">
        <v>0</v>
      </c>
      <c r="M41" s="80">
        <v>0</v>
      </c>
      <c r="N41" s="81">
        <f t="shared" si="3"/>
        <v>0</v>
      </c>
      <c r="O41" s="78">
        <v>0</v>
      </c>
      <c r="P41" s="78">
        <v>0</v>
      </c>
      <c r="Q41" s="79">
        <f t="shared" si="4"/>
        <v>0</v>
      </c>
      <c r="R41" s="80">
        <v>0</v>
      </c>
      <c r="S41" s="80">
        <v>0</v>
      </c>
      <c r="T41" s="81">
        <f t="shared" si="5"/>
        <v>0</v>
      </c>
      <c r="U41" s="78">
        <v>0</v>
      </c>
      <c r="V41" s="78">
        <v>0</v>
      </c>
      <c r="W41" s="79">
        <f t="shared" si="6"/>
        <v>0</v>
      </c>
      <c r="X41" s="80">
        <v>0</v>
      </c>
      <c r="Y41" s="80">
        <v>0</v>
      </c>
      <c r="Z41" s="81">
        <f t="shared" si="7"/>
        <v>0</v>
      </c>
    </row>
    <row r="42" spans="1:26">
      <c r="A42" s="76" t="s">
        <v>856</v>
      </c>
      <c r="B42" s="77"/>
      <c r="C42" s="78">
        <v>0</v>
      </c>
      <c r="D42" s="78">
        <v>0</v>
      </c>
      <c r="E42" s="79">
        <f t="shared" si="0"/>
        <v>0</v>
      </c>
      <c r="F42" s="80">
        <v>0</v>
      </c>
      <c r="G42" s="80">
        <v>0</v>
      </c>
      <c r="H42" s="81">
        <f t="shared" si="1"/>
        <v>0</v>
      </c>
      <c r="I42" s="78">
        <v>0</v>
      </c>
      <c r="J42" s="78">
        <v>0</v>
      </c>
      <c r="K42" s="79">
        <f t="shared" si="2"/>
        <v>0</v>
      </c>
      <c r="L42" s="80">
        <v>0</v>
      </c>
      <c r="M42" s="80">
        <v>0</v>
      </c>
      <c r="N42" s="81">
        <f t="shared" si="3"/>
        <v>0</v>
      </c>
      <c r="O42" s="78">
        <v>0</v>
      </c>
      <c r="P42" s="78">
        <v>0</v>
      </c>
      <c r="Q42" s="79">
        <f t="shared" si="4"/>
        <v>0</v>
      </c>
      <c r="R42" s="80">
        <v>0</v>
      </c>
      <c r="S42" s="80">
        <v>0</v>
      </c>
      <c r="T42" s="81">
        <f t="shared" si="5"/>
        <v>0</v>
      </c>
      <c r="U42" s="78">
        <v>0</v>
      </c>
      <c r="V42" s="78">
        <v>0</v>
      </c>
      <c r="W42" s="79">
        <f t="shared" si="6"/>
        <v>0</v>
      </c>
      <c r="X42" s="80">
        <v>0</v>
      </c>
      <c r="Y42" s="80">
        <v>0</v>
      </c>
      <c r="Z42" s="81">
        <f t="shared" si="7"/>
        <v>0</v>
      </c>
    </row>
    <row r="43" spans="1:26">
      <c r="A43" s="76" t="s">
        <v>857</v>
      </c>
      <c r="B43" s="77"/>
      <c r="C43" s="78">
        <v>0</v>
      </c>
      <c r="D43" s="78">
        <v>0</v>
      </c>
      <c r="E43" s="79">
        <f t="shared" si="0"/>
        <v>0</v>
      </c>
      <c r="F43" s="80">
        <v>0</v>
      </c>
      <c r="G43" s="80">
        <v>0</v>
      </c>
      <c r="H43" s="81">
        <f t="shared" si="1"/>
        <v>0</v>
      </c>
      <c r="I43" s="78">
        <v>0</v>
      </c>
      <c r="J43" s="78">
        <v>0</v>
      </c>
      <c r="K43" s="79">
        <f t="shared" si="2"/>
        <v>0</v>
      </c>
      <c r="L43" s="80">
        <v>0</v>
      </c>
      <c r="M43" s="80">
        <v>0</v>
      </c>
      <c r="N43" s="81">
        <f t="shared" si="3"/>
        <v>0</v>
      </c>
      <c r="O43" s="78">
        <v>0</v>
      </c>
      <c r="P43" s="78">
        <v>0</v>
      </c>
      <c r="Q43" s="79">
        <f t="shared" si="4"/>
        <v>0</v>
      </c>
      <c r="R43" s="80">
        <v>0</v>
      </c>
      <c r="S43" s="80">
        <v>0</v>
      </c>
      <c r="T43" s="81">
        <f t="shared" si="5"/>
        <v>0</v>
      </c>
      <c r="U43" s="78">
        <v>0</v>
      </c>
      <c r="V43" s="78">
        <v>0</v>
      </c>
      <c r="W43" s="79">
        <f t="shared" si="6"/>
        <v>0</v>
      </c>
      <c r="X43" s="80">
        <v>0</v>
      </c>
      <c r="Y43" s="80">
        <v>0</v>
      </c>
      <c r="Z43" s="81">
        <f t="shared" si="7"/>
        <v>0</v>
      </c>
    </row>
    <row r="44" spans="1:26">
      <c r="A44" s="76" t="s">
        <v>876</v>
      </c>
      <c r="B44" s="77"/>
      <c r="C44" s="78">
        <v>0</v>
      </c>
      <c r="D44" s="78">
        <v>0</v>
      </c>
      <c r="E44" s="79">
        <f t="shared" si="0"/>
        <v>0</v>
      </c>
      <c r="F44" s="80">
        <v>0</v>
      </c>
      <c r="G44" s="80">
        <v>0</v>
      </c>
      <c r="H44" s="81">
        <f t="shared" si="1"/>
        <v>0</v>
      </c>
      <c r="I44" s="78">
        <v>0</v>
      </c>
      <c r="J44" s="78">
        <v>0</v>
      </c>
      <c r="K44" s="79">
        <f t="shared" si="2"/>
        <v>0</v>
      </c>
      <c r="L44" s="80">
        <v>0</v>
      </c>
      <c r="M44" s="80">
        <v>0</v>
      </c>
      <c r="N44" s="81">
        <f t="shared" si="3"/>
        <v>0</v>
      </c>
      <c r="O44" s="78">
        <v>0</v>
      </c>
      <c r="P44" s="78">
        <v>0</v>
      </c>
      <c r="Q44" s="79">
        <f t="shared" si="4"/>
        <v>0</v>
      </c>
      <c r="R44" s="80">
        <v>0</v>
      </c>
      <c r="S44" s="80">
        <v>0</v>
      </c>
      <c r="T44" s="81">
        <f t="shared" si="5"/>
        <v>0</v>
      </c>
      <c r="U44" s="78">
        <v>0</v>
      </c>
      <c r="V44" s="78">
        <v>0</v>
      </c>
      <c r="W44" s="79">
        <f t="shared" si="6"/>
        <v>0</v>
      </c>
      <c r="X44" s="80">
        <v>0</v>
      </c>
      <c r="Y44" s="80">
        <v>0</v>
      </c>
      <c r="Z44" s="81">
        <f t="shared" si="7"/>
        <v>0</v>
      </c>
    </row>
    <row r="45" spans="1:26">
      <c r="A45" s="76" t="s">
        <v>889</v>
      </c>
      <c r="B45" s="77"/>
      <c r="C45" s="78">
        <v>0</v>
      </c>
      <c r="D45" s="78">
        <v>0</v>
      </c>
      <c r="E45" s="79">
        <f t="shared" si="0"/>
        <v>0</v>
      </c>
      <c r="F45" s="80">
        <v>0</v>
      </c>
      <c r="G45" s="80">
        <v>0</v>
      </c>
      <c r="H45" s="81">
        <f t="shared" si="1"/>
        <v>0</v>
      </c>
      <c r="I45" s="78">
        <v>0</v>
      </c>
      <c r="J45" s="78">
        <v>0</v>
      </c>
      <c r="K45" s="79">
        <f t="shared" si="2"/>
        <v>0</v>
      </c>
      <c r="L45" s="80">
        <v>0</v>
      </c>
      <c r="M45" s="80">
        <v>0</v>
      </c>
      <c r="N45" s="81">
        <f t="shared" si="3"/>
        <v>0</v>
      </c>
      <c r="O45" s="78">
        <v>0</v>
      </c>
      <c r="P45" s="78">
        <v>0</v>
      </c>
      <c r="Q45" s="79">
        <f t="shared" si="4"/>
        <v>0</v>
      </c>
      <c r="R45" s="80">
        <v>0</v>
      </c>
      <c r="S45" s="80">
        <v>0</v>
      </c>
      <c r="T45" s="81">
        <f t="shared" si="5"/>
        <v>0</v>
      </c>
      <c r="U45" s="78">
        <v>0</v>
      </c>
      <c r="V45" s="78">
        <v>0</v>
      </c>
      <c r="W45" s="79">
        <f t="shared" si="6"/>
        <v>0</v>
      </c>
      <c r="X45" s="80">
        <v>0</v>
      </c>
      <c r="Y45" s="80">
        <v>0</v>
      </c>
      <c r="Z45" s="81">
        <f t="shared" si="7"/>
        <v>0</v>
      </c>
    </row>
    <row r="46" spans="1:26">
      <c r="A46" s="76" t="s">
        <v>900</v>
      </c>
      <c r="B46" s="77"/>
      <c r="C46" s="78">
        <v>0</v>
      </c>
      <c r="D46" s="78">
        <v>0</v>
      </c>
      <c r="E46" s="79">
        <f t="shared" si="0"/>
        <v>0</v>
      </c>
      <c r="F46" s="80">
        <v>0</v>
      </c>
      <c r="G46" s="80">
        <v>0</v>
      </c>
      <c r="H46" s="81">
        <f t="shared" si="1"/>
        <v>0</v>
      </c>
      <c r="I46" s="78">
        <v>0</v>
      </c>
      <c r="J46" s="78">
        <v>0</v>
      </c>
      <c r="K46" s="79">
        <f t="shared" si="2"/>
        <v>0</v>
      </c>
      <c r="L46" s="80">
        <v>0</v>
      </c>
      <c r="M46" s="80">
        <v>0</v>
      </c>
      <c r="N46" s="81">
        <f t="shared" si="3"/>
        <v>0</v>
      </c>
      <c r="O46" s="78">
        <v>0</v>
      </c>
      <c r="P46" s="78">
        <v>0</v>
      </c>
      <c r="Q46" s="79">
        <f t="shared" si="4"/>
        <v>0</v>
      </c>
      <c r="R46" s="80">
        <v>0</v>
      </c>
      <c r="S46" s="80">
        <v>0</v>
      </c>
      <c r="T46" s="81">
        <f t="shared" si="5"/>
        <v>0</v>
      </c>
      <c r="U46" s="78">
        <v>0</v>
      </c>
      <c r="V46" s="78">
        <v>0</v>
      </c>
      <c r="W46" s="79">
        <f t="shared" si="6"/>
        <v>0</v>
      </c>
      <c r="X46" s="80">
        <v>0</v>
      </c>
      <c r="Y46" s="80">
        <v>0</v>
      </c>
      <c r="Z46" s="81">
        <f t="shared" si="7"/>
        <v>0</v>
      </c>
    </row>
    <row r="47" spans="1:26">
      <c r="A47" s="76" t="s">
        <v>909</v>
      </c>
      <c r="B47" s="77"/>
      <c r="C47" s="78">
        <v>0</v>
      </c>
      <c r="D47" s="78">
        <v>0</v>
      </c>
      <c r="E47" s="79">
        <f t="shared" si="0"/>
        <v>0</v>
      </c>
      <c r="F47" s="80">
        <v>0</v>
      </c>
      <c r="G47" s="80">
        <v>0</v>
      </c>
      <c r="H47" s="81">
        <f t="shared" si="1"/>
        <v>0</v>
      </c>
      <c r="I47" s="78">
        <v>0</v>
      </c>
      <c r="J47" s="78">
        <v>0</v>
      </c>
      <c r="K47" s="79">
        <f t="shared" si="2"/>
        <v>0</v>
      </c>
      <c r="L47" s="80">
        <v>0</v>
      </c>
      <c r="M47" s="80">
        <v>0</v>
      </c>
      <c r="N47" s="81">
        <f t="shared" si="3"/>
        <v>0</v>
      </c>
      <c r="O47" s="78">
        <v>0</v>
      </c>
      <c r="P47" s="78">
        <v>0</v>
      </c>
      <c r="Q47" s="79">
        <f t="shared" si="4"/>
        <v>0</v>
      </c>
      <c r="R47" s="80">
        <v>0</v>
      </c>
      <c r="S47" s="80">
        <v>0</v>
      </c>
      <c r="T47" s="81">
        <f t="shared" si="5"/>
        <v>0</v>
      </c>
      <c r="U47" s="78">
        <v>0</v>
      </c>
      <c r="V47" s="78">
        <v>0</v>
      </c>
      <c r="W47" s="79">
        <f t="shared" si="6"/>
        <v>0</v>
      </c>
      <c r="X47" s="80">
        <v>0</v>
      </c>
      <c r="Y47" s="80">
        <v>0</v>
      </c>
      <c r="Z47" s="81">
        <f t="shared" si="7"/>
        <v>0</v>
      </c>
    </row>
    <row r="48" spans="1:26">
      <c r="A48" s="76" t="s">
        <v>922</v>
      </c>
      <c r="B48" s="77"/>
      <c r="C48" s="78">
        <v>0</v>
      </c>
      <c r="D48" s="78">
        <v>0</v>
      </c>
      <c r="E48" s="79">
        <f t="shared" si="0"/>
        <v>0</v>
      </c>
      <c r="F48" s="80">
        <v>0</v>
      </c>
      <c r="G48" s="80">
        <v>0</v>
      </c>
      <c r="H48" s="81">
        <f t="shared" si="1"/>
        <v>0</v>
      </c>
      <c r="I48" s="78">
        <v>0</v>
      </c>
      <c r="J48" s="78">
        <v>0</v>
      </c>
      <c r="K48" s="79">
        <f t="shared" si="2"/>
        <v>0</v>
      </c>
      <c r="L48" s="80">
        <v>0</v>
      </c>
      <c r="M48" s="80">
        <v>0</v>
      </c>
      <c r="N48" s="81">
        <f t="shared" si="3"/>
        <v>0</v>
      </c>
      <c r="O48" s="78">
        <v>0</v>
      </c>
      <c r="P48" s="78">
        <v>0</v>
      </c>
      <c r="Q48" s="79">
        <f t="shared" si="4"/>
        <v>0</v>
      </c>
      <c r="R48" s="80">
        <v>0</v>
      </c>
      <c r="S48" s="80">
        <v>0</v>
      </c>
      <c r="T48" s="81">
        <f t="shared" si="5"/>
        <v>0</v>
      </c>
      <c r="U48" s="78">
        <v>0</v>
      </c>
      <c r="V48" s="78">
        <v>0</v>
      </c>
      <c r="W48" s="79">
        <f t="shared" si="6"/>
        <v>0</v>
      </c>
      <c r="X48" s="80">
        <v>0</v>
      </c>
      <c r="Y48" s="80">
        <v>0</v>
      </c>
      <c r="Z48" s="81">
        <f t="shared" si="7"/>
        <v>0</v>
      </c>
    </row>
    <row r="49" spans="1:26">
      <c r="A49" s="76" t="s">
        <v>1102</v>
      </c>
      <c r="B49" s="77"/>
      <c r="C49" s="78">
        <v>1500</v>
      </c>
      <c r="D49" s="78">
        <v>1000</v>
      </c>
      <c r="E49" s="79">
        <f t="shared" si="0"/>
        <v>2500</v>
      </c>
      <c r="F49" s="80">
        <v>1500</v>
      </c>
      <c r="G49" s="80">
        <v>1000</v>
      </c>
      <c r="H49" s="81">
        <f t="shared" si="1"/>
        <v>2500</v>
      </c>
      <c r="I49" s="78">
        <v>2000</v>
      </c>
      <c r="J49" s="78">
        <v>1500</v>
      </c>
      <c r="K49" s="79">
        <f t="shared" si="2"/>
        <v>3500</v>
      </c>
      <c r="L49" s="80">
        <v>2000</v>
      </c>
      <c r="M49" s="80">
        <v>1500</v>
      </c>
      <c r="N49" s="81">
        <f t="shared" si="3"/>
        <v>3500</v>
      </c>
      <c r="O49" s="78">
        <v>2500</v>
      </c>
      <c r="P49" s="78">
        <v>1500</v>
      </c>
      <c r="Q49" s="79">
        <f t="shared" si="4"/>
        <v>4000</v>
      </c>
      <c r="R49" s="80">
        <v>2500</v>
      </c>
      <c r="S49" s="80">
        <v>1500</v>
      </c>
      <c r="T49" s="81">
        <f t="shared" si="5"/>
        <v>4000</v>
      </c>
      <c r="U49" s="78">
        <v>0</v>
      </c>
      <c r="V49" s="78">
        <v>0</v>
      </c>
      <c r="W49" s="79">
        <f t="shared" si="6"/>
        <v>0</v>
      </c>
      <c r="X49" s="80">
        <v>4000</v>
      </c>
      <c r="Y49" s="80">
        <v>0</v>
      </c>
      <c r="Z49" s="81">
        <f t="shared" si="7"/>
        <v>4000</v>
      </c>
    </row>
    <row r="50" spans="1:26">
      <c r="A50" s="76" t="s">
        <v>1230</v>
      </c>
      <c r="B50" s="77"/>
      <c r="C50" s="78">
        <v>1000</v>
      </c>
      <c r="D50" s="78">
        <v>500</v>
      </c>
      <c r="E50" s="79">
        <f t="shared" si="0"/>
        <v>1500</v>
      </c>
      <c r="F50" s="80">
        <v>1000</v>
      </c>
      <c r="G50" s="80">
        <v>500</v>
      </c>
      <c r="H50" s="81">
        <f t="shared" si="1"/>
        <v>1500</v>
      </c>
      <c r="I50" s="78">
        <v>1200</v>
      </c>
      <c r="J50" s="78">
        <v>800</v>
      </c>
      <c r="K50" s="79">
        <f t="shared" si="2"/>
        <v>2000</v>
      </c>
      <c r="L50" s="80">
        <v>1200</v>
      </c>
      <c r="M50" s="80">
        <v>800</v>
      </c>
      <c r="N50" s="81">
        <f t="shared" si="3"/>
        <v>2000</v>
      </c>
      <c r="O50" s="78">
        <v>1500</v>
      </c>
      <c r="P50" s="78">
        <v>1000</v>
      </c>
      <c r="Q50" s="79">
        <f t="shared" si="4"/>
        <v>2500</v>
      </c>
      <c r="R50" s="80">
        <v>1500</v>
      </c>
      <c r="S50" s="80">
        <v>1000</v>
      </c>
      <c r="T50" s="81">
        <f t="shared" si="5"/>
        <v>2500</v>
      </c>
      <c r="U50" s="78">
        <v>0</v>
      </c>
      <c r="V50" s="78">
        <v>0</v>
      </c>
      <c r="W50" s="79">
        <f t="shared" si="6"/>
        <v>0</v>
      </c>
      <c r="X50" s="80">
        <v>2500</v>
      </c>
      <c r="Y50" s="80">
        <v>0</v>
      </c>
      <c r="Z50" s="81">
        <f t="shared" si="7"/>
        <v>2500</v>
      </c>
    </row>
    <row r="51" spans="1:26">
      <c r="A51" s="76" t="s">
        <v>1237</v>
      </c>
      <c r="B51" s="77"/>
      <c r="C51" s="78">
        <v>1000</v>
      </c>
      <c r="D51" s="78">
        <v>500</v>
      </c>
      <c r="E51" s="79">
        <f t="shared" si="0"/>
        <v>1500</v>
      </c>
      <c r="F51" s="80">
        <v>1000</v>
      </c>
      <c r="G51" s="80">
        <v>500</v>
      </c>
      <c r="H51" s="81">
        <f t="shared" si="1"/>
        <v>1500</v>
      </c>
      <c r="I51" s="78">
        <v>1200</v>
      </c>
      <c r="J51" s="78">
        <v>800</v>
      </c>
      <c r="K51" s="79">
        <f t="shared" si="2"/>
        <v>2000</v>
      </c>
      <c r="L51" s="80">
        <v>1200</v>
      </c>
      <c r="M51" s="80">
        <v>800</v>
      </c>
      <c r="N51" s="81">
        <f t="shared" si="3"/>
        <v>2000</v>
      </c>
      <c r="O51" s="78">
        <v>1500</v>
      </c>
      <c r="P51" s="78">
        <v>1000</v>
      </c>
      <c r="Q51" s="79">
        <f t="shared" si="4"/>
        <v>2500</v>
      </c>
      <c r="R51" s="80">
        <v>1500</v>
      </c>
      <c r="S51" s="80">
        <v>1000</v>
      </c>
      <c r="T51" s="81">
        <f t="shared" si="5"/>
        <v>2500</v>
      </c>
      <c r="U51" s="78">
        <v>0</v>
      </c>
      <c r="V51" s="78">
        <v>0</v>
      </c>
      <c r="W51" s="79">
        <f t="shared" si="6"/>
        <v>0</v>
      </c>
      <c r="X51" s="80">
        <v>2500</v>
      </c>
      <c r="Y51" s="80">
        <v>0</v>
      </c>
      <c r="Z51" s="81">
        <f t="shared" si="7"/>
        <v>2500</v>
      </c>
    </row>
    <row r="52" spans="1:26">
      <c r="A52" s="76" t="s">
        <v>1245</v>
      </c>
      <c r="B52" s="77"/>
      <c r="C52" s="78">
        <v>1000</v>
      </c>
      <c r="D52" s="78">
        <v>500</v>
      </c>
      <c r="E52" s="79">
        <f t="shared" si="0"/>
        <v>1500</v>
      </c>
      <c r="F52" s="80">
        <v>1000</v>
      </c>
      <c r="G52" s="80">
        <v>500</v>
      </c>
      <c r="H52" s="81">
        <f t="shared" si="1"/>
        <v>1500</v>
      </c>
      <c r="I52" s="78">
        <v>1200</v>
      </c>
      <c r="J52" s="78">
        <v>800</v>
      </c>
      <c r="K52" s="79">
        <f t="shared" si="2"/>
        <v>2000</v>
      </c>
      <c r="L52" s="80">
        <v>1200</v>
      </c>
      <c r="M52" s="80">
        <v>800</v>
      </c>
      <c r="N52" s="81">
        <f t="shared" si="3"/>
        <v>2000</v>
      </c>
      <c r="O52" s="78">
        <v>1500</v>
      </c>
      <c r="P52" s="78">
        <v>1000</v>
      </c>
      <c r="Q52" s="79">
        <f t="shared" si="4"/>
        <v>2500</v>
      </c>
      <c r="R52" s="80">
        <v>1500</v>
      </c>
      <c r="S52" s="80">
        <v>1000</v>
      </c>
      <c r="T52" s="81">
        <f t="shared" si="5"/>
        <v>2500</v>
      </c>
      <c r="U52" s="78">
        <v>0</v>
      </c>
      <c r="V52" s="78">
        <v>0</v>
      </c>
      <c r="W52" s="79">
        <f t="shared" si="6"/>
        <v>0</v>
      </c>
      <c r="X52" s="80">
        <v>2500</v>
      </c>
      <c r="Y52" s="80">
        <v>0</v>
      </c>
      <c r="Z52" s="81">
        <f t="shared" si="7"/>
        <v>2500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20.33203125" customWidth="1"/>
    <col min="2" max="2" width="10.88671875" customWidth="1"/>
    <col min="3" max="3" width="18.77734375" customWidth="1"/>
    <col min="4" max="4" width="18.33203125" customWidth="1"/>
    <col min="5" max="5" width="20.33203125" customWidth="1"/>
    <col min="6" max="6" width="18.21875" customWidth="1"/>
    <col min="7" max="7" width="17.88671875" customWidth="1"/>
    <col min="8" max="8" width="19.77734375" customWidth="1"/>
    <col min="9" max="9" width="16.77734375" customWidth="1"/>
    <col min="10" max="10" width="16.33203125" customWidth="1"/>
    <col min="11" max="11" width="18.33203125" customWidth="1"/>
  </cols>
  <sheetData>
    <row r="1" spans="1:26">
      <c r="A1" s="83" t="s">
        <v>2</v>
      </c>
      <c r="B1" s="14" t="s">
        <v>3</v>
      </c>
      <c r="C1" s="2" t="s">
        <v>1432</v>
      </c>
      <c r="D1" s="2" t="s">
        <v>1433</v>
      </c>
      <c r="E1" s="2" t="s">
        <v>1434</v>
      </c>
      <c r="F1" s="2" t="s">
        <v>1435</v>
      </c>
      <c r="G1" s="2" t="s">
        <v>1436</v>
      </c>
      <c r="H1" s="2" t="s">
        <v>1437</v>
      </c>
      <c r="I1" s="2" t="s">
        <v>1438</v>
      </c>
      <c r="J1" s="2" t="s">
        <v>1439</v>
      </c>
      <c r="K1" s="2" t="s">
        <v>1440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84" t="s">
        <v>177</v>
      </c>
      <c r="B2" s="13"/>
      <c r="C2" s="9">
        <v>30000</v>
      </c>
      <c r="D2" s="9">
        <v>0</v>
      </c>
      <c r="E2" s="13">
        <f t="shared" ref="E2:E51" si="0">C2+D2</f>
        <v>30000</v>
      </c>
      <c r="F2" s="13"/>
      <c r="G2" s="13"/>
      <c r="H2" s="13">
        <f t="shared" ref="H2:H51" si="1">F2+G2</f>
        <v>0</v>
      </c>
      <c r="I2" s="9">
        <v>0</v>
      </c>
      <c r="J2" s="13"/>
      <c r="K2" s="13">
        <f t="shared" ref="K2:K51" si="2">I2+J2</f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84" t="s">
        <v>524</v>
      </c>
      <c r="B3" s="13"/>
      <c r="C3" s="9">
        <v>30000</v>
      </c>
      <c r="D3" s="9">
        <v>0</v>
      </c>
      <c r="E3" s="13">
        <f t="shared" si="0"/>
        <v>30000</v>
      </c>
      <c r="F3" s="13"/>
      <c r="G3" s="13"/>
      <c r="H3" s="13">
        <f t="shared" si="1"/>
        <v>0</v>
      </c>
      <c r="I3" s="9">
        <v>0</v>
      </c>
      <c r="J3" s="13"/>
      <c r="K3" s="13">
        <f t="shared" si="2"/>
        <v>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84" t="s">
        <v>529</v>
      </c>
      <c r="B4" s="13"/>
      <c r="C4" s="9">
        <v>10000</v>
      </c>
      <c r="D4" s="9">
        <v>0</v>
      </c>
      <c r="E4" s="13">
        <f t="shared" si="0"/>
        <v>10000</v>
      </c>
      <c r="F4" s="13"/>
      <c r="G4" s="13"/>
      <c r="H4" s="13">
        <f t="shared" si="1"/>
        <v>0</v>
      </c>
      <c r="I4" s="9">
        <v>20000</v>
      </c>
      <c r="J4" s="13"/>
      <c r="K4" s="13">
        <f t="shared" si="2"/>
        <v>20000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84" t="s">
        <v>556</v>
      </c>
      <c r="B5" s="13"/>
      <c r="C5" s="9">
        <v>10000</v>
      </c>
      <c r="D5" s="9">
        <v>0</v>
      </c>
      <c r="E5" s="13">
        <f t="shared" si="0"/>
        <v>10000</v>
      </c>
      <c r="F5" s="13"/>
      <c r="G5" s="13"/>
      <c r="H5" s="13">
        <f t="shared" si="1"/>
        <v>0</v>
      </c>
      <c r="I5" s="9">
        <v>20000</v>
      </c>
      <c r="J5" s="13"/>
      <c r="K5" s="13">
        <f t="shared" si="2"/>
        <v>20000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84" t="s">
        <v>573</v>
      </c>
      <c r="B6" s="13"/>
      <c r="C6" s="9">
        <v>10000</v>
      </c>
      <c r="D6" s="9">
        <v>0</v>
      </c>
      <c r="E6" s="13">
        <f t="shared" si="0"/>
        <v>10000</v>
      </c>
      <c r="F6" s="13"/>
      <c r="G6" s="13"/>
      <c r="H6" s="13">
        <f t="shared" si="1"/>
        <v>0</v>
      </c>
      <c r="I6" s="9">
        <v>20000</v>
      </c>
      <c r="J6" s="13"/>
      <c r="K6" s="13">
        <f t="shared" si="2"/>
        <v>20000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84" t="s">
        <v>656</v>
      </c>
      <c r="B7" s="13"/>
      <c r="C7" s="9">
        <v>15000</v>
      </c>
      <c r="D7" s="9">
        <v>0</v>
      </c>
      <c r="E7" s="13">
        <f t="shared" si="0"/>
        <v>15000</v>
      </c>
      <c r="F7" s="13"/>
      <c r="G7" s="13"/>
      <c r="H7" s="13">
        <f t="shared" si="1"/>
        <v>0</v>
      </c>
      <c r="I7" s="9">
        <v>35000</v>
      </c>
      <c r="J7" s="13"/>
      <c r="K7" s="13">
        <f t="shared" si="2"/>
        <v>35000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84" t="s">
        <v>51</v>
      </c>
      <c r="B8" s="13"/>
      <c r="C8" s="9">
        <v>20000</v>
      </c>
      <c r="D8" s="9">
        <v>0</v>
      </c>
      <c r="E8" s="13">
        <f t="shared" si="0"/>
        <v>20000</v>
      </c>
      <c r="F8" s="13"/>
      <c r="G8" s="13"/>
      <c r="H8" s="13">
        <f t="shared" si="1"/>
        <v>0</v>
      </c>
      <c r="I8" s="9">
        <v>20000</v>
      </c>
      <c r="J8" s="13"/>
      <c r="K8" s="13">
        <f t="shared" si="2"/>
        <v>20000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84" t="s">
        <v>328</v>
      </c>
      <c r="B9" s="13"/>
      <c r="C9" s="9">
        <v>25000</v>
      </c>
      <c r="D9" s="9">
        <v>0</v>
      </c>
      <c r="E9" s="13">
        <f t="shared" si="0"/>
        <v>25000</v>
      </c>
      <c r="F9" s="13"/>
      <c r="G9" s="13"/>
      <c r="H9" s="13">
        <f t="shared" si="1"/>
        <v>0</v>
      </c>
      <c r="I9" s="9">
        <v>25000</v>
      </c>
      <c r="J9" s="13"/>
      <c r="K9" s="13">
        <f t="shared" si="2"/>
        <v>25000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84" t="s">
        <v>593</v>
      </c>
      <c r="B10" s="13"/>
      <c r="C10" s="9">
        <v>0</v>
      </c>
      <c r="D10" s="9">
        <v>0</v>
      </c>
      <c r="E10" s="13">
        <f t="shared" si="0"/>
        <v>0</v>
      </c>
      <c r="F10" s="13"/>
      <c r="G10" s="13"/>
      <c r="H10" s="13">
        <f t="shared" si="1"/>
        <v>0</v>
      </c>
      <c r="I10" s="9">
        <v>20000</v>
      </c>
      <c r="J10" s="13"/>
      <c r="K10" s="13">
        <f t="shared" si="2"/>
        <v>20000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84" t="s">
        <v>77</v>
      </c>
      <c r="B11" s="13"/>
      <c r="C11" s="9">
        <v>0</v>
      </c>
      <c r="D11" s="9">
        <v>0</v>
      </c>
      <c r="E11" s="13">
        <f t="shared" si="0"/>
        <v>0</v>
      </c>
      <c r="F11" s="13"/>
      <c r="G11" s="13"/>
      <c r="H11" s="13">
        <f t="shared" si="1"/>
        <v>0</v>
      </c>
      <c r="I11" s="9">
        <v>20000</v>
      </c>
      <c r="J11" s="13"/>
      <c r="K11" s="13">
        <f t="shared" si="2"/>
        <v>20000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84" t="s">
        <v>934</v>
      </c>
      <c r="B12" s="13"/>
      <c r="C12" s="9">
        <v>30000</v>
      </c>
      <c r="D12" s="9">
        <v>0</v>
      </c>
      <c r="E12" s="13">
        <f t="shared" si="0"/>
        <v>30000</v>
      </c>
      <c r="F12" s="13"/>
      <c r="G12" s="13"/>
      <c r="H12" s="13">
        <f t="shared" si="1"/>
        <v>0</v>
      </c>
      <c r="I12" s="9">
        <v>0</v>
      </c>
      <c r="J12" s="13"/>
      <c r="K12" s="13">
        <f t="shared" si="2"/>
        <v>0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84" t="s">
        <v>931</v>
      </c>
      <c r="B13" s="13"/>
      <c r="C13" s="9">
        <v>0</v>
      </c>
      <c r="D13" s="9">
        <v>0</v>
      </c>
      <c r="E13" s="13">
        <f t="shared" si="0"/>
        <v>0</v>
      </c>
      <c r="F13" s="13"/>
      <c r="G13" s="13"/>
      <c r="H13" s="13">
        <f t="shared" si="1"/>
        <v>0</v>
      </c>
      <c r="I13" s="9">
        <v>0</v>
      </c>
      <c r="J13" s="13"/>
      <c r="K13" s="13">
        <f t="shared" si="2"/>
        <v>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84" t="s">
        <v>600</v>
      </c>
      <c r="B14" s="13"/>
      <c r="C14" s="9">
        <v>20000</v>
      </c>
      <c r="D14" s="9">
        <v>0</v>
      </c>
      <c r="E14" s="13">
        <f t="shared" si="0"/>
        <v>20000</v>
      </c>
      <c r="F14" s="13"/>
      <c r="G14" s="13"/>
      <c r="H14" s="13">
        <f t="shared" si="1"/>
        <v>0</v>
      </c>
      <c r="I14" s="9">
        <v>30000</v>
      </c>
      <c r="J14" s="13"/>
      <c r="K14" s="13">
        <f t="shared" si="2"/>
        <v>30000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84" t="s">
        <v>1003</v>
      </c>
      <c r="B15" s="13"/>
      <c r="C15" s="9">
        <v>0</v>
      </c>
      <c r="D15" s="9">
        <v>0</v>
      </c>
      <c r="E15" s="13">
        <f t="shared" si="0"/>
        <v>0</v>
      </c>
      <c r="F15" s="13"/>
      <c r="G15" s="13"/>
      <c r="H15" s="13">
        <f t="shared" si="1"/>
        <v>0</v>
      </c>
      <c r="I15" s="9">
        <v>0</v>
      </c>
      <c r="J15" s="13"/>
      <c r="K15" s="13">
        <f t="shared" si="2"/>
        <v>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84" t="s">
        <v>115</v>
      </c>
      <c r="B16" s="13"/>
      <c r="C16" s="9">
        <v>30000</v>
      </c>
      <c r="D16" s="9">
        <v>0</v>
      </c>
      <c r="E16" s="13">
        <f t="shared" si="0"/>
        <v>30000</v>
      </c>
      <c r="F16" s="13"/>
      <c r="G16" s="13"/>
      <c r="H16" s="13">
        <f t="shared" si="1"/>
        <v>0</v>
      </c>
      <c r="I16" s="9">
        <v>35000</v>
      </c>
      <c r="J16" s="13"/>
      <c r="K16" s="13">
        <f t="shared" si="2"/>
        <v>35000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84" t="s">
        <v>528</v>
      </c>
      <c r="B17" s="13"/>
      <c r="C17" s="9">
        <v>25000</v>
      </c>
      <c r="D17" s="9">
        <v>0</v>
      </c>
      <c r="E17" s="13">
        <f t="shared" si="0"/>
        <v>25000</v>
      </c>
      <c r="F17" s="13"/>
      <c r="G17" s="13"/>
      <c r="H17" s="13">
        <f t="shared" si="1"/>
        <v>0</v>
      </c>
      <c r="I17" s="9">
        <v>25000</v>
      </c>
      <c r="J17" s="13"/>
      <c r="K17" s="13">
        <f t="shared" si="2"/>
        <v>25000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84" t="s">
        <v>208</v>
      </c>
      <c r="B18" s="13"/>
      <c r="C18" s="9">
        <v>0</v>
      </c>
      <c r="D18" s="9">
        <v>0</v>
      </c>
      <c r="E18" s="13">
        <f t="shared" si="0"/>
        <v>0</v>
      </c>
      <c r="F18" s="13"/>
      <c r="G18" s="13"/>
      <c r="H18" s="13">
        <f t="shared" si="1"/>
        <v>0</v>
      </c>
      <c r="I18" s="9">
        <v>0</v>
      </c>
      <c r="J18" s="13"/>
      <c r="K18" s="13">
        <f t="shared" si="2"/>
        <v>0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84" t="s">
        <v>174</v>
      </c>
      <c r="B19" s="13"/>
      <c r="C19" s="9">
        <v>35000</v>
      </c>
      <c r="D19" s="9">
        <v>0</v>
      </c>
      <c r="E19" s="13">
        <f t="shared" si="0"/>
        <v>35000</v>
      </c>
      <c r="F19" s="13"/>
      <c r="G19" s="13"/>
      <c r="H19" s="13">
        <f t="shared" si="1"/>
        <v>0</v>
      </c>
      <c r="I19" s="9">
        <v>45000</v>
      </c>
      <c r="J19" s="13"/>
      <c r="K19" s="13">
        <f t="shared" si="2"/>
        <v>45000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84" t="s">
        <v>162</v>
      </c>
      <c r="B20" s="13"/>
      <c r="C20" s="9">
        <v>35000</v>
      </c>
      <c r="D20" s="9">
        <v>0</v>
      </c>
      <c r="E20" s="13">
        <f t="shared" si="0"/>
        <v>35000</v>
      </c>
      <c r="F20" s="13"/>
      <c r="G20" s="13"/>
      <c r="H20" s="13">
        <f t="shared" si="1"/>
        <v>0</v>
      </c>
      <c r="I20" s="9">
        <v>45000</v>
      </c>
      <c r="J20" s="13"/>
      <c r="K20" s="13">
        <f t="shared" si="2"/>
        <v>45000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84" t="s">
        <v>58</v>
      </c>
      <c r="B21" s="13"/>
      <c r="C21" s="9">
        <v>35000</v>
      </c>
      <c r="D21" s="9">
        <v>0</v>
      </c>
      <c r="E21" s="13">
        <f t="shared" si="0"/>
        <v>35000</v>
      </c>
      <c r="F21" s="13"/>
      <c r="G21" s="13"/>
      <c r="H21" s="13">
        <f t="shared" si="1"/>
        <v>0</v>
      </c>
      <c r="I21" s="9">
        <v>45000</v>
      </c>
      <c r="J21" s="13"/>
      <c r="K21" s="13">
        <f t="shared" si="2"/>
        <v>45000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84" t="s">
        <v>294</v>
      </c>
      <c r="B22" s="13"/>
      <c r="C22" s="9">
        <v>45000</v>
      </c>
      <c r="D22" s="9">
        <v>0</v>
      </c>
      <c r="E22" s="13">
        <f t="shared" si="0"/>
        <v>45000</v>
      </c>
      <c r="F22" s="13"/>
      <c r="G22" s="13"/>
      <c r="H22" s="13">
        <f t="shared" si="1"/>
        <v>0</v>
      </c>
      <c r="I22" s="9">
        <v>45000</v>
      </c>
      <c r="J22" s="13"/>
      <c r="K22" s="13">
        <f t="shared" si="2"/>
        <v>45000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84" t="s">
        <v>74</v>
      </c>
      <c r="B23" s="13"/>
      <c r="C23" s="9">
        <v>45000</v>
      </c>
      <c r="D23" s="9">
        <v>0</v>
      </c>
      <c r="E23" s="13">
        <f t="shared" si="0"/>
        <v>45000</v>
      </c>
      <c r="F23" s="9">
        <v>15000</v>
      </c>
      <c r="G23" s="9">
        <v>0</v>
      </c>
      <c r="H23" s="13">
        <f t="shared" si="1"/>
        <v>15000</v>
      </c>
      <c r="I23" s="9">
        <v>45000</v>
      </c>
      <c r="J23" s="13"/>
      <c r="K23" s="13">
        <f t="shared" si="2"/>
        <v>45000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84" t="s">
        <v>38</v>
      </c>
      <c r="B24" s="13"/>
      <c r="C24" s="9">
        <v>4000</v>
      </c>
      <c r="D24" s="9">
        <v>0</v>
      </c>
      <c r="E24" s="13">
        <f t="shared" si="0"/>
        <v>4000</v>
      </c>
      <c r="F24" s="13"/>
      <c r="G24" s="13"/>
      <c r="H24" s="13">
        <f t="shared" si="1"/>
        <v>0</v>
      </c>
      <c r="I24" s="9">
        <v>0</v>
      </c>
      <c r="J24" s="13"/>
      <c r="K24" s="13">
        <f t="shared" si="2"/>
        <v>0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84" t="s">
        <v>104</v>
      </c>
      <c r="B25" s="13"/>
      <c r="C25" s="9">
        <v>4000</v>
      </c>
      <c r="D25" s="9">
        <v>0</v>
      </c>
      <c r="E25" s="13">
        <f t="shared" si="0"/>
        <v>4000</v>
      </c>
      <c r="F25" s="13"/>
      <c r="G25" s="13"/>
      <c r="H25" s="13">
        <f t="shared" si="1"/>
        <v>0</v>
      </c>
      <c r="I25" s="9">
        <v>0</v>
      </c>
      <c r="J25" s="13"/>
      <c r="K25" s="13">
        <f t="shared" si="2"/>
        <v>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84" t="s">
        <v>133</v>
      </c>
      <c r="B26" s="13"/>
      <c r="C26" s="9">
        <v>4000</v>
      </c>
      <c r="D26" s="9">
        <v>0</v>
      </c>
      <c r="E26" s="13">
        <f t="shared" si="0"/>
        <v>4000</v>
      </c>
      <c r="F26" s="13"/>
      <c r="G26" s="13"/>
      <c r="H26" s="13">
        <f t="shared" si="1"/>
        <v>0</v>
      </c>
      <c r="I26" s="9">
        <v>0</v>
      </c>
      <c r="J26" s="13"/>
      <c r="K26" s="13">
        <f t="shared" si="2"/>
        <v>0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84" t="s">
        <v>141</v>
      </c>
      <c r="B27" s="13"/>
      <c r="C27" s="9">
        <v>5000</v>
      </c>
      <c r="D27" s="9">
        <v>0</v>
      </c>
      <c r="E27" s="13">
        <f t="shared" si="0"/>
        <v>5000</v>
      </c>
      <c r="F27" s="13"/>
      <c r="G27" s="13"/>
      <c r="H27" s="13">
        <f t="shared" si="1"/>
        <v>0</v>
      </c>
      <c r="I27" s="9">
        <v>0</v>
      </c>
      <c r="J27" s="13"/>
      <c r="K27" s="13">
        <f t="shared" si="2"/>
        <v>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84" t="s">
        <v>154</v>
      </c>
      <c r="B28" s="13"/>
      <c r="C28" s="9">
        <v>5000</v>
      </c>
      <c r="D28" s="9">
        <v>0</v>
      </c>
      <c r="E28" s="13">
        <f t="shared" si="0"/>
        <v>5000</v>
      </c>
      <c r="F28" s="13"/>
      <c r="G28" s="13"/>
      <c r="H28" s="13">
        <f t="shared" si="1"/>
        <v>0</v>
      </c>
      <c r="I28" s="9">
        <v>0</v>
      </c>
      <c r="J28" s="13"/>
      <c r="K28" s="13">
        <f t="shared" si="2"/>
        <v>0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84" t="s">
        <v>159</v>
      </c>
      <c r="B29" s="13"/>
      <c r="C29" s="9">
        <v>5000</v>
      </c>
      <c r="D29" s="9">
        <v>0</v>
      </c>
      <c r="E29" s="13">
        <f t="shared" si="0"/>
        <v>5000</v>
      </c>
      <c r="F29" s="13"/>
      <c r="G29" s="13"/>
      <c r="H29" s="13">
        <f t="shared" si="1"/>
        <v>0</v>
      </c>
      <c r="I29" s="9">
        <v>0</v>
      </c>
      <c r="J29" s="13"/>
      <c r="K29" s="13">
        <f t="shared" si="2"/>
        <v>0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84" t="s">
        <v>164</v>
      </c>
      <c r="B30" s="13"/>
      <c r="C30" s="9">
        <v>5000</v>
      </c>
      <c r="D30" s="9">
        <v>0</v>
      </c>
      <c r="E30" s="13">
        <f t="shared" si="0"/>
        <v>5000</v>
      </c>
      <c r="F30" s="13"/>
      <c r="G30" s="13"/>
      <c r="H30" s="13">
        <f t="shared" si="1"/>
        <v>0</v>
      </c>
      <c r="I30" s="9">
        <v>0</v>
      </c>
      <c r="J30" s="13"/>
      <c r="K30" s="13">
        <f t="shared" si="2"/>
        <v>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84" t="s">
        <v>598</v>
      </c>
      <c r="B31" s="13"/>
      <c r="C31" s="9">
        <v>5000</v>
      </c>
      <c r="D31" s="9">
        <v>0</v>
      </c>
      <c r="E31" s="13">
        <f t="shared" si="0"/>
        <v>5000</v>
      </c>
      <c r="F31" s="13"/>
      <c r="G31" s="13"/>
      <c r="H31" s="13">
        <f t="shared" si="1"/>
        <v>0</v>
      </c>
      <c r="I31" s="9">
        <v>0</v>
      </c>
      <c r="J31" s="13"/>
      <c r="K31" s="13">
        <f t="shared" si="2"/>
        <v>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84" t="s">
        <v>613</v>
      </c>
      <c r="B32" s="13"/>
      <c r="C32" s="9">
        <v>5000</v>
      </c>
      <c r="D32" s="9">
        <v>0</v>
      </c>
      <c r="E32" s="13">
        <f t="shared" si="0"/>
        <v>5000</v>
      </c>
      <c r="F32" s="13"/>
      <c r="G32" s="13"/>
      <c r="H32" s="13">
        <f t="shared" si="1"/>
        <v>0</v>
      </c>
      <c r="I32" s="9">
        <v>0</v>
      </c>
      <c r="J32" s="13"/>
      <c r="K32" s="13">
        <f t="shared" si="2"/>
        <v>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84" t="s">
        <v>623</v>
      </c>
      <c r="B33" s="13"/>
      <c r="C33" s="9">
        <v>5000</v>
      </c>
      <c r="D33" s="9">
        <v>0</v>
      </c>
      <c r="E33" s="13">
        <f t="shared" si="0"/>
        <v>5000</v>
      </c>
      <c r="F33" s="13"/>
      <c r="G33" s="13"/>
      <c r="H33" s="13">
        <f t="shared" si="1"/>
        <v>0</v>
      </c>
      <c r="I33" s="9">
        <v>0</v>
      </c>
      <c r="J33" s="13"/>
      <c r="K33" s="13">
        <f t="shared" si="2"/>
        <v>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84" t="s">
        <v>625</v>
      </c>
      <c r="B34" s="13"/>
      <c r="C34" s="9">
        <v>5000</v>
      </c>
      <c r="D34" s="9">
        <v>0</v>
      </c>
      <c r="E34" s="13">
        <f t="shared" si="0"/>
        <v>5000</v>
      </c>
      <c r="F34" s="13"/>
      <c r="G34" s="13"/>
      <c r="H34" s="13">
        <f t="shared" si="1"/>
        <v>0</v>
      </c>
      <c r="I34" s="9">
        <v>0</v>
      </c>
      <c r="J34" s="13"/>
      <c r="K34" s="13">
        <f t="shared" si="2"/>
        <v>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84" t="s">
        <v>631</v>
      </c>
      <c r="B35" s="13"/>
      <c r="C35" s="9">
        <v>5000</v>
      </c>
      <c r="D35" s="9">
        <v>0</v>
      </c>
      <c r="E35" s="13">
        <f t="shared" si="0"/>
        <v>5000</v>
      </c>
      <c r="F35" s="13"/>
      <c r="G35" s="13"/>
      <c r="H35" s="13">
        <f t="shared" si="1"/>
        <v>0</v>
      </c>
      <c r="I35" s="9">
        <v>0</v>
      </c>
      <c r="J35" s="13"/>
      <c r="K35" s="13">
        <f t="shared" si="2"/>
        <v>0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84" t="s">
        <v>632</v>
      </c>
      <c r="B36" s="13"/>
      <c r="C36" s="9">
        <v>5000</v>
      </c>
      <c r="D36" s="9">
        <v>0</v>
      </c>
      <c r="E36" s="13">
        <f t="shared" si="0"/>
        <v>5000</v>
      </c>
      <c r="F36" s="13"/>
      <c r="G36" s="13"/>
      <c r="H36" s="13">
        <f t="shared" si="1"/>
        <v>0</v>
      </c>
      <c r="I36" s="9">
        <v>0</v>
      </c>
      <c r="J36" s="13"/>
      <c r="K36" s="13">
        <f t="shared" si="2"/>
        <v>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84" t="s">
        <v>643</v>
      </c>
      <c r="B37" s="13"/>
      <c r="C37" s="9">
        <v>5000</v>
      </c>
      <c r="D37" s="9">
        <v>0</v>
      </c>
      <c r="E37" s="13">
        <f t="shared" si="0"/>
        <v>5000</v>
      </c>
      <c r="F37" s="13"/>
      <c r="G37" s="13"/>
      <c r="H37" s="13">
        <f t="shared" si="1"/>
        <v>0</v>
      </c>
      <c r="I37" s="9">
        <v>0</v>
      </c>
      <c r="J37" s="13"/>
      <c r="K37" s="13">
        <f t="shared" si="2"/>
        <v>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84" t="s">
        <v>646</v>
      </c>
      <c r="B38" s="13"/>
      <c r="C38" s="9">
        <v>5000</v>
      </c>
      <c r="D38" s="9">
        <v>0</v>
      </c>
      <c r="E38" s="13">
        <f t="shared" si="0"/>
        <v>5000</v>
      </c>
      <c r="F38" s="13"/>
      <c r="G38" s="13"/>
      <c r="H38" s="13">
        <f t="shared" si="1"/>
        <v>0</v>
      </c>
      <c r="I38" s="9">
        <v>0</v>
      </c>
      <c r="J38" s="13"/>
      <c r="K38" s="13">
        <f t="shared" si="2"/>
        <v>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84" t="s">
        <v>650</v>
      </c>
      <c r="B39" s="13"/>
      <c r="C39" s="9">
        <v>5000</v>
      </c>
      <c r="D39" s="9">
        <v>0</v>
      </c>
      <c r="E39" s="13">
        <f t="shared" si="0"/>
        <v>5000</v>
      </c>
      <c r="F39" s="13"/>
      <c r="G39" s="13"/>
      <c r="H39" s="13">
        <f t="shared" si="1"/>
        <v>0</v>
      </c>
      <c r="I39" s="9">
        <v>0</v>
      </c>
      <c r="J39" s="13"/>
      <c r="K39" s="13">
        <f t="shared" si="2"/>
        <v>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84" t="s">
        <v>841</v>
      </c>
      <c r="B40" s="13"/>
      <c r="C40" s="9">
        <v>5000</v>
      </c>
      <c r="D40" s="9">
        <v>0</v>
      </c>
      <c r="E40" s="13">
        <f t="shared" si="0"/>
        <v>5000</v>
      </c>
      <c r="F40" s="13"/>
      <c r="G40" s="13"/>
      <c r="H40" s="13">
        <f t="shared" si="1"/>
        <v>0</v>
      </c>
      <c r="I40" s="9">
        <v>0</v>
      </c>
      <c r="J40" s="13"/>
      <c r="K40" s="13">
        <f t="shared" si="2"/>
        <v>0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84" t="s">
        <v>856</v>
      </c>
      <c r="B41" s="13"/>
      <c r="C41" s="9">
        <v>5000</v>
      </c>
      <c r="D41" s="9">
        <v>0</v>
      </c>
      <c r="E41" s="13">
        <f t="shared" si="0"/>
        <v>5000</v>
      </c>
      <c r="F41" s="13"/>
      <c r="G41" s="13"/>
      <c r="H41" s="13">
        <f t="shared" si="1"/>
        <v>0</v>
      </c>
      <c r="I41" s="9">
        <v>0</v>
      </c>
      <c r="J41" s="13"/>
      <c r="K41" s="13">
        <f t="shared" si="2"/>
        <v>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84" t="s">
        <v>857</v>
      </c>
      <c r="B42" s="13"/>
      <c r="C42" s="9">
        <v>5000</v>
      </c>
      <c r="D42" s="9">
        <v>0</v>
      </c>
      <c r="E42" s="13">
        <f t="shared" si="0"/>
        <v>5000</v>
      </c>
      <c r="F42" s="13"/>
      <c r="G42" s="13"/>
      <c r="H42" s="13">
        <f t="shared" si="1"/>
        <v>0</v>
      </c>
      <c r="I42" s="9">
        <v>0</v>
      </c>
      <c r="J42" s="13"/>
      <c r="K42" s="13">
        <f t="shared" si="2"/>
        <v>0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84" t="s">
        <v>876</v>
      </c>
      <c r="B43" s="13"/>
      <c r="C43" s="9">
        <v>5000</v>
      </c>
      <c r="D43" s="9">
        <v>0</v>
      </c>
      <c r="E43" s="13">
        <f t="shared" si="0"/>
        <v>5000</v>
      </c>
      <c r="F43" s="13"/>
      <c r="G43" s="13"/>
      <c r="H43" s="13">
        <f t="shared" si="1"/>
        <v>0</v>
      </c>
      <c r="I43" s="9">
        <v>0</v>
      </c>
      <c r="J43" s="13"/>
      <c r="K43" s="13">
        <f t="shared" si="2"/>
        <v>0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84" t="s">
        <v>889</v>
      </c>
      <c r="B44" s="13"/>
      <c r="C44" s="9">
        <v>5000</v>
      </c>
      <c r="D44" s="9">
        <v>0</v>
      </c>
      <c r="E44" s="13">
        <f t="shared" si="0"/>
        <v>5000</v>
      </c>
      <c r="F44" s="13"/>
      <c r="G44" s="13"/>
      <c r="H44" s="13">
        <f t="shared" si="1"/>
        <v>0</v>
      </c>
      <c r="I44" s="9">
        <v>0</v>
      </c>
      <c r="J44" s="13"/>
      <c r="K44" s="13">
        <f t="shared" si="2"/>
        <v>0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84" t="s">
        <v>900</v>
      </c>
      <c r="B45" s="13"/>
      <c r="C45" s="9">
        <v>5000</v>
      </c>
      <c r="D45" s="9">
        <v>0</v>
      </c>
      <c r="E45" s="13">
        <f t="shared" si="0"/>
        <v>5000</v>
      </c>
      <c r="F45" s="13"/>
      <c r="G45" s="13"/>
      <c r="H45" s="13">
        <f t="shared" si="1"/>
        <v>0</v>
      </c>
      <c r="I45" s="9">
        <v>0</v>
      </c>
      <c r="J45" s="13"/>
      <c r="K45" s="13">
        <f t="shared" si="2"/>
        <v>0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84" t="s">
        <v>909</v>
      </c>
      <c r="B46" s="13"/>
      <c r="C46" s="9">
        <v>5000</v>
      </c>
      <c r="D46" s="9">
        <v>0</v>
      </c>
      <c r="E46" s="13">
        <f t="shared" si="0"/>
        <v>5000</v>
      </c>
      <c r="F46" s="13"/>
      <c r="G46" s="13"/>
      <c r="H46" s="13">
        <f t="shared" si="1"/>
        <v>0</v>
      </c>
      <c r="I46" s="9">
        <v>0</v>
      </c>
      <c r="J46" s="13"/>
      <c r="K46" s="13">
        <f t="shared" si="2"/>
        <v>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84" t="s">
        <v>922</v>
      </c>
      <c r="B47" s="13"/>
      <c r="C47" s="9">
        <v>0</v>
      </c>
      <c r="D47" s="9">
        <v>0</v>
      </c>
      <c r="E47" s="13">
        <f t="shared" si="0"/>
        <v>0</v>
      </c>
      <c r="F47" s="13"/>
      <c r="G47" s="13"/>
      <c r="H47" s="13">
        <f t="shared" si="1"/>
        <v>0</v>
      </c>
      <c r="I47" s="9">
        <v>0</v>
      </c>
      <c r="J47" s="13"/>
      <c r="K47" s="13">
        <f t="shared" si="2"/>
        <v>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84" t="s">
        <v>1102</v>
      </c>
      <c r="B48" s="13"/>
      <c r="C48" s="9">
        <v>7000</v>
      </c>
      <c r="D48" s="9">
        <v>0</v>
      </c>
      <c r="E48" s="13">
        <f t="shared" si="0"/>
        <v>7000</v>
      </c>
      <c r="F48" s="13"/>
      <c r="G48" s="13"/>
      <c r="H48" s="13">
        <f t="shared" si="1"/>
        <v>0</v>
      </c>
      <c r="I48" s="9">
        <v>0</v>
      </c>
      <c r="J48" s="13"/>
      <c r="K48" s="13">
        <f t="shared" si="2"/>
        <v>0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84" t="s">
        <v>1230</v>
      </c>
      <c r="B49" s="13"/>
      <c r="C49" s="9">
        <v>5000</v>
      </c>
      <c r="D49" s="9">
        <v>0</v>
      </c>
      <c r="E49" s="13">
        <f t="shared" si="0"/>
        <v>5000</v>
      </c>
      <c r="F49" s="13"/>
      <c r="G49" s="13"/>
      <c r="H49" s="13">
        <f t="shared" si="1"/>
        <v>0</v>
      </c>
      <c r="I49" s="9">
        <v>0</v>
      </c>
      <c r="J49" s="13"/>
      <c r="K49" s="13">
        <f t="shared" si="2"/>
        <v>0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84" t="s">
        <v>1237</v>
      </c>
      <c r="B50" s="13"/>
      <c r="C50" s="9">
        <v>5000</v>
      </c>
      <c r="D50" s="9">
        <v>0</v>
      </c>
      <c r="E50" s="13">
        <f t="shared" si="0"/>
        <v>5000</v>
      </c>
      <c r="F50" s="13"/>
      <c r="G50" s="13"/>
      <c r="H50" s="13">
        <f t="shared" si="1"/>
        <v>0</v>
      </c>
      <c r="I50" s="9">
        <v>0</v>
      </c>
      <c r="J50" s="13"/>
      <c r="K50" s="13">
        <f t="shared" si="2"/>
        <v>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84" t="s">
        <v>1245</v>
      </c>
      <c r="B51" s="13"/>
      <c r="C51" s="9">
        <v>5000</v>
      </c>
      <c r="D51" s="9">
        <v>0</v>
      </c>
      <c r="E51" s="13">
        <f t="shared" si="0"/>
        <v>5000</v>
      </c>
      <c r="F51" s="13"/>
      <c r="G51" s="13"/>
      <c r="H51" s="13">
        <f t="shared" si="1"/>
        <v>0</v>
      </c>
      <c r="I51" s="9">
        <v>0</v>
      </c>
      <c r="J51" s="13"/>
      <c r="K51" s="13">
        <f t="shared" si="2"/>
        <v>0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8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8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8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8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8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8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8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8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8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8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8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8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8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8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8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8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8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8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8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8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8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8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8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8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8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8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8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8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8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8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8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8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8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8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8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8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8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8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8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8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8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8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8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8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8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8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8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8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8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8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8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8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8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8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8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8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8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8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8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8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8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8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8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8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8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8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8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8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8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8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8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8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8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8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8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8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8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8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8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8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8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8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8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8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8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8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8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8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8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8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8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8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8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8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8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8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8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8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8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8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8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8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8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8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8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8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8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8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8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8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8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8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8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8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8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8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8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8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8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8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8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8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8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8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8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8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8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8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8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8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8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8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8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8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8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8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8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8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8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8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8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8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8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8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8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8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8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8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8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8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8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8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8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8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8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8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8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8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8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8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8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8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8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8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8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8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8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8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8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8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8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8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8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8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8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8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8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8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8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8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8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8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8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8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8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8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8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8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8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8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8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8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8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8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8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8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8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8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8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8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8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8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8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8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8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8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8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8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8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8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8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8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8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8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8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8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8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8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8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8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8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8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8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8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8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8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8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8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8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8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8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8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8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8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8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8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8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8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8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8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8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8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8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8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8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8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8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8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8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8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8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8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8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8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8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8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8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8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8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8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8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8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8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8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8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8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8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8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8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8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8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8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8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8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8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8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8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8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8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8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8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8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8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8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8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8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8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8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8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8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8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8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8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8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8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8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8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8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8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8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8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8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8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8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8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8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8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8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8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8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8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8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8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8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8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8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8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8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8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8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8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8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8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8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8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8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8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8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8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8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8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8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8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8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8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8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8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8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8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8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8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8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8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8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8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8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8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8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8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8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8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8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8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8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8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8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8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8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8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8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8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8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8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8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8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8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8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8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8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8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8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8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8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8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8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8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8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8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8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8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8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8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8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8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8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8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8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8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8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8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8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8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8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8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8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8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8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8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8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8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8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8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8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8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8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8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8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8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8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8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8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8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8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8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8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8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8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8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8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8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8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8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8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8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8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8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8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8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8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8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8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8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8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8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8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8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8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8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8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8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8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8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8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8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8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8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8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8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8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8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8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8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8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8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8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8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8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8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8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8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8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8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8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8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8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8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8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8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8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8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8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8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8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8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8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8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8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8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8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8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8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8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8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8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8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8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8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8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8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8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8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8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8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8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8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8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8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8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8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8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8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8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8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8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8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8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8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8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8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8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8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8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8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8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8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8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8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8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8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8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8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8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8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8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8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8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8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8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8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8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8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8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>
      <c r="A799" s="8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>
      <c r="A800" s="8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>
      <c r="A801" s="8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>
      <c r="A802" s="8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>
      <c r="A803" s="8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>
      <c r="A804" s="8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>
      <c r="A805" s="8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>
      <c r="A806" s="8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>
      <c r="A807" s="8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>
      <c r="A808" s="8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>
      <c r="A809" s="8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>
      <c r="A810" s="8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>
      <c r="A811" s="8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>
      <c r="A812" s="8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>
      <c r="A813" s="8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>
      <c r="A814" s="8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>
      <c r="A815" s="8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>
      <c r="A816" s="8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>
      <c r="A817" s="8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>
      <c r="A818" s="8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>
      <c r="A819" s="8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>
      <c r="A820" s="8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>
      <c r="A821" s="8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>
      <c r="A822" s="8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>
      <c r="A823" s="8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>
      <c r="A824" s="8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>
      <c r="A825" s="8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>
      <c r="A826" s="8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>
      <c r="A827" s="8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>
      <c r="A828" s="8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>
      <c r="A829" s="8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>
      <c r="A830" s="8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>
      <c r="A831" s="8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>
      <c r="A832" s="8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>
      <c r="A833" s="8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>
      <c r="A834" s="8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>
      <c r="A835" s="8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>
      <c r="A836" s="8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>
      <c r="A837" s="8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>
      <c r="A838" s="8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>
      <c r="A839" s="8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>
      <c r="A840" s="8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>
      <c r="A841" s="8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>
      <c r="A842" s="8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>
      <c r="A843" s="8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>
      <c r="A844" s="8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>
      <c r="A845" s="8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>
      <c r="A846" s="8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>
      <c r="A847" s="8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>
      <c r="A848" s="8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>
      <c r="A849" s="8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>
      <c r="A850" s="8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>
      <c r="A851" s="8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>
      <c r="A852" s="8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>
      <c r="A853" s="8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>
      <c r="A854" s="8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>
      <c r="A855" s="8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>
      <c r="A856" s="8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>
      <c r="A857" s="8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>
      <c r="A858" s="8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>
      <c r="A859" s="8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>
      <c r="A860" s="8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>
      <c r="A861" s="8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>
      <c r="A862" s="8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>
      <c r="A863" s="8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>
      <c r="A864" s="8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>
      <c r="A865" s="8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>
      <c r="A866" s="8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>
      <c r="A867" s="8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>
      <c r="A868" s="8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>
      <c r="A869" s="8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>
      <c r="A870" s="8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>
      <c r="A871" s="8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>
      <c r="A872" s="8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>
      <c r="A873" s="8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>
      <c r="A874" s="8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>
      <c r="A875" s="8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>
      <c r="A876" s="8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>
      <c r="A877" s="8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>
      <c r="A878" s="8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>
      <c r="A879" s="8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>
      <c r="A880" s="8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>
      <c r="A881" s="8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>
      <c r="A882" s="8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>
      <c r="A883" s="8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>
      <c r="A884" s="8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>
      <c r="A885" s="8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>
      <c r="A886" s="8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>
      <c r="A887" s="8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>
      <c r="A888" s="8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>
      <c r="A889" s="8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>
      <c r="A890" s="8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>
      <c r="A891" s="8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>
      <c r="A892" s="8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>
      <c r="A893" s="8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>
      <c r="A894" s="8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>
      <c r="A895" s="8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>
      <c r="A896" s="8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>
      <c r="A897" s="8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>
      <c r="A898" s="8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>
      <c r="A899" s="8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>
      <c r="A900" s="8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>
      <c r="A901" s="8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>
      <c r="A902" s="8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>
      <c r="A903" s="8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>
      <c r="A904" s="8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>
      <c r="A905" s="8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>
      <c r="A906" s="8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>
      <c r="A907" s="8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>
      <c r="A908" s="8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>
      <c r="A909" s="8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>
      <c r="A910" s="8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>
      <c r="A911" s="8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>
      <c r="A912" s="8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>
      <c r="A913" s="8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>
      <c r="A914" s="8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>
      <c r="A915" s="8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>
      <c r="A916" s="8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>
      <c r="A917" s="8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>
      <c r="A918" s="8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>
      <c r="A919" s="8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>
      <c r="A920" s="8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>
      <c r="A921" s="8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>
      <c r="A922" s="8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>
      <c r="A923" s="8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>
      <c r="A924" s="8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>
      <c r="A925" s="8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>
      <c r="A926" s="8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>
      <c r="A927" s="8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>
      <c r="A928" s="8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>
      <c r="A929" s="8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>
      <c r="A930" s="8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>
      <c r="A931" s="8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>
      <c r="A932" s="8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>
      <c r="A933" s="8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>
      <c r="A934" s="8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>
      <c r="A935" s="8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>
      <c r="A936" s="8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>
      <c r="A937" s="8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>
      <c r="A938" s="8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>
      <c r="A939" s="8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>
      <c r="A940" s="8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>
      <c r="A941" s="8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>
      <c r="A942" s="8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>
      <c r="A943" s="8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>
      <c r="A944" s="8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>
      <c r="A945" s="8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>
      <c r="A946" s="8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>
      <c r="A947" s="8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>
      <c r="A948" s="8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>
      <c r="A949" s="8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>
      <c r="A950" s="8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>
      <c r="A951" s="8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>
      <c r="A952" s="8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>
      <c r="A953" s="8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>
      <c r="A954" s="8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>
      <c r="A955" s="8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>
      <c r="A956" s="8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>
      <c r="A957" s="8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>
      <c r="A958" s="8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>
      <c r="A959" s="8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>
      <c r="A960" s="8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>
      <c r="A961" s="8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>
      <c r="A962" s="8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>
      <c r="A963" s="8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>
      <c r="A964" s="8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>
      <c r="A965" s="8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>
      <c r="A966" s="8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>
      <c r="A967" s="8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>
      <c r="A968" s="8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>
      <c r="A969" s="8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>
      <c r="A970" s="8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>
      <c r="A971" s="8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>
      <c r="A972" s="8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>
      <c r="A973" s="8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>
      <c r="A974" s="8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>
      <c r="A975" s="8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>
      <c r="A976" s="8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>
      <c r="A977" s="8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>
      <c r="A978" s="8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>
      <c r="A979" s="8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>
      <c r="A980" s="8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>
      <c r="A981" s="8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>
      <c r="A982" s="8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>
      <c r="A983" s="8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>
      <c r="A984" s="8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>
      <c r="A985" s="8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>
      <c r="A986" s="8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>
      <c r="A987" s="8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>
      <c r="A988" s="8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>
      <c r="A989" s="8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>
      <c r="A990" s="8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>
      <c r="A991" s="8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>
      <c r="A992" s="8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>
      <c r="A993" s="8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>
      <c r="A994" s="8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>
      <c r="A995" s="8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>
      <c r="A996" s="8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>
      <c r="A997" s="8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>
      <c r="A998" s="8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>
      <c r="A999" s="8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>
      <c r="A1000" s="84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555"/>
  <sheetViews>
    <sheetView workbookViewId="0"/>
  </sheetViews>
  <sheetFormatPr defaultColWidth="12.6640625" defaultRowHeight="15.75" customHeight="1"/>
  <cols>
    <col min="1" max="1" width="12.21875" customWidth="1"/>
    <col min="2" max="2" width="22.21875" customWidth="1"/>
    <col min="3" max="3" width="16.21875" customWidth="1"/>
    <col min="4" max="4" width="10.44140625" customWidth="1"/>
    <col min="5" max="8" width="11.33203125" customWidth="1"/>
  </cols>
  <sheetData>
    <row r="1" spans="1:16" ht="27" customHeight="1">
      <c r="A1" s="85" t="s">
        <v>5</v>
      </c>
      <c r="B1" s="85" t="s">
        <v>1441</v>
      </c>
      <c r="C1" s="85" t="s">
        <v>1442</v>
      </c>
      <c r="D1" s="85" t="s">
        <v>1443</v>
      </c>
      <c r="E1" s="85" t="s">
        <v>1444</v>
      </c>
      <c r="F1" s="85" t="s">
        <v>1445</v>
      </c>
      <c r="G1" s="85" t="s">
        <v>1446</v>
      </c>
      <c r="H1" s="85" t="s">
        <v>1447</v>
      </c>
      <c r="I1" s="86"/>
      <c r="J1" s="86"/>
      <c r="K1" s="86"/>
      <c r="L1" s="86"/>
      <c r="M1" s="86"/>
      <c r="N1" s="86"/>
      <c r="O1" s="86"/>
      <c r="P1" s="86"/>
    </row>
    <row r="2" spans="1:16" ht="13.2">
      <c r="A2" s="87" t="s">
        <v>179</v>
      </c>
      <c r="B2" s="88" t="s">
        <v>177</v>
      </c>
      <c r="C2" s="89" t="s">
        <v>1448</v>
      </c>
      <c r="D2" s="89">
        <v>3499</v>
      </c>
      <c r="E2" s="89">
        <v>4999</v>
      </c>
      <c r="F2" s="89"/>
      <c r="G2" s="89"/>
      <c r="H2" s="89"/>
      <c r="I2" s="90"/>
      <c r="J2" s="90"/>
      <c r="K2" s="90"/>
      <c r="L2" s="90"/>
      <c r="M2" s="90"/>
      <c r="N2" s="90"/>
      <c r="O2" s="90"/>
      <c r="P2" s="90"/>
    </row>
    <row r="3" spans="1:16" ht="13.2">
      <c r="A3" s="87" t="s">
        <v>179</v>
      </c>
      <c r="B3" s="88" t="s">
        <v>524</v>
      </c>
      <c r="C3" s="89" t="s">
        <v>1448</v>
      </c>
      <c r="D3" s="89">
        <v>3499</v>
      </c>
      <c r="E3" s="89">
        <v>4999</v>
      </c>
      <c r="F3" s="89"/>
      <c r="G3" s="89"/>
      <c r="H3" s="89"/>
      <c r="I3" s="90"/>
      <c r="J3" s="90"/>
      <c r="K3" s="90"/>
      <c r="L3" s="90"/>
      <c r="M3" s="90"/>
      <c r="N3" s="90"/>
      <c r="O3" s="90"/>
      <c r="P3" s="90"/>
    </row>
    <row r="4" spans="1:16" ht="13.2">
      <c r="A4" s="87" t="s">
        <v>179</v>
      </c>
      <c r="B4" s="88" t="s">
        <v>934</v>
      </c>
      <c r="C4" s="89" t="s">
        <v>1448</v>
      </c>
      <c r="D4" s="89">
        <v>3499</v>
      </c>
      <c r="E4" s="89">
        <v>4999</v>
      </c>
      <c r="F4" s="89"/>
      <c r="G4" s="89"/>
      <c r="H4" s="89"/>
      <c r="I4" s="90"/>
      <c r="J4" s="90"/>
      <c r="K4" s="90"/>
      <c r="L4" s="90"/>
      <c r="M4" s="90"/>
      <c r="N4" s="90"/>
      <c r="O4" s="90"/>
      <c r="P4" s="90"/>
    </row>
    <row r="5" spans="1:16" ht="13.2">
      <c r="A5" s="87" t="s">
        <v>179</v>
      </c>
      <c r="B5" s="88" t="s">
        <v>931</v>
      </c>
      <c r="C5" s="89" t="s">
        <v>1448</v>
      </c>
      <c r="D5" s="89">
        <v>3499</v>
      </c>
      <c r="E5" s="89">
        <v>4999</v>
      </c>
      <c r="F5" s="89"/>
      <c r="G5" s="89"/>
      <c r="H5" s="89"/>
      <c r="I5" s="90"/>
      <c r="J5" s="90"/>
      <c r="K5" s="90"/>
      <c r="L5" s="90"/>
      <c r="M5" s="90"/>
      <c r="N5" s="90"/>
      <c r="O5" s="90"/>
      <c r="P5" s="90"/>
    </row>
    <row r="6" spans="1:16" ht="13.2">
      <c r="A6" s="87" t="s">
        <v>1449</v>
      </c>
      <c r="B6" s="88" t="s">
        <v>708</v>
      </c>
      <c r="C6" s="89" t="s">
        <v>1448</v>
      </c>
      <c r="D6" s="87">
        <v>2021</v>
      </c>
      <c r="E6" s="91">
        <v>3019.62</v>
      </c>
      <c r="F6" s="89"/>
      <c r="G6" s="87"/>
      <c r="H6" s="91"/>
      <c r="I6" s="90"/>
      <c r="J6" s="90"/>
      <c r="K6" s="90"/>
      <c r="L6" s="90"/>
      <c r="M6" s="90"/>
      <c r="N6" s="90"/>
      <c r="O6" s="90"/>
      <c r="P6" s="90"/>
    </row>
    <row r="7" spans="1:16" ht="13.2">
      <c r="A7" s="87" t="s">
        <v>1449</v>
      </c>
      <c r="B7" s="88" t="s">
        <v>806</v>
      </c>
      <c r="C7" s="89" t="s">
        <v>1448</v>
      </c>
      <c r="D7" s="87">
        <v>2021</v>
      </c>
      <c r="E7" s="91">
        <v>3019.62</v>
      </c>
      <c r="F7" s="89"/>
      <c r="G7" s="89"/>
      <c r="H7" s="89"/>
      <c r="I7" s="90"/>
      <c r="J7" s="90"/>
      <c r="K7" s="90"/>
      <c r="L7" s="90"/>
      <c r="M7" s="90"/>
      <c r="N7" s="90"/>
      <c r="O7" s="90"/>
      <c r="P7" s="90"/>
    </row>
    <row r="8" spans="1:16" ht="13.2">
      <c r="A8" s="87" t="s">
        <v>1450</v>
      </c>
      <c r="B8" s="88" t="s">
        <v>115</v>
      </c>
      <c r="C8" s="89" t="s">
        <v>1448</v>
      </c>
      <c r="D8" s="87">
        <v>2021</v>
      </c>
      <c r="E8" s="91">
        <v>3019.62</v>
      </c>
      <c r="F8" s="89"/>
      <c r="G8" s="89"/>
      <c r="H8" s="89"/>
      <c r="I8" s="90"/>
      <c r="J8" s="90"/>
      <c r="K8" s="90"/>
      <c r="L8" s="90"/>
      <c r="M8" s="90"/>
      <c r="N8" s="90"/>
      <c r="O8" s="90"/>
      <c r="P8" s="90"/>
    </row>
    <row r="9" spans="1:16" ht="13.2">
      <c r="A9" s="87" t="s">
        <v>1449</v>
      </c>
      <c r="B9" s="88" t="s">
        <v>600</v>
      </c>
      <c r="C9" s="87" t="s">
        <v>1451</v>
      </c>
      <c r="D9" s="87">
        <v>2021</v>
      </c>
      <c r="E9" s="89"/>
      <c r="F9" s="89"/>
      <c r="G9" s="89"/>
      <c r="H9" s="89"/>
      <c r="I9" s="90"/>
      <c r="J9" s="90"/>
      <c r="K9" s="90"/>
      <c r="L9" s="90"/>
      <c r="M9" s="90"/>
      <c r="N9" s="90"/>
      <c r="O9" s="90"/>
      <c r="P9" s="90"/>
    </row>
    <row r="10" spans="1:16" ht="13.2">
      <c r="A10" s="87" t="s">
        <v>1449</v>
      </c>
      <c r="B10" s="88" t="s">
        <v>1003</v>
      </c>
      <c r="C10" s="87" t="s">
        <v>1452</v>
      </c>
      <c r="D10" s="87" t="s">
        <v>1452</v>
      </c>
      <c r="E10" s="87" t="s">
        <v>1452</v>
      </c>
      <c r="F10" s="87" t="s">
        <v>1452</v>
      </c>
      <c r="G10" s="87" t="s">
        <v>1452</v>
      </c>
      <c r="H10" s="87" t="s">
        <v>1452</v>
      </c>
      <c r="I10" s="90"/>
      <c r="J10" s="90"/>
      <c r="K10" s="90"/>
      <c r="L10" s="90"/>
      <c r="M10" s="90"/>
      <c r="N10" s="90"/>
      <c r="O10" s="90"/>
      <c r="P10" s="90"/>
    </row>
    <row r="11" spans="1:16" ht="13.2">
      <c r="A11" s="87" t="s">
        <v>1449</v>
      </c>
      <c r="B11" s="88" t="s">
        <v>528</v>
      </c>
      <c r="C11" s="89" t="s">
        <v>1448</v>
      </c>
      <c r="D11" s="87">
        <v>2021</v>
      </c>
      <c r="E11" s="91">
        <v>3019.62</v>
      </c>
      <c r="F11" s="89"/>
      <c r="G11" s="89"/>
      <c r="H11" s="89"/>
      <c r="I11" s="90"/>
      <c r="J11" s="90"/>
      <c r="K11" s="90"/>
      <c r="L11" s="90"/>
      <c r="M11" s="90"/>
      <c r="N11" s="90"/>
      <c r="O11" s="90"/>
      <c r="P11" s="90"/>
    </row>
    <row r="12" spans="1:16" ht="13.2">
      <c r="A12" s="87" t="s">
        <v>1449</v>
      </c>
      <c r="B12" s="88" t="s">
        <v>208</v>
      </c>
      <c r="C12" s="89" t="s">
        <v>1448</v>
      </c>
      <c r="D12" s="87">
        <v>2021</v>
      </c>
      <c r="E12" s="91">
        <v>3019.62</v>
      </c>
      <c r="F12" s="89"/>
      <c r="G12" s="89"/>
      <c r="H12" s="89"/>
      <c r="I12" s="90"/>
      <c r="J12" s="90"/>
      <c r="K12" s="90"/>
      <c r="L12" s="90"/>
      <c r="M12" s="90"/>
      <c r="N12" s="90"/>
      <c r="O12" s="90"/>
      <c r="P12" s="90"/>
    </row>
    <row r="13" spans="1:16" ht="13.2">
      <c r="A13" s="87" t="s">
        <v>1450</v>
      </c>
      <c r="B13" s="88" t="s">
        <v>534</v>
      </c>
      <c r="C13" s="87" t="s">
        <v>1453</v>
      </c>
      <c r="D13" s="89">
        <v>2021</v>
      </c>
      <c r="E13" s="89">
        <v>3020</v>
      </c>
      <c r="F13" s="89">
        <v>4070</v>
      </c>
      <c r="G13" s="89"/>
      <c r="H13" s="89"/>
      <c r="I13" s="90"/>
      <c r="J13" s="90"/>
      <c r="K13" s="90"/>
      <c r="L13" s="90"/>
      <c r="M13" s="90"/>
      <c r="N13" s="90"/>
      <c r="O13" s="90"/>
      <c r="P13" s="90"/>
    </row>
    <row r="14" spans="1:16" ht="13.2">
      <c r="A14" s="87" t="s">
        <v>1450</v>
      </c>
      <c r="B14" s="88" t="s">
        <v>558</v>
      </c>
      <c r="C14" s="87" t="s">
        <v>1453</v>
      </c>
      <c r="D14" s="89">
        <v>2021</v>
      </c>
      <c r="E14" s="89">
        <v>3020</v>
      </c>
      <c r="F14" s="89">
        <v>4070</v>
      </c>
      <c r="G14" s="89"/>
      <c r="H14" s="89"/>
      <c r="I14" s="90"/>
      <c r="J14" s="90"/>
      <c r="K14" s="90"/>
      <c r="L14" s="90"/>
      <c r="M14" s="90"/>
      <c r="N14" s="90"/>
      <c r="O14" s="90"/>
      <c r="P14" s="90"/>
    </row>
    <row r="15" spans="1:16" ht="13.2">
      <c r="A15" s="87" t="s">
        <v>1450</v>
      </c>
      <c r="B15" s="88" t="s">
        <v>575</v>
      </c>
      <c r="C15" s="87" t="s">
        <v>1453</v>
      </c>
      <c r="D15" s="89">
        <v>2021</v>
      </c>
      <c r="E15" s="89">
        <v>3020</v>
      </c>
      <c r="F15" s="89">
        <v>4070</v>
      </c>
      <c r="G15" s="89"/>
      <c r="H15" s="89"/>
      <c r="I15" s="90"/>
      <c r="J15" s="90"/>
      <c r="K15" s="90"/>
      <c r="L15" s="90"/>
      <c r="M15" s="90"/>
      <c r="N15" s="90"/>
      <c r="O15" s="90"/>
      <c r="P15" s="90"/>
    </row>
    <row r="16" spans="1:16" ht="13.2">
      <c r="A16" s="87" t="s">
        <v>1450</v>
      </c>
      <c r="B16" s="88" t="s">
        <v>659</v>
      </c>
      <c r="C16" s="87" t="s">
        <v>1453</v>
      </c>
      <c r="D16" s="89">
        <v>2021</v>
      </c>
      <c r="E16" s="89">
        <v>3020</v>
      </c>
      <c r="F16" s="89">
        <v>4070</v>
      </c>
      <c r="G16" s="89"/>
      <c r="H16" s="89"/>
      <c r="I16" s="90"/>
      <c r="J16" s="90"/>
      <c r="K16" s="90"/>
      <c r="L16" s="90"/>
      <c r="M16" s="90"/>
      <c r="N16" s="90"/>
      <c r="O16" s="90"/>
      <c r="P16" s="90"/>
    </row>
    <row r="17" spans="1:16" ht="13.2">
      <c r="A17" s="87" t="s">
        <v>1450</v>
      </c>
      <c r="B17" s="88" t="s">
        <v>704</v>
      </c>
      <c r="C17" s="87" t="s">
        <v>1454</v>
      </c>
      <c r="D17" s="89">
        <v>2021</v>
      </c>
      <c r="E17" s="89">
        <v>3020</v>
      </c>
      <c r="F17" s="89">
        <v>4070</v>
      </c>
      <c r="G17" s="89"/>
      <c r="H17" s="89"/>
      <c r="I17" s="90"/>
      <c r="J17" s="90"/>
      <c r="K17" s="90"/>
      <c r="L17" s="90"/>
      <c r="M17" s="90"/>
      <c r="N17" s="90"/>
      <c r="O17" s="90"/>
      <c r="P17" s="90"/>
    </row>
    <row r="18" spans="1:16" ht="13.2">
      <c r="A18" s="87" t="s">
        <v>1450</v>
      </c>
      <c r="B18" s="88" t="s">
        <v>764</v>
      </c>
      <c r="C18" s="87" t="s">
        <v>1454</v>
      </c>
      <c r="D18" s="89">
        <v>2021</v>
      </c>
      <c r="E18" s="89">
        <v>3020</v>
      </c>
      <c r="F18" s="89">
        <v>4070</v>
      </c>
      <c r="G18" s="89"/>
      <c r="H18" s="89"/>
      <c r="I18" s="90"/>
      <c r="J18" s="90"/>
      <c r="K18" s="90"/>
      <c r="L18" s="90"/>
      <c r="M18" s="90"/>
      <c r="N18" s="90"/>
      <c r="O18" s="90"/>
      <c r="P18" s="90"/>
    </row>
    <row r="19" spans="1:16" ht="13.2">
      <c r="A19" s="87" t="s">
        <v>41</v>
      </c>
      <c r="B19" s="88" t="s">
        <v>38</v>
      </c>
      <c r="C19" s="87" t="s">
        <v>1453</v>
      </c>
      <c r="D19" s="87">
        <v>1307</v>
      </c>
      <c r="E19" s="87">
        <v>1964</v>
      </c>
      <c r="F19" s="87">
        <v>2620</v>
      </c>
      <c r="G19" s="87"/>
      <c r="H19" s="87"/>
      <c r="I19" s="90"/>
      <c r="J19" s="90"/>
      <c r="K19" s="90"/>
      <c r="L19" s="90"/>
      <c r="M19" s="90"/>
      <c r="N19" s="90"/>
      <c r="O19" s="90"/>
      <c r="P19" s="90"/>
    </row>
    <row r="20" spans="1:16" ht="13.2">
      <c r="A20" s="87" t="s">
        <v>41</v>
      </c>
      <c r="B20" s="88" t="s">
        <v>109</v>
      </c>
      <c r="C20" s="87" t="s">
        <v>1453</v>
      </c>
      <c r="D20" s="87">
        <v>1307</v>
      </c>
      <c r="E20" s="87">
        <v>1964</v>
      </c>
      <c r="F20" s="87">
        <v>2620</v>
      </c>
      <c r="G20" s="87"/>
      <c r="H20" s="87"/>
      <c r="I20" s="90"/>
      <c r="J20" s="90"/>
      <c r="K20" s="90"/>
      <c r="L20" s="90"/>
      <c r="M20" s="90"/>
      <c r="N20" s="90"/>
      <c r="O20" s="90"/>
      <c r="P20" s="90"/>
    </row>
    <row r="21" spans="1:16" ht="13.2">
      <c r="A21" s="87" t="s">
        <v>41</v>
      </c>
      <c r="B21" s="88" t="s">
        <v>134</v>
      </c>
      <c r="C21" s="87" t="s">
        <v>1453</v>
      </c>
      <c r="D21" s="87">
        <v>1307</v>
      </c>
      <c r="E21" s="87">
        <v>1964</v>
      </c>
      <c r="F21" s="87">
        <v>2620</v>
      </c>
      <c r="G21" s="87"/>
      <c r="H21" s="87"/>
      <c r="I21" s="90"/>
      <c r="J21" s="90"/>
      <c r="K21" s="90"/>
      <c r="L21" s="90"/>
      <c r="M21" s="90"/>
      <c r="N21" s="90"/>
      <c r="O21" s="90"/>
      <c r="P21" s="90"/>
    </row>
    <row r="22" spans="1:16" ht="13.2">
      <c r="A22" s="87" t="s">
        <v>41</v>
      </c>
      <c r="B22" s="88" t="s">
        <v>141</v>
      </c>
      <c r="C22" s="87" t="s">
        <v>1453</v>
      </c>
      <c r="D22" s="87">
        <v>1307</v>
      </c>
      <c r="E22" s="87">
        <v>1964</v>
      </c>
      <c r="F22" s="87">
        <v>2620</v>
      </c>
      <c r="G22" s="87"/>
      <c r="H22" s="87"/>
      <c r="I22" s="90"/>
      <c r="J22" s="90"/>
      <c r="K22" s="90"/>
      <c r="L22" s="90"/>
      <c r="M22" s="90"/>
      <c r="N22" s="90"/>
      <c r="O22" s="90"/>
      <c r="P22" s="90"/>
    </row>
    <row r="23" spans="1:16" ht="13.2">
      <c r="A23" s="87" t="s">
        <v>41</v>
      </c>
      <c r="B23" s="88" t="s">
        <v>156</v>
      </c>
      <c r="C23" s="87" t="s">
        <v>1453</v>
      </c>
      <c r="D23" s="87">
        <v>1307</v>
      </c>
      <c r="E23" s="87">
        <v>1964</v>
      </c>
      <c r="F23" s="87">
        <v>2620</v>
      </c>
      <c r="G23" s="87"/>
      <c r="H23" s="87"/>
      <c r="I23" s="90"/>
      <c r="J23" s="90"/>
      <c r="K23" s="90"/>
      <c r="L23" s="90"/>
      <c r="M23" s="90"/>
      <c r="N23" s="90"/>
      <c r="O23" s="90"/>
      <c r="P23" s="90"/>
    </row>
    <row r="24" spans="1:16" ht="13.2">
      <c r="A24" s="87" t="s">
        <v>41</v>
      </c>
      <c r="B24" s="88" t="s">
        <v>160</v>
      </c>
      <c r="C24" s="87" t="s">
        <v>1453</v>
      </c>
      <c r="D24" s="87">
        <v>1307</v>
      </c>
      <c r="E24" s="87">
        <v>1964</v>
      </c>
      <c r="F24" s="87">
        <v>2620</v>
      </c>
      <c r="G24" s="87"/>
      <c r="H24" s="87"/>
      <c r="I24" s="90"/>
      <c r="J24" s="90"/>
      <c r="K24" s="90"/>
      <c r="L24" s="90"/>
      <c r="M24" s="90"/>
      <c r="N24" s="90"/>
      <c r="O24" s="90"/>
      <c r="P24" s="90"/>
    </row>
    <row r="25" spans="1:16" ht="13.2">
      <c r="A25" s="87" t="s">
        <v>41</v>
      </c>
      <c r="B25" s="88" t="s">
        <v>168</v>
      </c>
      <c r="C25" s="87" t="s">
        <v>1453</v>
      </c>
      <c r="D25" s="87">
        <v>1307</v>
      </c>
      <c r="E25" s="87">
        <v>1964</v>
      </c>
      <c r="F25" s="87">
        <v>2620</v>
      </c>
      <c r="G25" s="87"/>
      <c r="H25" s="87"/>
      <c r="I25" s="90"/>
      <c r="J25" s="90"/>
      <c r="K25" s="90"/>
      <c r="L25" s="90"/>
      <c r="M25" s="90"/>
      <c r="N25" s="90"/>
      <c r="O25" s="90"/>
      <c r="P25" s="90"/>
    </row>
    <row r="26" spans="1:16" ht="13.2">
      <c r="A26" s="87" t="s">
        <v>41</v>
      </c>
      <c r="B26" s="88" t="s">
        <v>598</v>
      </c>
      <c r="C26" s="87" t="s">
        <v>1453</v>
      </c>
      <c r="D26" s="87">
        <v>1510</v>
      </c>
      <c r="E26" s="87">
        <v>2328</v>
      </c>
      <c r="F26" s="87">
        <v>3147</v>
      </c>
      <c r="G26" s="87"/>
      <c r="H26" s="87"/>
      <c r="I26" s="90"/>
      <c r="J26" s="90"/>
      <c r="K26" s="90"/>
      <c r="L26" s="90"/>
      <c r="M26" s="90"/>
      <c r="N26" s="90"/>
      <c r="O26" s="90"/>
      <c r="P26" s="90"/>
    </row>
    <row r="27" spans="1:16" ht="13.2">
      <c r="A27" s="87" t="s">
        <v>41</v>
      </c>
      <c r="B27" s="88" t="s">
        <v>613</v>
      </c>
      <c r="C27" s="87" t="s">
        <v>1453</v>
      </c>
      <c r="D27" s="87">
        <v>1510</v>
      </c>
      <c r="E27" s="87">
        <v>2328</v>
      </c>
      <c r="F27" s="87">
        <v>3147</v>
      </c>
      <c r="G27" s="87"/>
      <c r="H27" s="87"/>
      <c r="I27" s="90"/>
      <c r="J27" s="90"/>
      <c r="K27" s="90"/>
      <c r="L27" s="90"/>
      <c r="M27" s="90"/>
      <c r="N27" s="90"/>
      <c r="O27" s="90"/>
      <c r="P27" s="90"/>
    </row>
    <row r="28" spans="1:16" ht="13.2">
      <c r="A28" s="87" t="s">
        <v>41</v>
      </c>
      <c r="B28" s="88" t="s">
        <v>623</v>
      </c>
      <c r="C28" s="87" t="s">
        <v>1453</v>
      </c>
      <c r="D28" s="87">
        <v>1510</v>
      </c>
      <c r="E28" s="87">
        <v>2328</v>
      </c>
      <c r="F28" s="87">
        <v>3147</v>
      </c>
      <c r="G28" s="87"/>
      <c r="H28" s="87"/>
      <c r="I28" s="90"/>
      <c r="J28" s="90"/>
      <c r="K28" s="90"/>
      <c r="L28" s="90"/>
      <c r="M28" s="90"/>
      <c r="N28" s="90"/>
      <c r="O28" s="90"/>
      <c r="P28" s="90"/>
    </row>
    <row r="29" spans="1:16" ht="13.2">
      <c r="A29" s="87" t="s">
        <v>41</v>
      </c>
      <c r="B29" s="88" t="s">
        <v>625</v>
      </c>
      <c r="C29" s="87" t="s">
        <v>1453</v>
      </c>
      <c r="D29" s="87">
        <v>1510</v>
      </c>
      <c r="E29" s="87">
        <v>2328</v>
      </c>
      <c r="F29" s="87">
        <v>3147</v>
      </c>
      <c r="G29" s="87"/>
      <c r="H29" s="87"/>
      <c r="I29" s="90"/>
      <c r="J29" s="90"/>
      <c r="K29" s="90"/>
      <c r="L29" s="90"/>
      <c r="M29" s="90"/>
      <c r="N29" s="90"/>
      <c r="O29" s="90"/>
      <c r="P29" s="90"/>
    </row>
    <row r="30" spans="1:16" ht="13.2">
      <c r="A30" s="87" t="s">
        <v>41</v>
      </c>
      <c r="B30" s="88" t="s">
        <v>631</v>
      </c>
      <c r="C30" s="87" t="s">
        <v>1453</v>
      </c>
      <c r="D30" s="87"/>
      <c r="E30" s="87"/>
      <c r="F30" s="87"/>
      <c r="G30" s="87"/>
      <c r="H30" s="87"/>
      <c r="I30" s="90"/>
      <c r="J30" s="90"/>
      <c r="K30" s="90"/>
      <c r="L30" s="90"/>
      <c r="M30" s="90"/>
      <c r="N30" s="90"/>
      <c r="O30" s="90"/>
      <c r="P30" s="90"/>
    </row>
    <row r="31" spans="1:16" ht="13.2">
      <c r="A31" s="87" t="s">
        <v>41</v>
      </c>
      <c r="B31" s="88" t="s">
        <v>632</v>
      </c>
      <c r="C31" s="87" t="s">
        <v>1453</v>
      </c>
      <c r="D31" s="87"/>
      <c r="E31" s="87"/>
      <c r="F31" s="87"/>
      <c r="G31" s="87"/>
      <c r="H31" s="87"/>
      <c r="I31" s="90"/>
      <c r="J31" s="90"/>
      <c r="K31" s="90"/>
      <c r="L31" s="90"/>
      <c r="M31" s="90"/>
      <c r="N31" s="90"/>
      <c r="O31" s="90"/>
      <c r="P31" s="90"/>
    </row>
    <row r="32" spans="1:16" ht="13.2">
      <c r="A32" s="87" t="s">
        <v>41</v>
      </c>
      <c r="B32" s="88" t="s">
        <v>643</v>
      </c>
      <c r="C32" s="87" t="s">
        <v>1453</v>
      </c>
      <c r="D32" s="87"/>
      <c r="E32" s="87"/>
      <c r="F32" s="87"/>
      <c r="G32" s="87"/>
      <c r="H32" s="87"/>
      <c r="I32" s="90"/>
      <c r="J32" s="90"/>
      <c r="K32" s="90"/>
      <c r="L32" s="90"/>
      <c r="M32" s="90"/>
      <c r="N32" s="90"/>
      <c r="O32" s="90"/>
      <c r="P32" s="90"/>
    </row>
    <row r="33" spans="1:16" ht="13.2">
      <c r="A33" s="87" t="s">
        <v>41</v>
      </c>
      <c r="B33" s="88" t="s">
        <v>646</v>
      </c>
      <c r="C33" s="87" t="s">
        <v>1453</v>
      </c>
      <c r="D33" s="87"/>
      <c r="E33" s="87"/>
      <c r="F33" s="87"/>
      <c r="G33" s="87"/>
      <c r="H33" s="87"/>
      <c r="I33" s="90"/>
      <c r="J33" s="90"/>
      <c r="K33" s="90"/>
      <c r="L33" s="90"/>
      <c r="M33" s="90"/>
      <c r="N33" s="90"/>
      <c r="O33" s="90"/>
      <c r="P33" s="90"/>
    </row>
    <row r="34" spans="1:16" ht="13.2">
      <c r="A34" s="87" t="s">
        <v>41</v>
      </c>
      <c r="B34" s="88" t="s">
        <v>650</v>
      </c>
      <c r="C34" s="87" t="s">
        <v>1453</v>
      </c>
      <c r="D34" s="87"/>
      <c r="E34" s="87"/>
      <c r="F34" s="87"/>
      <c r="G34" s="87"/>
      <c r="H34" s="87"/>
      <c r="I34" s="90"/>
      <c r="J34" s="90"/>
      <c r="K34" s="90"/>
      <c r="L34" s="90"/>
      <c r="M34" s="90"/>
      <c r="N34" s="90"/>
      <c r="O34" s="90"/>
      <c r="P34" s="90"/>
    </row>
    <row r="35" spans="1:16" ht="13.2">
      <c r="A35" s="87" t="s">
        <v>41</v>
      </c>
      <c r="B35" s="88" t="s">
        <v>841</v>
      </c>
      <c r="C35" s="87" t="s">
        <v>1453</v>
      </c>
      <c r="D35" s="87">
        <v>1510</v>
      </c>
      <c r="E35" s="87">
        <v>2328</v>
      </c>
      <c r="F35" s="87">
        <v>3147</v>
      </c>
      <c r="G35" s="87"/>
      <c r="H35" s="87"/>
      <c r="I35" s="90"/>
      <c r="J35" s="90"/>
      <c r="K35" s="90"/>
      <c r="L35" s="90"/>
      <c r="M35" s="90"/>
      <c r="N35" s="90"/>
      <c r="O35" s="90"/>
      <c r="P35" s="90"/>
    </row>
    <row r="36" spans="1:16" ht="13.2">
      <c r="A36" s="87" t="s">
        <v>41</v>
      </c>
      <c r="B36" s="88" t="s">
        <v>856</v>
      </c>
      <c r="C36" s="87" t="s">
        <v>1453</v>
      </c>
      <c r="D36" s="87">
        <v>1510</v>
      </c>
      <c r="E36" s="87">
        <v>2328</v>
      </c>
      <c r="F36" s="87">
        <v>3147</v>
      </c>
      <c r="G36" s="87"/>
      <c r="H36" s="87"/>
      <c r="I36" s="90"/>
      <c r="J36" s="90"/>
      <c r="K36" s="90"/>
      <c r="L36" s="90"/>
      <c r="M36" s="90"/>
      <c r="N36" s="90"/>
      <c r="O36" s="90"/>
      <c r="P36" s="90"/>
    </row>
    <row r="37" spans="1:16" ht="13.2">
      <c r="A37" s="87" t="s">
        <v>41</v>
      </c>
      <c r="B37" s="88" t="s">
        <v>858</v>
      </c>
      <c r="C37" s="87" t="s">
        <v>1453</v>
      </c>
      <c r="D37" s="87">
        <v>1510</v>
      </c>
      <c r="E37" s="87">
        <v>2328</v>
      </c>
      <c r="F37" s="87">
        <v>3147</v>
      </c>
      <c r="G37" s="87"/>
      <c r="H37" s="87"/>
      <c r="I37" s="90"/>
      <c r="J37" s="90"/>
      <c r="K37" s="90"/>
      <c r="L37" s="90"/>
      <c r="M37" s="90"/>
      <c r="N37" s="90"/>
      <c r="O37" s="90"/>
      <c r="P37" s="90"/>
    </row>
    <row r="38" spans="1:16" ht="13.2">
      <c r="A38" s="87" t="s">
        <v>41</v>
      </c>
      <c r="B38" s="88" t="s">
        <v>878</v>
      </c>
      <c r="C38" s="87" t="s">
        <v>1453</v>
      </c>
      <c r="D38" s="87">
        <v>1510</v>
      </c>
      <c r="E38" s="87">
        <v>2328</v>
      </c>
      <c r="F38" s="87">
        <v>3147</v>
      </c>
      <c r="G38" s="87"/>
      <c r="H38" s="87"/>
      <c r="I38" s="90"/>
      <c r="J38" s="90"/>
      <c r="K38" s="90"/>
      <c r="L38" s="90"/>
      <c r="M38" s="90"/>
      <c r="N38" s="90"/>
      <c r="O38" s="90"/>
      <c r="P38" s="90"/>
    </row>
    <row r="39" spans="1:16" ht="13.2">
      <c r="A39" s="87" t="s">
        <v>41</v>
      </c>
      <c r="B39" s="88" t="s">
        <v>889</v>
      </c>
      <c r="C39" s="87" t="s">
        <v>1453</v>
      </c>
      <c r="D39" s="87">
        <v>1510</v>
      </c>
      <c r="E39" s="87">
        <v>2328</v>
      </c>
      <c r="F39" s="87">
        <v>3147</v>
      </c>
      <c r="G39" s="87"/>
      <c r="H39" s="87"/>
      <c r="I39" s="90"/>
      <c r="J39" s="90"/>
      <c r="K39" s="90"/>
      <c r="L39" s="90"/>
      <c r="M39" s="90"/>
      <c r="N39" s="90"/>
      <c r="O39" s="90"/>
      <c r="P39" s="90"/>
    </row>
    <row r="40" spans="1:16" ht="13.2">
      <c r="A40" s="87" t="s">
        <v>41</v>
      </c>
      <c r="B40" s="88" t="s">
        <v>900</v>
      </c>
      <c r="C40" s="87" t="s">
        <v>1453</v>
      </c>
      <c r="D40" s="87">
        <v>1510</v>
      </c>
      <c r="E40" s="87">
        <v>2328</v>
      </c>
      <c r="F40" s="87">
        <v>3147</v>
      </c>
      <c r="G40" s="87"/>
      <c r="H40" s="87"/>
      <c r="I40" s="90"/>
      <c r="J40" s="90"/>
      <c r="K40" s="90"/>
      <c r="L40" s="90"/>
      <c r="M40" s="90"/>
      <c r="N40" s="90"/>
      <c r="O40" s="90"/>
      <c r="P40" s="90"/>
    </row>
    <row r="41" spans="1:16" ht="13.2">
      <c r="A41" s="87" t="s">
        <v>41</v>
      </c>
      <c r="B41" s="88" t="s">
        <v>909</v>
      </c>
      <c r="C41" s="87" t="s">
        <v>1453</v>
      </c>
      <c r="D41" s="87">
        <v>1510</v>
      </c>
      <c r="E41" s="87">
        <v>2328</v>
      </c>
      <c r="F41" s="87">
        <v>3147</v>
      </c>
      <c r="G41" s="87"/>
      <c r="H41" s="87"/>
      <c r="I41" s="90"/>
      <c r="J41" s="90"/>
      <c r="K41" s="90"/>
      <c r="L41" s="90"/>
      <c r="M41" s="90"/>
      <c r="N41" s="90"/>
      <c r="O41" s="90"/>
      <c r="P41" s="90"/>
    </row>
    <row r="42" spans="1:16" ht="13.2">
      <c r="A42" s="87" t="s">
        <v>41</v>
      </c>
      <c r="B42" s="88" t="s">
        <v>922</v>
      </c>
      <c r="C42" s="87" t="s">
        <v>1453</v>
      </c>
      <c r="D42" s="87">
        <v>1510</v>
      </c>
      <c r="E42" s="87">
        <v>2328</v>
      </c>
      <c r="F42" s="87">
        <v>3147</v>
      </c>
      <c r="G42" s="87">
        <v>4823</v>
      </c>
      <c r="H42" s="87">
        <v>5970</v>
      </c>
      <c r="I42" s="90"/>
      <c r="J42" s="90"/>
      <c r="K42" s="90"/>
      <c r="L42" s="90"/>
      <c r="M42" s="90"/>
      <c r="N42" s="90"/>
      <c r="O42" s="90"/>
      <c r="P42" s="90"/>
    </row>
    <row r="43" spans="1:16" ht="13.2">
      <c r="A43" s="87" t="s">
        <v>41</v>
      </c>
      <c r="B43" s="88" t="s">
        <v>1102</v>
      </c>
      <c r="C43" s="87" t="s">
        <v>1453</v>
      </c>
      <c r="D43" s="87">
        <v>1626</v>
      </c>
      <c r="E43" s="87">
        <v>2876</v>
      </c>
      <c r="F43" s="87">
        <v>4266</v>
      </c>
      <c r="G43" s="87">
        <v>5586</v>
      </c>
      <c r="H43" s="87">
        <v>6999</v>
      </c>
      <c r="I43" s="90"/>
      <c r="J43" s="90"/>
      <c r="K43" s="90"/>
      <c r="L43" s="90"/>
      <c r="M43" s="90"/>
      <c r="N43" s="90"/>
      <c r="O43" s="90"/>
      <c r="P43" s="90"/>
    </row>
    <row r="44" spans="1:16" ht="13.2">
      <c r="A44" s="87" t="s">
        <v>41</v>
      </c>
      <c r="B44" s="88" t="s">
        <v>1230</v>
      </c>
      <c r="C44" s="87" t="s">
        <v>1453</v>
      </c>
      <c r="D44" s="87">
        <v>1510</v>
      </c>
      <c r="E44" s="87">
        <v>2328</v>
      </c>
      <c r="F44" s="87">
        <v>3147</v>
      </c>
      <c r="G44" s="87"/>
      <c r="H44" s="87"/>
      <c r="I44" s="90"/>
      <c r="J44" s="90"/>
      <c r="K44" s="90"/>
      <c r="L44" s="90"/>
      <c r="M44" s="90"/>
      <c r="N44" s="90"/>
      <c r="O44" s="90"/>
      <c r="P44" s="90"/>
    </row>
    <row r="45" spans="1:16" ht="13.2">
      <c r="A45" s="87" t="s">
        <v>41</v>
      </c>
      <c r="B45" s="88" t="s">
        <v>1237</v>
      </c>
      <c r="C45" s="87" t="s">
        <v>1453</v>
      </c>
      <c r="D45" s="87">
        <v>1510</v>
      </c>
      <c r="E45" s="87">
        <v>2328</v>
      </c>
      <c r="F45" s="87">
        <v>3147</v>
      </c>
      <c r="G45" s="87"/>
      <c r="H45" s="87"/>
      <c r="I45" s="90"/>
      <c r="J45" s="90"/>
      <c r="K45" s="90"/>
      <c r="L45" s="90"/>
      <c r="M45" s="90"/>
      <c r="N45" s="90"/>
      <c r="O45" s="90"/>
      <c r="P45" s="90"/>
    </row>
    <row r="46" spans="1:16" ht="13.2">
      <c r="A46" s="87" t="s">
        <v>41</v>
      </c>
      <c r="B46" s="88" t="s">
        <v>1245</v>
      </c>
      <c r="C46" s="87" t="s">
        <v>1453</v>
      </c>
      <c r="D46" s="87">
        <v>1510</v>
      </c>
      <c r="E46" s="87">
        <v>2328</v>
      </c>
      <c r="F46" s="87">
        <v>3147</v>
      </c>
      <c r="G46" s="87"/>
      <c r="H46" s="87"/>
      <c r="I46" s="90"/>
      <c r="J46" s="90"/>
      <c r="K46" s="90"/>
      <c r="L46" s="90"/>
      <c r="M46" s="90"/>
      <c r="N46" s="90"/>
      <c r="O46" s="90"/>
      <c r="P46" s="90"/>
    </row>
    <row r="47" spans="1:16" ht="13.2">
      <c r="A47" s="87" t="s">
        <v>1455</v>
      </c>
      <c r="B47" s="88" t="s">
        <v>174</v>
      </c>
      <c r="C47" s="87" t="s">
        <v>1453</v>
      </c>
      <c r="D47" s="87">
        <v>939</v>
      </c>
      <c r="E47" s="87">
        <v>1698</v>
      </c>
      <c r="F47" s="87">
        <v>2385</v>
      </c>
      <c r="G47" s="87"/>
      <c r="H47" s="87"/>
      <c r="I47" s="90"/>
      <c r="J47" s="90"/>
      <c r="K47" s="90"/>
      <c r="L47" s="90"/>
      <c r="M47" s="90"/>
      <c r="N47" s="90"/>
      <c r="O47" s="90"/>
      <c r="P47" s="90"/>
    </row>
    <row r="48" spans="1:16" ht="13.2">
      <c r="A48" s="87" t="s">
        <v>1455</v>
      </c>
      <c r="B48" s="88" t="s">
        <v>162</v>
      </c>
      <c r="C48" s="87" t="s">
        <v>1453</v>
      </c>
      <c r="D48" s="87">
        <v>939</v>
      </c>
      <c r="E48" s="87">
        <v>1698</v>
      </c>
      <c r="F48" s="87">
        <v>2385</v>
      </c>
      <c r="G48" s="87"/>
      <c r="H48" s="87"/>
      <c r="I48" s="90"/>
      <c r="J48" s="90"/>
      <c r="K48" s="90"/>
      <c r="L48" s="90"/>
      <c r="M48" s="90"/>
      <c r="N48" s="90"/>
      <c r="O48" s="90"/>
      <c r="P48" s="90"/>
    </row>
    <row r="49" spans="1:16" ht="13.2">
      <c r="A49" s="87" t="s">
        <v>1455</v>
      </c>
      <c r="B49" s="88" t="s">
        <v>74</v>
      </c>
      <c r="C49" s="87" t="s">
        <v>1453</v>
      </c>
      <c r="D49" s="87">
        <v>939</v>
      </c>
      <c r="E49" s="87">
        <v>1698</v>
      </c>
      <c r="F49" s="87">
        <v>2385</v>
      </c>
      <c r="G49" s="87"/>
      <c r="H49" s="87"/>
      <c r="I49" s="90"/>
      <c r="J49" s="90"/>
      <c r="K49" s="90"/>
      <c r="L49" s="90"/>
      <c r="M49" s="90"/>
      <c r="N49" s="90"/>
      <c r="O49" s="90"/>
      <c r="P49" s="90"/>
    </row>
    <row r="50" spans="1:16" ht="13.2">
      <c r="A50" s="87" t="s">
        <v>1455</v>
      </c>
      <c r="B50" s="88" t="s">
        <v>694</v>
      </c>
      <c r="C50" s="87" t="s">
        <v>1453</v>
      </c>
      <c r="D50" s="87">
        <v>1519</v>
      </c>
      <c r="E50" s="87">
        <v>2299</v>
      </c>
      <c r="F50" s="87">
        <v>3199</v>
      </c>
      <c r="G50" s="87"/>
      <c r="H50" s="87"/>
      <c r="I50" s="90"/>
      <c r="J50" s="90"/>
      <c r="K50" s="90"/>
      <c r="L50" s="90"/>
      <c r="M50" s="90"/>
      <c r="N50" s="90"/>
      <c r="O50" s="90"/>
      <c r="P50" s="90"/>
    </row>
    <row r="51" spans="1:16" ht="13.2">
      <c r="A51" s="87" t="s">
        <v>1455</v>
      </c>
      <c r="B51" s="88" t="s">
        <v>58</v>
      </c>
      <c r="C51" s="87" t="s">
        <v>1453</v>
      </c>
      <c r="D51" s="87">
        <v>1519</v>
      </c>
      <c r="E51" s="87">
        <v>2299</v>
      </c>
      <c r="F51" s="87">
        <v>3199</v>
      </c>
      <c r="G51" s="87"/>
      <c r="H51" s="87"/>
      <c r="I51" s="90"/>
      <c r="J51" s="90"/>
      <c r="K51" s="90"/>
      <c r="L51" s="90"/>
      <c r="M51" s="90"/>
      <c r="N51" s="90"/>
      <c r="O51" s="90"/>
      <c r="P51" s="90"/>
    </row>
    <row r="52" spans="1:16" ht="13.2">
      <c r="A52" s="87" t="s">
        <v>1455</v>
      </c>
      <c r="B52" s="88" t="s">
        <v>101</v>
      </c>
      <c r="C52" s="87" t="s">
        <v>1453</v>
      </c>
      <c r="D52" s="87">
        <v>1519</v>
      </c>
      <c r="E52" s="87">
        <v>2299</v>
      </c>
      <c r="F52" s="87">
        <v>3199</v>
      </c>
      <c r="G52" s="87"/>
      <c r="H52" s="87"/>
      <c r="I52" s="90"/>
      <c r="J52" s="90"/>
      <c r="K52" s="90"/>
      <c r="L52" s="90"/>
      <c r="M52" s="90"/>
      <c r="N52" s="90"/>
      <c r="O52" s="90"/>
      <c r="P52" s="90"/>
    </row>
    <row r="53" spans="1:16" ht="13.2">
      <c r="B53" s="84"/>
    </row>
    <row r="54" spans="1:16" ht="13.2">
      <c r="A54" s="90"/>
      <c r="B54" s="92"/>
      <c r="C54" s="90"/>
      <c r="D54" s="90"/>
      <c r="E54" s="93"/>
      <c r="F54" s="93"/>
      <c r="G54" s="90"/>
      <c r="H54" s="90"/>
      <c r="I54" s="90"/>
      <c r="J54" s="90"/>
      <c r="K54" s="90"/>
      <c r="L54" s="90"/>
      <c r="M54" s="90"/>
      <c r="N54" s="90"/>
      <c r="O54" s="90"/>
      <c r="P54" s="90"/>
    </row>
    <row r="55" spans="1:16" ht="13.2">
      <c r="A55" s="90"/>
      <c r="B55" s="92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</row>
    <row r="56" spans="1:16" ht="13.2">
      <c r="A56" s="90"/>
      <c r="B56" s="92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</row>
    <row r="57" spans="1:16" ht="13.2">
      <c r="A57" s="90"/>
      <c r="B57" s="92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</row>
    <row r="58" spans="1:16" ht="13.2">
      <c r="A58" s="90"/>
      <c r="B58" s="92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</row>
    <row r="59" spans="1:16" ht="13.2">
      <c r="A59" s="90"/>
      <c r="B59" s="92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</row>
    <row r="60" spans="1:16" ht="13.2">
      <c r="A60" s="90"/>
      <c r="B60" s="92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</row>
    <row r="61" spans="1:16" ht="13.2">
      <c r="A61" s="90"/>
      <c r="B61" s="92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</row>
    <row r="62" spans="1:16" ht="13.2">
      <c r="A62" s="90"/>
      <c r="B62" s="92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</row>
    <row r="63" spans="1:16" ht="13.2">
      <c r="A63" s="90"/>
      <c r="B63" s="92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</row>
    <row r="64" spans="1:16" ht="13.2">
      <c r="A64" s="90"/>
      <c r="B64" s="92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</row>
    <row r="65" spans="1:16" ht="13.2">
      <c r="A65" s="90"/>
      <c r="B65" s="92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</row>
    <row r="66" spans="1:16" ht="13.2">
      <c r="A66" s="90"/>
      <c r="B66" s="92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</row>
    <row r="67" spans="1:16" ht="13.2">
      <c r="A67" s="90"/>
      <c r="B67" s="92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</row>
    <row r="68" spans="1:16" ht="13.2">
      <c r="A68" s="90"/>
      <c r="B68" s="92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</row>
    <row r="69" spans="1:16" ht="13.2">
      <c r="A69" s="90"/>
      <c r="B69" s="92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</row>
    <row r="70" spans="1:16" ht="13.2">
      <c r="A70" s="90"/>
      <c r="B70" s="92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</row>
    <row r="71" spans="1:16" ht="13.2">
      <c r="A71" s="90"/>
      <c r="B71" s="92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</row>
    <row r="72" spans="1:16" ht="13.2">
      <c r="A72" s="90"/>
      <c r="B72" s="92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</row>
    <row r="73" spans="1:16" ht="13.2">
      <c r="A73" s="90"/>
      <c r="B73" s="92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</row>
    <row r="74" spans="1:16" ht="13.2">
      <c r="A74" s="90"/>
      <c r="B74" s="92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</row>
    <row r="75" spans="1:16" ht="13.2">
      <c r="A75" s="90"/>
      <c r="B75" s="92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</row>
    <row r="76" spans="1:16" ht="13.2">
      <c r="A76" s="90"/>
      <c r="B76" s="92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</row>
    <row r="77" spans="1:16" ht="13.2">
      <c r="A77" s="90"/>
      <c r="B77" s="92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</row>
    <row r="78" spans="1:16" ht="13.2">
      <c r="A78" s="90"/>
      <c r="B78" s="92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</row>
    <row r="79" spans="1:16" ht="13.2">
      <c r="A79" s="90"/>
      <c r="B79" s="92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</row>
    <row r="80" spans="1:16" ht="13.2">
      <c r="A80" s="90"/>
      <c r="B80" s="92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</row>
    <row r="81" spans="1:16" ht="13.2">
      <c r="A81" s="90"/>
      <c r="B81" s="92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</row>
    <row r="82" spans="1:16" ht="13.2">
      <c r="A82" s="90"/>
      <c r="B82" s="92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</row>
    <row r="83" spans="1:16" ht="13.2">
      <c r="A83" s="90"/>
      <c r="B83" s="92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</row>
    <row r="84" spans="1:16" ht="13.2">
      <c r="A84" s="90"/>
      <c r="B84" s="92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</row>
    <row r="85" spans="1:16" ht="13.2">
      <c r="A85" s="90"/>
      <c r="B85" s="92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</row>
    <row r="86" spans="1:16" ht="13.2">
      <c r="A86" s="90"/>
      <c r="B86" s="92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</row>
    <row r="87" spans="1:16" ht="13.2">
      <c r="A87" s="90"/>
      <c r="B87" s="92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</row>
    <row r="88" spans="1:16" ht="13.2">
      <c r="A88" s="90"/>
      <c r="B88" s="92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</row>
    <row r="89" spans="1:16" ht="13.2">
      <c r="A89" s="90"/>
      <c r="B89" s="92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</row>
    <row r="90" spans="1:16" ht="13.2">
      <c r="A90" s="90"/>
      <c r="B90" s="92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</row>
    <row r="91" spans="1:16" ht="13.2">
      <c r="A91" s="90"/>
      <c r="B91" s="92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</row>
    <row r="92" spans="1:16" ht="13.2">
      <c r="A92" s="90"/>
      <c r="B92" s="92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</row>
    <row r="93" spans="1:16" ht="13.2">
      <c r="A93" s="90"/>
      <c r="B93" s="92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</row>
    <row r="94" spans="1:16" ht="13.2">
      <c r="A94" s="90"/>
      <c r="B94" s="92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</row>
    <row r="95" spans="1:16" ht="13.2">
      <c r="A95" s="90"/>
      <c r="B95" s="92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</row>
    <row r="96" spans="1:16" ht="13.2">
      <c r="A96" s="90"/>
      <c r="B96" s="92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</row>
    <row r="97" spans="1:16" ht="13.2">
      <c r="A97" s="90"/>
      <c r="B97" s="92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</row>
    <row r="98" spans="1:16" ht="13.2">
      <c r="A98" s="90"/>
      <c r="B98" s="92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</row>
    <row r="99" spans="1:16" ht="13.2">
      <c r="A99" s="90"/>
      <c r="B99" s="92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</row>
    <row r="100" spans="1:16" ht="13.2">
      <c r="A100" s="90"/>
      <c r="B100" s="92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</row>
    <row r="101" spans="1:16" ht="13.2">
      <c r="A101" s="90"/>
      <c r="B101" s="92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</row>
    <row r="102" spans="1:16" ht="13.2">
      <c r="A102" s="90"/>
      <c r="B102" s="92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</row>
    <row r="103" spans="1:16" ht="13.2">
      <c r="A103" s="90"/>
      <c r="B103" s="92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</row>
    <row r="104" spans="1:16" ht="13.2">
      <c r="A104" s="90"/>
      <c r="B104" s="92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</row>
    <row r="105" spans="1:16" ht="13.2">
      <c r="A105" s="90"/>
      <c r="B105" s="92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</row>
    <row r="106" spans="1:16" ht="13.2">
      <c r="A106" s="90"/>
      <c r="B106" s="92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</row>
    <row r="107" spans="1:16" ht="13.2">
      <c r="A107" s="90"/>
      <c r="B107" s="92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</row>
    <row r="108" spans="1:16" ht="13.2">
      <c r="A108" s="90"/>
      <c r="B108" s="92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</row>
    <row r="109" spans="1:16" ht="13.2">
      <c r="A109" s="90"/>
      <c r="B109" s="92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</row>
    <row r="110" spans="1:16" ht="13.2">
      <c r="A110" s="90"/>
      <c r="B110" s="92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</row>
    <row r="111" spans="1:16" ht="13.2">
      <c r="A111" s="90"/>
      <c r="B111" s="92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</row>
    <row r="112" spans="1:16" ht="13.2">
      <c r="A112" s="90"/>
      <c r="B112" s="92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</row>
    <row r="113" spans="1:16" ht="13.2">
      <c r="A113" s="90"/>
      <c r="B113" s="92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</row>
    <row r="114" spans="1:16" ht="13.2">
      <c r="A114" s="90"/>
      <c r="B114" s="92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</row>
    <row r="115" spans="1:16" ht="13.2">
      <c r="A115" s="90"/>
      <c r="B115" s="92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</row>
    <row r="116" spans="1:16" ht="13.2">
      <c r="A116" s="90"/>
      <c r="B116" s="92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</row>
    <row r="117" spans="1:16" ht="13.2">
      <c r="A117" s="90"/>
      <c r="B117" s="92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</row>
    <row r="118" spans="1:16" ht="13.2">
      <c r="A118" s="90"/>
      <c r="B118" s="92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</row>
    <row r="119" spans="1:16" ht="13.2">
      <c r="A119" s="90"/>
      <c r="B119" s="92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</row>
    <row r="120" spans="1:16" ht="13.2">
      <c r="A120" s="90"/>
      <c r="B120" s="92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</row>
    <row r="121" spans="1:16" ht="13.2">
      <c r="A121" s="90"/>
      <c r="B121" s="92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</row>
    <row r="122" spans="1:16" ht="13.2">
      <c r="A122" s="90"/>
      <c r="B122" s="92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</row>
    <row r="123" spans="1:16" ht="13.2">
      <c r="A123" s="90"/>
      <c r="B123" s="92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</row>
    <row r="124" spans="1:16" ht="13.2">
      <c r="A124" s="90"/>
      <c r="B124" s="92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</row>
    <row r="125" spans="1:16" ht="13.2">
      <c r="A125" s="90"/>
      <c r="B125" s="92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</row>
    <row r="126" spans="1:16" ht="13.2">
      <c r="A126" s="90"/>
      <c r="B126" s="92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</row>
    <row r="127" spans="1:16" ht="13.2">
      <c r="A127" s="90"/>
      <c r="B127" s="92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</row>
    <row r="128" spans="1:16" ht="13.2">
      <c r="A128" s="90"/>
      <c r="B128" s="92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</row>
    <row r="129" spans="1:16" ht="13.2">
      <c r="A129" s="90"/>
      <c r="B129" s="92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</row>
    <row r="130" spans="1:16" ht="13.2">
      <c r="A130" s="90"/>
      <c r="B130" s="92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</row>
    <row r="131" spans="1:16" ht="13.2">
      <c r="A131" s="90"/>
      <c r="B131" s="92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</row>
    <row r="132" spans="1:16" ht="13.2">
      <c r="A132" s="90"/>
      <c r="B132" s="92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</row>
    <row r="133" spans="1:16" ht="13.2">
      <c r="A133" s="90"/>
      <c r="B133" s="92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</row>
    <row r="134" spans="1:16" ht="13.2">
      <c r="A134" s="90"/>
      <c r="B134" s="92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</row>
    <row r="135" spans="1:16" ht="13.2">
      <c r="A135" s="90"/>
      <c r="B135" s="92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</row>
    <row r="136" spans="1:16" ht="13.2">
      <c r="A136" s="90"/>
      <c r="B136" s="92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</row>
    <row r="137" spans="1:16" ht="13.2">
      <c r="A137" s="90"/>
      <c r="B137" s="92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</row>
    <row r="138" spans="1:16" ht="13.2">
      <c r="A138" s="90"/>
      <c r="B138" s="92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</row>
    <row r="139" spans="1:16" ht="13.2">
      <c r="A139" s="90"/>
      <c r="B139" s="92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</row>
    <row r="140" spans="1:16" ht="13.2">
      <c r="A140" s="90"/>
      <c r="B140" s="92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</row>
    <row r="141" spans="1:16" ht="13.2">
      <c r="A141" s="90"/>
      <c r="B141" s="92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</row>
    <row r="142" spans="1:16" ht="13.2">
      <c r="A142" s="90"/>
      <c r="B142" s="92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</row>
    <row r="143" spans="1:16" ht="13.2">
      <c r="A143" s="90"/>
      <c r="B143" s="92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</row>
    <row r="144" spans="1:16" ht="13.2">
      <c r="A144" s="90"/>
      <c r="B144" s="92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</row>
    <row r="145" spans="1:16" ht="13.2">
      <c r="A145" s="90"/>
      <c r="B145" s="92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</row>
    <row r="146" spans="1:16" ht="13.2">
      <c r="A146" s="90"/>
      <c r="B146" s="92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</row>
    <row r="147" spans="1:16" ht="13.2">
      <c r="A147" s="90"/>
      <c r="B147" s="92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</row>
    <row r="148" spans="1:16" ht="13.2">
      <c r="A148" s="90"/>
      <c r="B148" s="92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</row>
    <row r="149" spans="1:16" ht="13.2">
      <c r="A149" s="90"/>
      <c r="B149" s="92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</row>
    <row r="150" spans="1:16" ht="13.2">
      <c r="A150" s="90"/>
      <c r="B150" s="92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</row>
    <row r="151" spans="1:16" ht="13.2">
      <c r="A151" s="90"/>
      <c r="B151" s="92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</row>
    <row r="152" spans="1:16" ht="13.2">
      <c r="A152" s="90"/>
      <c r="B152" s="92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</row>
    <row r="153" spans="1:16" ht="13.2">
      <c r="A153" s="90"/>
      <c r="B153" s="92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</row>
    <row r="154" spans="1:16" ht="13.2">
      <c r="A154" s="90"/>
      <c r="B154" s="92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</row>
    <row r="155" spans="1:16" ht="13.2">
      <c r="A155" s="90"/>
      <c r="B155" s="92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</row>
    <row r="156" spans="1:16" ht="13.2">
      <c r="A156" s="90"/>
      <c r="B156" s="92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</row>
    <row r="157" spans="1:16" ht="13.2">
      <c r="A157" s="90"/>
      <c r="B157" s="92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</row>
    <row r="158" spans="1:16" ht="13.2">
      <c r="A158" s="90"/>
      <c r="B158" s="92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</row>
    <row r="159" spans="1:16" ht="13.2">
      <c r="A159" s="90"/>
      <c r="B159" s="92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</row>
    <row r="160" spans="1:16" ht="13.2">
      <c r="A160" s="90"/>
      <c r="B160" s="92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</row>
    <row r="161" spans="1:16" ht="13.2">
      <c r="A161" s="90"/>
      <c r="B161" s="92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</row>
    <row r="162" spans="1:16" ht="13.2">
      <c r="A162" s="90"/>
      <c r="B162" s="92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</row>
    <row r="163" spans="1:16" ht="13.2">
      <c r="A163" s="90"/>
      <c r="B163" s="92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</row>
    <row r="164" spans="1:16" ht="13.2">
      <c r="A164" s="90"/>
      <c r="B164" s="92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</row>
    <row r="165" spans="1:16" ht="13.2">
      <c r="A165" s="90"/>
      <c r="B165" s="92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</row>
    <row r="166" spans="1:16" ht="13.2">
      <c r="A166" s="90"/>
      <c r="B166" s="92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</row>
    <row r="167" spans="1:16" ht="13.2">
      <c r="A167" s="90"/>
      <c r="B167" s="92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</row>
    <row r="168" spans="1:16" ht="13.2">
      <c r="A168" s="90"/>
      <c r="B168" s="92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</row>
    <row r="169" spans="1:16" ht="13.2">
      <c r="A169" s="90"/>
      <c r="B169" s="92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</row>
    <row r="170" spans="1:16" ht="13.2">
      <c r="A170" s="90"/>
      <c r="B170" s="92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</row>
    <row r="171" spans="1:16" ht="13.2">
      <c r="A171" s="90"/>
      <c r="B171" s="92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</row>
    <row r="172" spans="1:16" ht="13.2">
      <c r="A172" s="90"/>
      <c r="B172" s="92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</row>
    <row r="173" spans="1:16" ht="13.2">
      <c r="A173" s="90"/>
      <c r="B173" s="92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</row>
    <row r="174" spans="1:16" ht="13.2">
      <c r="A174" s="90"/>
      <c r="B174" s="92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</row>
    <row r="175" spans="1:16" ht="13.2">
      <c r="A175" s="90"/>
      <c r="B175" s="92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</row>
    <row r="176" spans="1:16" ht="13.2">
      <c r="A176" s="90"/>
      <c r="B176" s="92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</row>
    <row r="177" spans="1:16" ht="13.2">
      <c r="A177" s="90"/>
      <c r="B177" s="92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</row>
    <row r="178" spans="1:16" ht="13.2">
      <c r="A178" s="90"/>
      <c r="B178" s="92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</row>
    <row r="179" spans="1:16" ht="13.2">
      <c r="A179" s="90"/>
      <c r="B179" s="92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</row>
    <row r="180" spans="1:16" ht="13.2">
      <c r="A180" s="90"/>
      <c r="B180" s="92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</row>
    <row r="181" spans="1:16" ht="13.2">
      <c r="A181" s="90"/>
      <c r="B181" s="92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</row>
    <row r="182" spans="1:16" ht="13.2">
      <c r="A182" s="90"/>
      <c r="B182" s="92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</row>
    <row r="183" spans="1:16" ht="13.2">
      <c r="A183" s="90"/>
      <c r="B183" s="92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</row>
    <row r="184" spans="1:16" ht="13.2">
      <c r="A184" s="90"/>
      <c r="B184" s="92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</row>
    <row r="185" spans="1:16" ht="13.2">
      <c r="A185" s="90"/>
      <c r="B185" s="92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</row>
    <row r="186" spans="1:16" ht="13.2">
      <c r="A186" s="90"/>
      <c r="B186" s="92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</row>
    <row r="187" spans="1:16" ht="13.2">
      <c r="A187" s="90"/>
      <c r="B187" s="92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</row>
    <row r="188" spans="1:16" ht="13.2">
      <c r="A188" s="90"/>
      <c r="B188" s="92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</row>
    <row r="189" spans="1:16" ht="13.2">
      <c r="A189" s="90"/>
      <c r="B189" s="92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</row>
    <row r="190" spans="1:16" ht="13.2">
      <c r="A190" s="90"/>
      <c r="B190" s="92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</row>
    <row r="191" spans="1:16" ht="13.2">
      <c r="A191" s="90"/>
      <c r="B191" s="92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</row>
    <row r="192" spans="1:16" ht="13.2">
      <c r="A192" s="90"/>
      <c r="B192" s="92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</row>
    <row r="193" spans="1:16" ht="13.2">
      <c r="A193" s="90"/>
      <c r="B193" s="92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</row>
    <row r="194" spans="1:16" ht="13.2">
      <c r="A194" s="90"/>
      <c r="B194" s="92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</row>
    <row r="195" spans="1:16" ht="13.2">
      <c r="A195" s="90"/>
      <c r="B195" s="92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</row>
    <row r="196" spans="1:16" ht="13.2">
      <c r="A196" s="90"/>
      <c r="B196" s="92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</row>
    <row r="197" spans="1:16" ht="13.2">
      <c r="A197" s="90"/>
      <c r="B197" s="92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</row>
    <row r="198" spans="1:16" ht="13.2">
      <c r="A198" s="90"/>
      <c r="B198" s="92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</row>
    <row r="199" spans="1:16" ht="13.2">
      <c r="A199" s="90"/>
      <c r="B199" s="92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</row>
    <row r="200" spans="1:16" ht="13.2">
      <c r="A200" s="90"/>
      <c r="B200" s="92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</row>
    <row r="201" spans="1:16" ht="13.2">
      <c r="A201" s="90"/>
      <c r="B201" s="92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</row>
    <row r="202" spans="1:16" ht="13.2">
      <c r="A202" s="90"/>
      <c r="B202" s="92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</row>
    <row r="203" spans="1:16" ht="13.2">
      <c r="A203" s="90"/>
      <c r="B203" s="92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</row>
    <row r="204" spans="1:16" ht="13.2">
      <c r="A204" s="90"/>
      <c r="B204" s="92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</row>
    <row r="205" spans="1:16" ht="13.2">
      <c r="A205" s="90"/>
      <c r="B205" s="92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</row>
    <row r="206" spans="1:16" ht="13.2">
      <c r="A206" s="90"/>
      <c r="B206" s="92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</row>
    <row r="207" spans="1:16" ht="13.2">
      <c r="A207" s="90"/>
      <c r="B207" s="92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</row>
    <row r="208" spans="1:16" ht="13.2">
      <c r="A208" s="90"/>
      <c r="B208" s="92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</row>
    <row r="209" spans="1:16" ht="13.2">
      <c r="A209" s="90"/>
      <c r="B209" s="92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</row>
    <row r="210" spans="1:16" ht="13.2">
      <c r="A210" s="90"/>
      <c r="B210" s="92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</row>
    <row r="211" spans="1:16" ht="13.2">
      <c r="A211" s="90"/>
      <c r="B211" s="92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</row>
    <row r="212" spans="1:16" ht="13.2">
      <c r="A212" s="90"/>
      <c r="B212" s="92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</row>
    <row r="213" spans="1:16" ht="13.2">
      <c r="A213" s="90"/>
      <c r="B213" s="92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</row>
    <row r="214" spans="1:16" ht="13.2">
      <c r="A214" s="90"/>
      <c r="B214" s="92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</row>
    <row r="215" spans="1:16" ht="13.2">
      <c r="A215" s="90"/>
      <c r="B215" s="92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</row>
    <row r="216" spans="1:16" ht="13.2">
      <c r="A216" s="90"/>
      <c r="B216" s="92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</row>
    <row r="217" spans="1:16" ht="13.2">
      <c r="A217" s="90"/>
      <c r="B217" s="92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</row>
    <row r="218" spans="1:16" ht="13.2">
      <c r="A218" s="90"/>
      <c r="B218" s="92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</row>
    <row r="219" spans="1:16" ht="13.2">
      <c r="A219" s="90"/>
      <c r="B219" s="92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</row>
    <row r="220" spans="1:16" ht="13.2">
      <c r="A220" s="90"/>
      <c r="B220" s="92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</row>
    <row r="221" spans="1:16" ht="13.2">
      <c r="A221" s="90"/>
      <c r="B221" s="92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</row>
    <row r="222" spans="1:16" ht="13.2">
      <c r="A222" s="90"/>
      <c r="B222" s="92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</row>
    <row r="223" spans="1:16" ht="13.2">
      <c r="A223" s="90"/>
      <c r="B223" s="92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</row>
    <row r="224" spans="1:16" ht="13.2">
      <c r="A224" s="90"/>
      <c r="B224" s="92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</row>
    <row r="225" spans="1:16" ht="13.2">
      <c r="A225" s="90"/>
      <c r="B225" s="92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</row>
    <row r="226" spans="1:16" ht="13.2">
      <c r="A226" s="90"/>
      <c r="B226" s="92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</row>
    <row r="227" spans="1:16" ht="13.2">
      <c r="A227" s="90"/>
      <c r="B227" s="92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</row>
    <row r="228" spans="1:16" ht="13.2">
      <c r="A228" s="90"/>
      <c r="B228" s="92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</row>
    <row r="229" spans="1:16" ht="13.2">
      <c r="A229" s="90"/>
      <c r="B229" s="92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</row>
    <row r="230" spans="1:16" ht="13.2">
      <c r="A230" s="90"/>
      <c r="B230" s="92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</row>
    <row r="231" spans="1:16" ht="13.2">
      <c r="A231" s="90"/>
      <c r="B231" s="92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</row>
    <row r="232" spans="1:16" ht="13.2">
      <c r="A232" s="90"/>
      <c r="B232" s="92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</row>
    <row r="233" spans="1:16" ht="13.2">
      <c r="A233" s="90"/>
      <c r="B233" s="92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</row>
    <row r="234" spans="1:16" ht="13.2">
      <c r="A234" s="90"/>
      <c r="B234" s="92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</row>
    <row r="235" spans="1:16" ht="13.2">
      <c r="A235" s="90"/>
      <c r="B235" s="92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</row>
    <row r="236" spans="1:16" ht="13.2">
      <c r="A236" s="90"/>
      <c r="B236" s="92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</row>
    <row r="237" spans="1:16" ht="13.2">
      <c r="A237" s="90"/>
      <c r="B237" s="92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</row>
    <row r="238" spans="1:16" ht="13.2">
      <c r="A238" s="90"/>
      <c r="B238" s="92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</row>
    <row r="239" spans="1:16" ht="13.2">
      <c r="A239" s="90"/>
      <c r="B239" s="92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</row>
    <row r="240" spans="1:16" ht="13.2">
      <c r="A240" s="90"/>
      <c r="B240" s="92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</row>
    <row r="241" spans="1:16" ht="13.2">
      <c r="A241" s="90"/>
      <c r="B241" s="92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</row>
    <row r="242" spans="1:16" ht="13.2">
      <c r="A242" s="90"/>
      <c r="B242" s="92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</row>
    <row r="243" spans="1:16" ht="13.2">
      <c r="A243" s="90"/>
      <c r="B243" s="92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</row>
    <row r="244" spans="1:16" ht="13.2">
      <c r="A244" s="90"/>
      <c r="B244" s="92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</row>
    <row r="245" spans="1:16" ht="13.2">
      <c r="A245" s="90"/>
      <c r="B245" s="92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</row>
    <row r="246" spans="1:16" ht="13.2">
      <c r="A246" s="90"/>
      <c r="B246" s="92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</row>
    <row r="247" spans="1:16" ht="13.2">
      <c r="A247" s="90"/>
      <c r="B247" s="92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</row>
    <row r="248" spans="1:16" ht="13.2">
      <c r="A248" s="90"/>
      <c r="B248" s="92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</row>
    <row r="249" spans="1:16" ht="13.2">
      <c r="A249" s="90"/>
      <c r="B249" s="92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</row>
    <row r="250" spans="1:16" ht="13.2">
      <c r="A250" s="90"/>
      <c r="B250" s="92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</row>
    <row r="251" spans="1:16" ht="13.2">
      <c r="A251" s="90"/>
      <c r="B251" s="92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</row>
    <row r="252" spans="1:16" ht="13.2">
      <c r="A252" s="90"/>
      <c r="B252" s="92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</row>
    <row r="253" spans="1:16" ht="13.2">
      <c r="A253" s="90"/>
      <c r="B253" s="92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</row>
    <row r="254" spans="1:16" ht="13.2">
      <c r="A254" s="90"/>
      <c r="B254" s="92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</row>
    <row r="255" spans="1:16" ht="13.2">
      <c r="A255" s="90"/>
      <c r="B255" s="92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</row>
    <row r="256" spans="1:16" ht="13.2">
      <c r="A256" s="90"/>
      <c r="B256" s="92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</row>
    <row r="257" spans="1:16" ht="13.2">
      <c r="A257" s="90"/>
      <c r="B257" s="92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</row>
    <row r="258" spans="1:16" ht="13.2">
      <c r="A258" s="90"/>
      <c r="B258" s="92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</row>
    <row r="259" spans="1:16" ht="13.2">
      <c r="A259" s="90"/>
      <c r="B259" s="92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</row>
    <row r="260" spans="1:16" ht="13.2">
      <c r="A260" s="90"/>
      <c r="B260" s="92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</row>
    <row r="261" spans="1:16" ht="13.2">
      <c r="A261" s="90"/>
      <c r="B261" s="92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</row>
    <row r="262" spans="1:16" ht="13.2">
      <c r="A262" s="90"/>
      <c r="B262" s="92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</row>
    <row r="263" spans="1:16" ht="13.2">
      <c r="A263" s="90"/>
      <c r="B263" s="92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</row>
    <row r="264" spans="1:16" ht="13.2">
      <c r="A264" s="90"/>
      <c r="B264" s="92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</row>
    <row r="265" spans="1:16" ht="13.2">
      <c r="A265" s="90"/>
      <c r="B265" s="92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</row>
    <row r="266" spans="1:16" ht="13.2">
      <c r="A266" s="90"/>
      <c r="B266" s="92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</row>
    <row r="267" spans="1:16" ht="13.2">
      <c r="A267" s="90"/>
      <c r="B267" s="92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</row>
    <row r="268" spans="1:16" ht="13.2">
      <c r="A268" s="90"/>
      <c r="B268" s="92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</row>
    <row r="269" spans="1:16" ht="13.2">
      <c r="A269" s="90"/>
      <c r="B269" s="92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</row>
    <row r="270" spans="1:16" ht="13.2">
      <c r="A270" s="90"/>
      <c r="B270" s="92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</row>
    <row r="271" spans="1:16" ht="13.2">
      <c r="A271" s="90"/>
      <c r="B271" s="92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</row>
    <row r="272" spans="1:16" ht="13.2">
      <c r="A272" s="90"/>
      <c r="B272" s="92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</row>
    <row r="273" spans="1:16" ht="13.2">
      <c r="A273" s="90"/>
      <c r="B273" s="92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</row>
    <row r="274" spans="1:16" ht="13.2">
      <c r="A274" s="90"/>
      <c r="B274" s="92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</row>
    <row r="275" spans="1:16" ht="13.2">
      <c r="A275" s="90"/>
      <c r="B275" s="92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</row>
    <row r="276" spans="1:16" ht="13.2">
      <c r="A276" s="90"/>
      <c r="B276" s="92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</row>
    <row r="277" spans="1:16" ht="13.2">
      <c r="A277" s="90"/>
      <c r="B277" s="92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</row>
    <row r="278" spans="1:16" ht="13.2">
      <c r="A278" s="90"/>
      <c r="B278" s="92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</row>
    <row r="279" spans="1:16" ht="13.2">
      <c r="A279" s="90"/>
      <c r="B279" s="92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</row>
    <row r="280" spans="1:16" ht="13.2">
      <c r="A280" s="90"/>
      <c r="B280" s="92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</row>
    <row r="281" spans="1:16" ht="13.2">
      <c r="A281" s="90"/>
      <c r="B281" s="92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</row>
    <row r="282" spans="1:16" ht="13.2">
      <c r="A282" s="90"/>
      <c r="B282" s="92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</row>
    <row r="283" spans="1:16" ht="13.2">
      <c r="A283" s="90"/>
      <c r="B283" s="92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</row>
    <row r="284" spans="1:16" ht="13.2">
      <c r="A284" s="90"/>
      <c r="B284" s="92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</row>
    <row r="285" spans="1:16" ht="13.2">
      <c r="A285" s="90"/>
      <c r="B285" s="92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</row>
    <row r="286" spans="1:16" ht="13.2">
      <c r="A286" s="90"/>
      <c r="B286" s="92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</row>
    <row r="287" spans="1:16" ht="13.2">
      <c r="A287" s="90"/>
      <c r="B287" s="92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</row>
    <row r="288" spans="1:16" ht="13.2">
      <c r="A288" s="90"/>
      <c r="B288" s="92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</row>
    <row r="289" spans="1:16" ht="13.2">
      <c r="A289" s="90"/>
      <c r="B289" s="92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</row>
    <row r="290" spans="1:16" ht="13.2">
      <c r="A290" s="90"/>
      <c r="B290" s="92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</row>
    <row r="291" spans="1:16" ht="13.2">
      <c r="A291" s="90"/>
      <c r="B291" s="92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</row>
    <row r="292" spans="1:16" ht="13.2">
      <c r="A292" s="90"/>
      <c r="B292" s="92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</row>
    <row r="293" spans="1:16" ht="13.2">
      <c r="A293" s="90"/>
      <c r="B293" s="92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</row>
    <row r="294" spans="1:16" ht="13.2">
      <c r="A294" s="90"/>
      <c r="B294" s="92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</row>
    <row r="295" spans="1:16" ht="13.2">
      <c r="A295" s="90"/>
      <c r="B295" s="92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</row>
    <row r="296" spans="1:16" ht="13.2">
      <c r="A296" s="90"/>
      <c r="B296" s="92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</row>
    <row r="297" spans="1:16" ht="13.2">
      <c r="A297" s="90"/>
      <c r="B297" s="92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</row>
    <row r="298" spans="1:16" ht="13.2">
      <c r="A298" s="90"/>
      <c r="B298" s="92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</row>
    <row r="299" spans="1:16" ht="13.2">
      <c r="A299" s="90"/>
      <c r="B299" s="92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</row>
    <row r="300" spans="1:16" ht="13.2">
      <c r="A300" s="90"/>
      <c r="B300" s="92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</row>
    <row r="301" spans="1:16" ht="13.2">
      <c r="A301" s="90"/>
      <c r="B301" s="92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</row>
    <row r="302" spans="1:16" ht="13.2">
      <c r="A302" s="90"/>
      <c r="B302" s="92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</row>
    <row r="303" spans="1:16" ht="13.2">
      <c r="A303" s="90"/>
      <c r="B303" s="92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</row>
    <row r="304" spans="1:16" ht="13.2">
      <c r="A304" s="90"/>
      <c r="B304" s="92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</row>
    <row r="305" spans="1:16" ht="13.2">
      <c r="A305" s="90"/>
      <c r="B305" s="92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</row>
    <row r="306" spans="1:16" ht="13.2">
      <c r="A306" s="90"/>
      <c r="B306" s="92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</row>
    <row r="307" spans="1:16" ht="13.2">
      <c r="A307" s="90"/>
      <c r="B307" s="92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</row>
    <row r="308" spans="1:16" ht="13.2">
      <c r="A308" s="90"/>
      <c r="B308" s="92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</row>
    <row r="309" spans="1:16" ht="13.2">
      <c r="A309" s="90"/>
      <c r="B309" s="92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</row>
    <row r="310" spans="1:16" ht="13.2">
      <c r="A310" s="90"/>
      <c r="B310" s="92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</row>
    <row r="311" spans="1:16" ht="13.2">
      <c r="A311" s="90"/>
      <c r="B311" s="92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</row>
    <row r="312" spans="1:16" ht="13.2">
      <c r="A312" s="90"/>
      <c r="B312" s="92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</row>
    <row r="313" spans="1:16" ht="13.2">
      <c r="A313" s="90"/>
      <c r="B313" s="92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</row>
    <row r="314" spans="1:16" ht="13.2">
      <c r="A314" s="90"/>
      <c r="B314" s="92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</row>
    <row r="315" spans="1:16" ht="13.2">
      <c r="A315" s="90"/>
      <c r="B315" s="92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</row>
    <row r="316" spans="1:16" ht="13.2">
      <c r="A316" s="90"/>
      <c r="B316" s="92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</row>
    <row r="317" spans="1:16" ht="13.2">
      <c r="A317" s="90"/>
      <c r="B317" s="92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</row>
    <row r="318" spans="1:16" ht="13.2">
      <c r="A318" s="90"/>
      <c r="B318" s="92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</row>
    <row r="319" spans="1:16" ht="13.2">
      <c r="A319" s="90"/>
      <c r="B319" s="92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</row>
    <row r="320" spans="1:16" ht="13.2">
      <c r="A320" s="90"/>
      <c r="B320" s="92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</row>
    <row r="321" spans="1:16" ht="13.2">
      <c r="A321" s="90"/>
      <c r="B321" s="92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</row>
    <row r="322" spans="1:16" ht="13.2">
      <c r="A322" s="90"/>
      <c r="B322" s="92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</row>
    <row r="323" spans="1:16" ht="13.2">
      <c r="A323" s="90"/>
      <c r="B323" s="92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</row>
    <row r="324" spans="1:16" ht="13.2">
      <c r="A324" s="90"/>
      <c r="B324" s="92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</row>
    <row r="325" spans="1:16" ht="13.2">
      <c r="A325" s="90"/>
      <c r="B325" s="92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</row>
    <row r="326" spans="1:16" ht="13.2">
      <c r="A326" s="90"/>
      <c r="B326" s="92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</row>
    <row r="327" spans="1:16" ht="13.2">
      <c r="A327" s="90"/>
      <c r="B327" s="92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</row>
    <row r="328" spans="1:16" ht="13.2">
      <c r="A328" s="90"/>
      <c r="B328" s="92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</row>
    <row r="329" spans="1:16" ht="13.2">
      <c r="A329" s="90"/>
      <c r="B329" s="92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</row>
    <row r="330" spans="1:16" ht="13.2">
      <c r="A330" s="90"/>
      <c r="B330" s="92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</row>
    <row r="331" spans="1:16" ht="13.2">
      <c r="A331" s="90"/>
      <c r="B331" s="92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</row>
    <row r="332" spans="1:16" ht="13.2">
      <c r="A332" s="90"/>
      <c r="B332" s="92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</row>
    <row r="333" spans="1:16" ht="13.2">
      <c r="A333" s="90"/>
      <c r="B333" s="92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</row>
    <row r="334" spans="1:16" ht="13.2">
      <c r="A334" s="90"/>
      <c r="B334" s="92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</row>
    <row r="335" spans="1:16" ht="13.2">
      <c r="A335" s="90"/>
      <c r="B335" s="92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</row>
    <row r="336" spans="1:16" ht="13.2">
      <c r="A336" s="90"/>
      <c r="B336" s="92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</row>
    <row r="337" spans="1:16" ht="13.2">
      <c r="A337" s="90"/>
      <c r="B337" s="92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</row>
    <row r="338" spans="1:16" ht="13.2">
      <c r="A338" s="90"/>
      <c r="B338" s="92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</row>
    <row r="339" spans="1:16" ht="13.2">
      <c r="A339" s="90"/>
      <c r="B339" s="92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</row>
    <row r="340" spans="1:16" ht="13.2">
      <c r="A340" s="90"/>
      <c r="B340" s="92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</row>
    <row r="341" spans="1:16" ht="13.2">
      <c r="A341" s="90"/>
      <c r="B341" s="92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</row>
    <row r="342" spans="1:16" ht="13.2">
      <c r="A342" s="90"/>
      <c r="B342" s="92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</row>
    <row r="343" spans="1:16" ht="13.2">
      <c r="A343" s="90"/>
      <c r="B343" s="92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</row>
    <row r="344" spans="1:16" ht="13.2">
      <c r="A344" s="90"/>
      <c r="B344" s="92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</row>
    <row r="345" spans="1:16" ht="13.2">
      <c r="A345" s="90"/>
      <c r="B345" s="92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</row>
    <row r="346" spans="1:16" ht="13.2">
      <c r="A346" s="90"/>
      <c r="B346" s="92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</row>
    <row r="347" spans="1:16" ht="13.2">
      <c r="A347" s="90"/>
      <c r="B347" s="92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</row>
    <row r="348" spans="1:16" ht="13.2">
      <c r="A348" s="90"/>
      <c r="B348" s="92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</row>
    <row r="349" spans="1:16" ht="13.2">
      <c r="A349" s="90"/>
      <c r="B349" s="92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</row>
    <row r="350" spans="1:16" ht="13.2">
      <c r="A350" s="90"/>
      <c r="B350" s="92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</row>
    <row r="351" spans="1:16" ht="13.2">
      <c r="A351" s="90"/>
      <c r="B351" s="92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</row>
    <row r="352" spans="1:16" ht="13.2">
      <c r="A352" s="90"/>
      <c r="B352" s="92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</row>
    <row r="353" spans="1:16" ht="13.2">
      <c r="A353" s="90"/>
      <c r="B353" s="92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</row>
    <row r="354" spans="1:16" ht="13.2">
      <c r="A354" s="90"/>
      <c r="B354" s="92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</row>
    <row r="355" spans="1:16" ht="13.2">
      <c r="A355" s="90"/>
      <c r="B355" s="92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</row>
    <row r="356" spans="1:16" ht="13.2">
      <c r="A356" s="90"/>
      <c r="B356" s="92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</row>
    <row r="357" spans="1:16" ht="13.2">
      <c r="A357" s="90"/>
      <c r="B357" s="92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</row>
    <row r="358" spans="1:16" ht="13.2">
      <c r="A358" s="90"/>
      <c r="B358" s="92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</row>
    <row r="359" spans="1:16" ht="13.2">
      <c r="A359" s="90"/>
      <c r="B359" s="92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</row>
    <row r="360" spans="1:16" ht="13.2">
      <c r="A360" s="90"/>
      <c r="B360" s="92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</row>
    <row r="361" spans="1:16" ht="13.2">
      <c r="A361" s="90"/>
      <c r="B361" s="92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</row>
    <row r="362" spans="1:16" ht="13.2">
      <c r="A362" s="90"/>
      <c r="B362" s="92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</row>
    <row r="363" spans="1:16" ht="13.2">
      <c r="A363" s="90"/>
      <c r="B363" s="92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</row>
    <row r="364" spans="1:16" ht="13.2">
      <c r="A364" s="90"/>
      <c r="B364" s="92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</row>
    <row r="365" spans="1:16" ht="13.2">
      <c r="A365" s="90"/>
      <c r="B365" s="92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</row>
    <row r="366" spans="1:16" ht="13.2">
      <c r="A366" s="90"/>
      <c r="B366" s="92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</row>
    <row r="367" spans="1:16" ht="13.2">
      <c r="A367" s="90"/>
      <c r="B367" s="92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</row>
    <row r="368" spans="1:16" ht="13.2">
      <c r="A368" s="90"/>
      <c r="B368" s="92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</row>
    <row r="369" spans="1:16" ht="13.2">
      <c r="A369" s="90"/>
      <c r="B369" s="92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</row>
    <row r="370" spans="1:16" ht="13.2">
      <c r="A370" s="90"/>
      <c r="B370" s="92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</row>
    <row r="371" spans="1:16" ht="13.2">
      <c r="A371" s="90"/>
      <c r="B371" s="92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</row>
    <row r="372" spans="1:16" ht="13.2">
      <c r="A372" s="90"/>
      <c r="B372" s="92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</row>
    <row r="373" spans="1:16" ht="13.2">
      <c r="A373" s="90"/>
      <c r="B373" s="92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</row>
    <row r="374" spans="1:16" ht="13.2">
      <c r="A374" s="90"/>
      <c r="B374" s="92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</row>
    <row r="375" spans="1:16" ht="13.2">
      <c r="A375" s="90"/>
      <c r="B375" s="92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</row>
    <row r="376" spans="1:16" ht="13.2">
      <c r="A376" s="90"/>
      <c r="B376" s="92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</row>
    <row r="377" spans="1:16" ht="13.2">
      <c r="A377" s="90"/>
      <c r="B377" s="92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</row>
    <row r="378" spans="1:16" ht="13.2">
      <c r="A378" s="90"/>
      <c r="B378" s="92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</row>
    <row r="379" spans="1:16" ht="13.2">
      <c r="A379" s="90"/>
      <c r="B379" s="92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</row>
    <row r="380" spans="1:16" ht="13.2">
      <c r="A380" s="90"/>
      <c r="B380" s="92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</row>
    <row r="381" spans="1:16" ht="13.2">
      <c r="A381" s="90"/>
      <c r="B381" s="92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</row>
    <row r="382" spans="1:16" ht="13.2">
      <c r="A382" s="90"/>
      <c r="B382" s="92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</row>
    <row r="383" spans="1:16" ht="13.2">
      <c r="A383" s="90"/>
      <c r="B383" s="92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</row>
    <row r="384" spans="1:16" ht="13.2">
      <c r="A384" s="90"/>
      <c r="B384" s="92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</row>
    <row r="385" spans="1:16" ht="13.2">
      <c r="A385" s="90"/>
      <c r="B385" s="92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</row>
    <row r="386" spans="1:16" ht="13.2">
      <c r="A386" s="90"/>
      <c r="B386" s="92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</row>
    <row r="387" spans="1:16" ht="13.2">
      <c r="A387" s="90"/>
      <c r="B387" s="92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</row>
    <row r="388" spans="1:16" ht="13.2">
      <c r="A388" s="90"/>
      <c r="B388" s="92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</row>
    <row r="389" spans="1:16" ht="13.2">
      <c r="A389" s="90"/>
      <c r="B389" s="92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</row>
    <row r="390" spans="1:16" ht="13.2">
      <c r="A390" s="90"/>
      <c r="B390" s="92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</row>
    <row r="391" spans="1:16" ht="13.2">
      <c r="A391" s="90"/>
      <c r="B391" s="92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</row>
    <row r="392" spans="1:16" ht="13.2">
      <c r="A392" s="90"/>
      <c r="B392" s="92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</row>
    <row r="393" spans="1:16" ht="13.2">
      <c r="A393" s="90"/>
      <c r="B393" s="92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</row>
    <row r="394" spans="1:16" ht="13.2">
      <c r="A394" s="90"/>
      <c r="B394" s="92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</row>
    <row r="395" spans="1:16" ht="13.2">
      <c r="A395" s="90"/>
      <c r="B395" s="92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</row>
    <row r="396" spans="1:16" ht="13.2">
      <c r="A396" s="90"/>
      <c r="B396" s="92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</row>
    <row r="397" spans="1:16" ht="13.2">
      <c r="A397" s="90"/>
      <c r="B397" s="92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</row>
    <row r="398" spans="1:16" ht="13.2">
      <c r="A398" s="90"/>
      <c r="B398" s="92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</row>
    <row r="399" spans="1:16" ht="13.2">
      <c r="A399" s="90"/>
      <c r="B399" s="92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</row>
    <row r="400" spans="1:16" ht="13.2">
      <c r="A400" s="90"/>
      <c r="B400" s="92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</row>
    <row r="401" spans="1:16" ht="13.2">
      <c r="A401" s="90"/>
      <c r="B401" s="92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</row>
    <row r="402" spans="1:16" ht="13.2">
      <c r="A402" s="90"/>
      <c r="B402" s="92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</row>
    <row r="403" spans="1:16" ht="13.2">
      <c r="A403" s="90"/>
      <c r="B403" s="92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</row>
    <row r="404" spans="1:16" ht="13.2">
      <c r="A404" s="90"/>
      <c r="B404" s="92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</row>
    <row r="405" spans="1:16" ht="13.2">
      <c r="A405" s="90"/>
      <c r="B405" s="92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</row>
    <row r="406" spans="1:16" ht="13.2">
      <c r="A406" s="90"/>
      <c r="B406" s="92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</row>
    <row r="407" spans="1:16" ht="13.2">
      <c r="A407" s="90"/>
      <c r="B407" s="92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</row>
    <row r="408" spans="1:16" ht="13.2">
      <c r="A408" s="90"/>
      <c r="B408" s="92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</row>
    <row r="409" spans="1:16" ht="13.2">
      <c r="A409" s="90"/>
      <c r="B409" s="92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</row>
    <row r="410" spans="1:16" ht="13.2">
      <c r="A410" s="90"/>
      <c r="B410" s="92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</row>
    <row r="411" spans="1:16" ht="13.2">
      <c r="A411" s="90"/>
      <c r="B411" s="92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</row>
    <row r="412" spans="1:16" ht="13.2">
      <c r="A412" s="90"/>
      <c r="B412" s="92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</row>
    <row r="413" spans="1:16" ht="13.2">
      <c r="A413" s="90"/>
      <c r="B413" s="92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</row>
    <row r="414" spans="1:16" ht="13.2">
      <c r="A414" s="90"/>
      <c r="B414" s="92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</row>
    <row r="415" spans="1:16" ht="13.2">
      <c r="A415" s="90"/>
      <c r="B415" s="92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</row>
    <row r="416" spans="1:16" ht="13.2">
      <c r="A416" s="90"/>
      <c r="B416" s="92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</row>
    <row r="417" spans="1:16" ht="13.2">
      <c r="A417" s="90"/>
      <c r="B417" s="92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</row>
    <row r="418" spans="1:16" ht="13.2">
      <c r="A418" s="90"/>
      <c r="B418" s="92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</row>
    <row r="419" spans="1:16" ht="13.2">
      <c r="A419" s="90"/>
      <c r="B419" s="92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</row>
    <row r="420" spans="1:16" ht="13.2">
      <c r="A420" s="90"/>
      <c r="B420" s="92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</row>
    <row r="421" spans="1:16" ht="13.2">
      <c r="A421" s="90"/>
      <c r="B421" s="92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</row>
    <row r="422" spans="1:16" ht="13.2">
      <c r="A422" s="90"/>
      <c r="B422" s="92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</row>
    <row r="423" spans="1:16" ht="13.2">
      <c r="A423" s="90"/>
      <c r="B423" s="92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</row>
    <row r="424" spans="1:16" ht="13.2">
      <c r="A424" s="90"/>
      <c r="B424" s="92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</row>
    <row r="425" spans="1:16" ht="13.2">
      <c r="A425" s="90"/>
      <c r="B425" s="92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</row>
    <row r="426" spans="1:16" ht="13.2">
      <c r="A426" s="90"/>
      <c r="B426" s="92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</row>
    <row r="427" spans="1:16" ht="13.2">
      <c r="A427" s="90"/>
      <c r="B427" s="92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</row>
    <row r="428" spans="1:16" ht="13.2">
      <c r="A428" s="90"/>
      <c r="B428" s="92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</row>
    <row r="429" spans="1:16" ht="13.2">
      <c r="A429" s="90"/>
      <c r="B429" s="92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</row>
    <row r="430" spans="1:16" ht="13.2">
      <c r="A430" s="90"/>
      <c r="B430" s="92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</row>
    <row r="431" spans="1:16" ht="13.2">
      <c r="A431" s="90"/>
      <c r="B431" s="92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</row>
    <row r="432" spans="1:16" ht="13.2">
      <c r="A432" s="90"/>
      <c r="B432" s="92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</row>
    <row r="433" spans="1:16" ht="13.2">
      <c r="A433" s="90"/>
      <c r="B433" s="92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</row>
    <row r="434" spans="1:16" ht="13.2">
      <c r="A434" s="90"/>
      <c r="B434" s="92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</row>
    <row r="435" spans="1:16" ht="13.2">
      <c r="A435" s="90"/>
      <c r="B435" s="92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</row>
    <row r="436" spans="1:16" ht="13.2">
      <c r="A436" s="90"/>
      <c r="B436" s="92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</row>
    <row r="437" spans="1:16" ht="13.2">
      <c r="A437" s="90"/>
      <c r="B437" s="92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</row>
    <row r="438" spans="1:16" ht="13.2">
      <c r="A438" s="90"/>
      <c r="B438" s="92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</row>
    <row r="439" spans="1:16" ht="13.2">
      <c r="A439" s="90"/>
      <c r="B439" s="92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</row>
    <row r="440" spans="1:16" ht="13.2">
      <c r="A440" s="90"/>
      <c r="B440" s="92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</row>
    <row r="441" spans="1:16" ht="13.2">
      <c r="A441" s="90"/>
      <c r="B441" s="92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</row>
    <row r="442" spans="1:16" ht="13.2">
      <c r="A442" s="90"/>
      <c r="B442" s="92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</row>
    <row r="443" spans="1:16" ht="13.2">
      <c r="A443" s="90"/>
      <c r="B443" s="92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</row>
    <row r="444" spans="1:16" ht="13.2">
      <c r="A444" s="90"/>
      <c r="B444" s="92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</row>
    <row r="445" spans="1:16" ht="13.2">
      <c r="A445" s="90"/>
      <c r="B445" s="92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</row>
    <row r="446" spans="1:16" ht="13.2">
      <c r="A446" s="90"/>
      <c r="B446" s="92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</row>
    <row r="447" spans="1:16" ht="13.2">
      <c r="A447" s="90"/>
      <c r="B447" s="92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</row>
    <row r="448" spans="1:16" ht="13.2">
      <c r="A448" s="90"/>
      <c r="B448" s="92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</row>
    <row r="449" spans="1:16" ht="13.2">
      <c r="A449" s="90"/>
      <c r="B449" s="92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</row>
    <row r="450" spans="1:16" ht="13.2">
      <c r="A450" s="90"/>
      <c r="B450" s="92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</row>
    <row r="451" spans="1:16" ht="13.2">
      <c r="A451" s="90"/>
      <c r="B451" s="92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</row>
    <row r="452" spans="1:16" ht="13.2">
      <c r="A452" s="90"/>
      <c r="B452" s="92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</row>
    <row r="453" spans="1:16" ht="13.2">
      <c r="A453" s="90"/>
      <c r="B453" s="92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</row>
    <row r="454" spans="1:16" ht="13.2">
      <c r="A454" s="90"/>
      <c r="B454" s="92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</row>
    <row r="455" spans="1:16" ht="13.2">
      <c r="A455" s="90"/>
      <c r="B455" s="92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</row>
    <row r="456" spans="1:16" ht="13.2">
      <c r="A456" s="90"/>
      <c r="B456" s="92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</row>
    <row r="457" spans="1:16" ht="13.2">
      <c r="A457" s="90"/>
      <c r="B457" s="92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</row>
    <row r="458" spans="1:16" ht="13.2">
      <c r="A458" s="90"/>
      <c r="B458" s="92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</row>
    <row r="459" spans="1:16" ht="13.2">
      <c r="A459" s="90"/>
      <c r="B459" s="92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</row>
    <row r="460" spans="1:16" ht="13.2">
      <c r="A460" s="90"/>
      <c r="B460" s="92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</row>
    <row r="461" spans="1:16" ht="13.2">
      <c r="A461" s="90"/>
      <c r="B461" s="92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</row>
    <row r="462" spans="1:16" ht="13.2">
      <c r="A462" s="90"/>
      <c r="B462" s="92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</row>
    <row r="463" spans="1:16" ht="13.2">
      <c r="A463" s="90"/>
      <c r="B463" s="92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</row>
    <row r="464" spans="1:16" ht="13.2">
      <c r="A464" s="90"/>
      <c r="B464" s="92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</row>
    <row r="465" spans="1:16" ht="13.2">
      <c r="A465" s="90"/>
      <c r="B465" s="92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</row>
    <row r="466" spans="1:16" ht="13.2">
      <c r="A466" s="90"/>
      <c r="B466" s="92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</row>
    <row r="467" spans="1:16" ht="13.2">
      <c r="A467" s="90"/>
      <c r="B467" s="92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</row>
    <row r="468" spans="1:16" ht="13.2">
      <c r="A468" s="90"/>
      <c r="B468" s="92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</row>
    <row r="469" spans="1:16" ht="13.2">
      <c r="A469" s="90"/>
      <c r="B469" s="92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</row>
    <row r="470" spans="1:16" ht="13.2">
      <c r="A470" s="90"/>
      <c r="B470" s="92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</row>
    <row r="471" spans="1:16" ht="13.2">
      <c r="A471" s="90"/>
      <c r="B471" s="92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</row>
    <row r="472" spans="1:16" ht="13.2">
      <c r="A472" s="90"/>
      <c r="B472" s="92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</row>
    <row r="473" spans="1:16" ht="13.2">
      <c r="A473" s="90"/>
      <c r="B473" s="92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</row>
    <row r="474" spans="1:16" ht="13.2">
      <c r="A474" s="90"/>
      <c r="B474" s="92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</row>
    <row r="475" spans="1:16" ht="13.2">
      <c r="A475" s="90"/>
      <c r="B475" s="92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</row>
    <row r="476" spans="1:16" ht="13.2">
      <c r="A476" s="90"/>
      <c r="B476" s="92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</row>
    <row r="477" spans="1:16" ht="13.2">
      <c r="A477" s="90"/>
      <c r="B477" s="92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</row>
    <row r="478" spans="1:16" ht="13.2">
      <c r="A478" s="90"/>
      <c r="B478" s="92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</row>
    <row r="479" spans="1:16" ht="13.2">
      <c r="A479" s="90"/>
      <c r="B479" s="92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</row>
    <row r="480" spans="1:16" ht="13.2">
      <c r="A480" s="90"/>
      <c r="B480" s="92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</row>
    <row r="481" spans="1:16" ht="13.2">
      <c r="A481" s="90"/>
      <c r="B481" s="92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</row>
    <row r="482" spans="1:16" ht="13.2">
      <c r="A482" s="90"/>
      <c r="B482" s="92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</row>
    <row r="483" spans="1:16" ht="13.2">
      <c r="A483" s="90"/>
      <c r="B483" s="92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</row>
    <row r="484" spans="1:16" ht="13.2">
      <c r="A484" s="90"/>
      <c r="B484" s="92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</row>
    <row r="485" spans="1:16" ht="13.2">
      <c r="A485" s="90"/>
      <c r="B485" s="92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</row>
    <row r="486" spans="1:16" ht="13.2">
      <c r="A486" s="90"/>
      <c r="B486" s="92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</row>
    <row r="487" spans="1:16" ht="13.2">
      <c r="A487" s="90"/>
      <c r="B487" s="92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</row>
    <row r="488" spans="1:16" ht="13.2">
      <c r="A488" s="90"/>
      <c r="B488" s="92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</row>
    <row r="489" spans="1:16" ht="13.2">
      <c r="A489" s="90"/>
      <c r="B489" s="92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</row>
    <row r="490" spans="1:16" ht="13.2">
      <c r="A490" s="90"/>
      <c r="B490" s="92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</row>
    <row r="491" spans="1:16" ht="13.2">
      <c r="A491" s="90"/>
      <c r="B491" s="92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</row>
    <row r="492" spans="1:16" ht="13.2">
      <c r="A492" s="90"/>
      <c r="B492" s="92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</row>
    <row r="493" spans="1:16" ht="13.2">
      <c r="A493" s="90"/>
      <c r="B493" s="92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</row>
    <row r="494" spans="1:16" ht="13.2">
      <c r="A494" s="90"/>
      <c r="B494" s="92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</row>
    <row r="495" spans="1:16" ht="13.2">
      <c r="A495" s="90"/>
      <c r="B495" s="92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</row>
    <row r="496" spans="1:16" ht="13.2">
      <c r="A496" s="90"/>
      <c r="B496" s="92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</row>
    <row r="497" spans="1:16" ht="13.2">
      <c r="A497" s="90"/>
      <c r="B497" s="92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</row>
    <row r="498" spans="1:16" ht="13.2">
      <c r="A498" s="90"/>
      <c r="B498" s="92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</row>
    <row r="499" spans="1:16" ht="13.2">
      <c r="A499" s="90"/>
      <c r="B499" s="92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</row>
    <row r="500" spans="1:16" ht="13.2">
      <c r="A500" s="90"/>
      <c r="B500" s="92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</row>
    <row r="501" spans="1:16" ht="13.2">
      <c r="A501" s="90"/>
      <c r="B501" s="92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</row>
    <row r="502" spans="1:16" ht="13.2">
      <c r="A502" s="90"/>
      <c r="B502" s="92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</row>
    <row r="503" spans="1:16" ht="13.2">
      <c r="A503" s="90"/>
      <c r="B503" s="92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</row>
    <row r="504" spans="1:16" ht="13.2">
      <c r="A504" s="90"/>
      <c r="B504" s="92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</row>
    <row r="505" spans="1:16" ht="13.2">
      <c r="A505" s="90"/>
      <c r="B505" s="92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</row>
    <row r="506" spans="1:16" ht="13.2">
      <c r="A506" s="90"/>
      <c r="B506" s="92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</row>
    <row r="507" spans="1:16" ht="13.2">
      <c r="A507" s="90"/>
      <c r="B507" s="92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</row>
    <row r="508" spans="1:16" ht="13.2">
      <c r="A508" s="90"/>
      <c r="B508" s="92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</row>
    <row r="509" spans="1:16" ht="13.2">
      <c r="A509" s="90"/>
      <c r="B509" s="92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</row>
    <row r="510" spans="1:16" ht="13.2">
      <c r="A510" s="90"/>
      <c r="B510" s="92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</row>
    <row r="511" spans="1:16" ht="13.2">
      <c r="A511" s="90"/>
      <c r="B511" s="92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</row>
    <row r="512" spans="1:16" ht="13.2">
      <c r="A512" s="90"/>
      <c r="B512" s="92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</row>
    <row r="513" spans="1:16" ht="13.2">
      <c r="A513" s="90"/>
      <c r="B513" s="92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</row>
    <row r="514" spans="1:16" ht="13.2">
      <c r="A514" s="90"/>
      <c r="B514" s="92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</row>
    <row r="515" spans="1:16" ht="13.2">
      <c r="A515" s="90"/>
      <c r="B515" s="92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</row>
    <row r="516" spans="1:16" ht="13.2">
      <c r="A516" s="90"/>
      <c r="B516" s="92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</row>
    <row r="517" spans="1:16" ht="13.2">
      <c r="A517" s="90"/>
      <c r="B517" s="92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</row>
    <row r="518" spans="1:16" ht="13.2">
      <c r="A518" s="90"/>
      <c r="B518" s="92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</row>
    <row r="519" spans="1:16" ht="13.2">
      <c r="A519" s="90"/>
      <c r="B519" s="92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</row>
    <row r="520" spans="1:16" ht="13.2">
      <c r="A520" s="90"/>
      <c r="B520" s="92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</row>
    <row r="521" spans="1:16" ht="13.2">
      <c r="A521" s="90"/>
      <c r="B521" s="92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</row>
    <row r="522" spans="1:16" ht="13.2">
      <c r="A522" s="90"/>
      <c r="B522" s="92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</row>
    <row r="523" spans="1:16" ht="13.2">
      <c r="A523" s="90"/>
      <c r="B523" s="92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</row>
    <row r="524" spans="1:16" ht="13.2">
      <c r="A524" s="90"/>
      <c r="B524" s="92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</row>
    <row r="525" spans="1:16" ht="13.2">
      <c r="A525" s="90"/>
      <c r="B525" s="92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</row>
    <row r="526" spans="1:16" ht="13.2">
      <c r="A526" s="90"/>
      <c r="B526" s="92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</row>
    <row r="527" spans="1:16" ht="13.2">
      <c r="A527" s="90"/>
      <c r="B527" s="92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</row>
    <row r="528" spans="1:16" ht="13.2">
      <c r="A528" s="90"/>
      <c r="B528" s="92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</row>
    <row r="529" spans="1:16" ht="13.2">
      <c r="A529" s="90"/>
      <c r="B529" s="92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</row>
    <row r="530" spans="1:16" ht="13.2">
      <c r="A530" s="90"/>
      <c r="B530" s="92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</row>
    <row r="531" spans="1:16" ht="13.2">
      <c r="A531" s="90"/>
      <c r="B531" s="92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</row>
    <row r="532" spans="1:16" ht="13.2">
      <c r="A532" s="90"/>
      <c r="B532" s="92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</row>
    <row r="533" spans="1:16" ht="13.2">
      <c r="A533" s="90"/>
      <c r="B533" s="92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</row>
    <row r="534" spans="1:16" ht="13.2">
      <c r="A534" s="90"/>
      <c r="B534" s="92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</row>
    <row r="535" spans="1:16" ht="13.2">
      <c r="A535" s="90"/>
      <c r="B535" s="92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</row>
    <row r="536" spans="1:16" ht="13.2">
      <c r="A536" s="90"/>
      <c r="B536" s="92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</row>
    <row r="537" spans="1:16" ht="13.2">
      <c r="A537" s="90"/>
      <c r="B537" s="92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</row>
    <row r="538" spans="1:16" ht="13.2">
      <c r="A538" s="90"/>
      <c r="B538" s="92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</row>
    <row r="539" spans="1:16" ht="13.2">
      <c r="A539" s="90"/>
      <c r="B539" s="92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</row>
    <row r="540" spans="1:16" ht="13.2">
      <c r="A540" s="90"/>
      <c r="B540" s="92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</row>
    <row r="541" spans="1:16" ht="13.2">
      <c r="A541" s="90"/>
      <c r="B541" s="92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</row>
    <row r="542" spans="1:16" ht="13.2">
      <c r="A542" s="90"/>
      <c r="B542" s="92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</row>
    <row r="543" spans="1:16" ht="13.2">
      <c r="A543" s="90"/>
      <c r="B543" s="92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</row>
    <row r="544" spans="1:16" ht="13.2">
      <c r="A544" s="90"/>
      <c r="B544" s="92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</row>
    <row r="545" spans="1:16" ht="13.2">
      <c r="A545" s="90"/>
      <c r="B545" s="92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</row>
    <row r="546" spans="1:16" ht="13.2">
      <c r="A546" s="90"/>
      <c r="B546" s="92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</row>
    <row r="547" spans="1:16" ht="13.2">
      <c r="A547" s="90"/>
      <c r="B547" s="92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</row>
    <row r="548" spans="1:16" ht="13.2">
      <c r="A548" s="90"/>
      <c r="B548" s="92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</row>
    <row r="549" spans="1:16" ht="13.2">
      <c r="A549" s="90"/>
      <c r="B549" s="92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</row>
    <row r="550" spans="1:16" ht="13.2">
      <c r="A550" s="90"/>
      <c r="B550" s="92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</row>
    <row r="551" spans="1:16" ht="13.2">
      <c r="A551" s="90"/>
      <c r="B551" s="92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</row>
    <row r="552" spans="1:16" ht="13.2">
      <c r="A552" s="90"/>
      <c r="B552" s="92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</row>
    <row r="553" spans="1:16" ht="13.2">
      <c r="A553" s="90"/>
      <c r="B553" s="92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</row>
    <row r="554" spans="1:16" ht="13.2">
      <c r="A554" s="90"/>
      <c r="B554" s="92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</row>
    <row r="555" spans="1:16" ht="13.2">
      <c r="A555" s="90"/>
      <c r="B555" s="92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</row>
    <row r="556" spans="1:16" ht="13.2">
      <c r="A556" s="90"/>
      <c r="B556" s="92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</row>
    <row r="557" spans="1:16" ht="13.2">
      <c r="A557" s="90"/>
      <c r="B557" s="92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</row>
    <row r="558" spans="1:16" ht="13.2">
      <c r="A558" s="90"/>
      <c r="B558" s="92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</row>
    <row r="559" spans="1:16" ht="13.2">
      <c r="A559" s="90"/>
      <c r="B559" s="92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</row>
    <row r="560" spans="1:16" ht="13.2">
      <c r="A560" s="90"/>
      <c r="B560" s="92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</row>
    <row r="561" spans="1:16" ht="13.2">
      <c r="A561" s="90"/>
      <c r="B561" s="92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</row>
    <row r="562" spans="1:16" ht="13.2">
      <c r="A562" s="90"/>
      <c r="B562" s="92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</row>
    <row r="563" spans="1:16" ht="13.2">
      <c r="A563" s="90"/>
      <c r="B563" s="92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</row>
    <row r="564" spans="1:16" ht="13.2">
      <c r="A564" s="90"/>
      <c r="B564" s="92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</row>
    <row r="565" spans="1:16" ht="13.2">
      <c r="A565" s="90"/>
      <c r="B565" s="92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</row>
    <row r="566" spans="1:16" ht="13.2">
      <c r="A566" s="90"/>
      <c r="B566" s="92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</row>
    <row r="567" spans="1:16" ht="13.2">
      <c r="A567" s="90"/>
      <c r="B567" s="92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</row>
    <row r="568" spans="1:16" ht="13.2">
      <c r="A568" s="90"/>
      <c r="B568" s="92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</row>
    <row r="569" spans="1:16" ht="13.2">
      <c r="A569" s="90"/>
      <c r="B569" s="92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</row>
    <row r="570" spans="1:16" ht="13.2">
      <c r="A570" s="90"/>
      <c r="B570" s="92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</row>
    <row r="571" spans="1:16" ht="13.2">
      <c r="A571" s="90"/>
      <c r="B571" s="92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</row>
    <row r="572" spans="1:16" ht="13.2">
      <c r="A572" s="90"/>
      <c r="B572" s="92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</row>
    <row r="573" spans="1:16" ht="13.2">
      <c r="A573" s="90"/>
      <c r="B573" s="92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</row>
    <row r="574" spans="1:16" ht="13.2">
      <c r="A574" s="90"/>
      <c r="B574" s="92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</row>
    <row r="575" spans="1:16" ht="13.2">
      <c r="A575" s="90"/>
      <c r="B575" s="92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</row>
    <row r="576" spans="1:16" ht="13.2">
      <c r="A576" s="90"/>
      <c r="B576" s="92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</row>
    <row r="577" spans="1:16" ht="13.2">
      <c r="A577" s="90"/>
      <c r="B577" s="92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</row>
    <row r="578" spans="1:16" ht="13.2">
      <c r="A578" s="90"/>
      <c r="B578" s="92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</row>
    <row r="579" spans="1:16" ht="13.2">
      <c r="A579" s="90"/>
      <c r="B579" s="92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</row>
    <row r="580" spans="1:16" ht="13.2">
      <c r="A580" s="90"/>
      <c r="B580" s="92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</row>
    <row r="581" spans="1:16" ht="13.2">
      <c r="A581" s="90"/>
      <c r="B581" s="92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</row>
    <row r="582" spans="1:16" ht="13.2">
      <c r="A582" s="90"/>
      <c r="B582" s="92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</row>
    <row r="583" spans="1:16" ht="13.2">
      <c r="A583" s="90"/>
      <c r="B583" s="92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</row>
    <row r="584" spans="1:16" ht="13.2">
      <c r="A584" s="90"/>
      <c r="B584" s="92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</row>
    <row r="585" spans="1:16" ht="13.2">
      <c r="A585" s="90"/>
      <c r="B585" s="92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</row>
    <row r="586" spans="1:16" ht="13.2">
      <c r="A586" s="90"/>
      <c r="B586" s="92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</row>
    <row r="587" spans="1:16" ht="13.2">
      <c r="A587" s="90"/>
      <c r="B587" s="92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</row>
    <row r="588" spans="1:16" ht="13.2">
      <c r="A588" s="90"/>
      <c r="B588" s="92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</row>
    <row r="589" spans="1:16" ht="13.2">
      <c r="A589" s="90"/>
      <c r="B589" s="92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</row>
    <row r="590" spans="1:16" ht="13.2">
      <c r="A590" s="90"/>
      <c r="B590" s="92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</row>
    <row r="591" spans="1:16" ht="13.2">
      <c r="A591" s="90"/>
      <c r="B591" s="92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</row>
    <row r="592" spans="1:16" ht="13.2">
      <c r="A592" s="90"/>
      <c r="B592" s="92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</row>
    <row r="593" spans="1:16" ht="13.2">
      <c r="A593" s="90"/>
      <c r="B593" s="92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</row>
    <row r="594" spans="1:16" ht="13.2">
      <c r="A594" s="90"/>
      <c r="B594" s="92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</row>
    <row r="595" spans="1:16" ht="13.2">
      <c r="A595" s="90"/>
      <c r="B595" s="92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</row>
    <row r="596" spans="1:16" ht="13.2">
      <c r="A596" s="90"/>
      <c r="B596" s="92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</row>
    <row r="597" spans="1:16" ht="13.2">
      <c r="A597" s="90"/>
      <c r="B597" s="92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</row>
    <row r="598" spans="1:16" ht="13.2">
      <c r="A598" s="90"/>
      <c r="B598" s="92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</row>
    <row r="599" spans="1:16" ht="13.2">
      <c r="A599" s="90"/>
      <c r="B599" s="92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</row>
    <row r="600" spans="1:16" ht="13.2">
      <c r="A600" s="90"/>
      <c r="B600" s="92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</row>
    <row r="601" spans="1:16" ht="13.2">
      <c r="A601" s="90"/>
      <c r="B601" s="92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</row>
    <row r="602" spans="1:16" ht="13.2">
      <c r="A602" s="90"/>
      <c r="B602" s="92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</row>
    <row r="603" spans="1:16" ht="13.2">
      <c r="A603" s="90"/>
      <c r="B603" s="92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</row>
    <row r="604" spans="1:16" ht="13.2">
      <c r="A604" s="90"/>
      <c r="B604" s="92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</row>
    <row r="605" spans="1:16" ht="13.2">
      <c r="A605" s="90"/>
      <c r="B605" s="92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</row>
    <row r="606" spans="1:16" ht="13.2">
      <c r="A606" s="90"/>
      <c r="B606" s="92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</row>
    <row r="607" spans="1:16" ht="13.2">
      <c r="A607" s="90"/>
      <c r="B607" s="92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</row>
    <row r="608" spans="1:16" ht="13.2">
      <c r="A608" s="90"/>
      <c r="B608" s="92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</row>
    <row r="609" spans="1:16" ht="13.2">
      <c r="A609" s="90"/>
      <c r="B609" s="92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</row>
    <row r="610" spans="1:16" ht="13.2">
      <c r="A610" s="90"/>
      <c r="B610" s="92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</row>
    <row r="611" spans="1:16" ht="13.2">
      <c r="A611" s="90"/>
      <c r="B611" s="92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</row>
    <row r="612" spans="1:16" ht="13.2">
      <c r="A612" s="90"/>
      <c r="B612" s="92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</row>
    <row r="613" spans="1:16" ht="13.2">
      <c r="A613" s="90"/>
      <c r="B613" s="92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</row>
    <row r="614" spans="1:16" ht="13.2">
      <c r="A614" s="90"/>
      <c r="B614" s="92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</row>
    <row r="615" spans="1:16" ht="13.2">
      <c r="A615" s="90"/>
      <c r="B615" s="92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</row>
    <row r="616" spans="1:16" ht="13.2">
      <c r="A616" s="90"/>
      <c r="B616" s="92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</row>
    <row r="617" spans="1:16" ht="13.2">
      <c r="A617" s="90"/>
      <c r="B617" s="92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</row>
    <row r="618" spans="1:16" ht="13.2">
      <c r="A618" s="90"/>
      <c r="B618" s="92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</row>
    <row r="619" spans="1:16" ht="13.2">
      <c r="A619" s="90"/>
      <c r="B619" s="92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</row>
    <row r="620" spans="1:16" ht="13.2">
      <c r="A620" s="90"/>
      <c r="B620" s="92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</row>
    <row r="621" spans="1:16" ht="13.2">
      <c r="A621" s="90"/>
      <c r="B621" s="92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</row>
    <row r="622" spans="1:16" ht="13.2">
      <c r="A622" s="90"/>
      <c r="B622" s="92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</row>
    <row r="623" spans="1:16" ht="13.2">
      <c r="A623" s="90"/>
      <c r="B623" s="92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</row>
    <row r="624" spans="1:16" ht="13.2">
      <c r="A624" s="90"/>
      <c r="B624" s="92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</row>
    <row r="625" spans="1:16" ht="13.2">
      <c r="A625" s="90"/>
      <c r="B625" s="92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</row>
    <row r="626" spans="1:16" ht="13.2">
      <c r="A626" s="90"/>
      <c r="B626" s="92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</row>
    <row r="627" spans="1:16" ht="13.2">
      <c r="A627" s="90"/>
      <c r="B627" s="92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</row>
    <row r="628" spans="1:16" ht="13.2">
      <c r="A628" s="90"/>
      <c r="B628" s="92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</row>
    <row r="629" spans="1:16" ht="13.2">
      <c r="A629" s="90"/>
      <c r="B629" s="92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</row>
    <row r="630" spans="1:16" ht="13.2">
      <c r="A630" s="90"/>
      <c r="B630" s="92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</row>
    <row r="631" spans="1:16" ht="13.2">
      <c r="A631" s="90"/>
      <c r="B631" s="92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</row>
    <row r="632" spans="1:16" ht="13.2">
      <c r="A632" s="90"/>
      <c r="B632" s="92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</row>
    <row r="633" spans="1:16" ht="13.2">
      <c r="A633" s="90"/>
      <c r="B633" s="92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</row>
    <row r="634" spans="1:16" ht="13.2">
      <c r="A634" s="90"/>
      <c r="B634" s="92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</row>
    <row r="635" spans="1:16" ht="13.2">
      <c r="A635" s="90"/>
      <c r="B635" s="92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</row>
    <row r="636" spans="1:16" ht="13.2">
      <c r="A636" s="90"/>
      <c r="B636" s="92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</row>
    <row r="637" spans="1:16" ht="13.2">
      <c r="A637" s="90"/>
      <c r="B637" s="92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</row>
    <row r="638" spans="1:16" ht="13.2">
      <c r="A638" s="90"/>
      <c r="B638" s="92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</row>
    <row r="639" spans="1:16" ht="13.2">
      <c r="A639" s="90"/>
      <c r="B639" s="92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</row>
    <row r="640" spans="1:16" ht="13.2">
      <c r="A640" s="90"/>
      <c r="B640" s="92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</row>
    <row r="641" spans="1:16" ht="13.2">
      <c r="A641" s="90"/>
      <c r="B641" s="92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</row>
    <row r="642" spans="1:16" ht="13.2">
      <c r="A642" s="90"/>
      <c r="B642" s="92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</row>
    <row r="643" spans="1:16" ht="13.2">
      <c r="A643" s="90"/>
      <c r="B643" s="92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</row>
    <row r="644" spans="1:16" ht="13.2">
      <c r="A644" s="90"/>
      <c r="B644" s="92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</row>
    <row r="645" spans="1:16" ht="13.2">
      <c r="A645" s="90"/>
      <c r="B645" s="92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</row>
    <row r="646" spans="1:16" ht="13.2">
      <c r="A646" s="90"/>
      <c r="B646" s="92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</row>
    <row r="647" spans="1:16" ht="13.2">
      <c r="A647" s="90"/>
      <c r="B647" s="92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</row>
    <row r="648" spans="1:16" ht="13.2">
      <c r="A648" s="90"/>
      <c r="B648" s="92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</row>
    <row r="649" spans="1:16" ht="13.2">
      <c r="A649" s="90"/>
      <c r="B649" s="92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</row>
    <row r="650" spans="1:16" ht="13.2">
      <c r="A650" s="90"/>
      <c r="B650" s="92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</row>
    <row r="651" spans="1:16" ht="13.2">
      <c r="A651" s="90"/>
      <c r="B651" s="92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</row>
    <row r="652" spans="1:16" ht="13.2">
      <c r="A652" s="90"/>
      <c r="B652" s="92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</row>
    <row r="653" spans="1:16" ht="13.2">
      <c r="A653" s="90"/>
      <c r="B653" s="92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</row>
    <row r="654" spans="1:16" ht="13.2">
      <c r="A654" s="90"/>
      <c r="B654" s="92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</row>
    <row r="655" spans="1:16" ht="13.2">
      <c r="A655" s="90"/>
      <c r="B655" s="92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</row>
    <row r="656" spans="1:16" ht="13.2">
      <c r="A656" s="90"/>
      <c r="B656" s="92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</row>
    <row r="657" spans="1:16" ht="13.2">
      <c r="A657" s="90"/>
      <c r="B657" s="92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</row>
    <row r="658" spans="1:16" ht="13.2">
      <c r="A658" s="90"/>
      <c r="B658" s="92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</row>
    <row r="659" spans="1:16" ht="13.2">
      <c r="A659" s="90"/>
      <c r="B659" s="92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</row>
    <row r="660" spans="1:16" ht="13.2">
      <c r="A660" s="90"/>
      <c r="B660" s="92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</row>
    <row r="661" spans="1:16" ht="13.2">
      <c r="A661" s="90"/>
      <c r="B661" s="92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</row>
    <row r="662" spans="1:16" ht="13.2">
      <c r="A662" s="90"/>
      <c r="B662" s="92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</row>
    <row r="663" spans="1:16" ht="13.2">
      <c r="A663" s="90"/>
      <c r="B663" s="92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</row>
    <row r="664" spans="1:16" ht="13.2">
      <c r="A664" s="90"/>
      <c r="B664" s="92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</row>
    <row r="665" spans="1:16" ht="13.2">
      <c r="A665" s="90"/>
      <c r="B665" s="92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</row>
    <row r="666" spans="1:16" ht="13.2">
      <c r="A666" s="90"/>
      <c r="B666" s="92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</row>
    <row r="667" spans="1:16" ht="13.2">
      <c r="A667" s="90"/>
      <c r="B667" s="92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</row>
    <row r="668" spans="1:16" ht="13.2">
      <c r="A668" s="90"/>
      <c r="B668" s="92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</row>
    <row r="669" spans="1:16" ht="13.2">
      <c r="A669" s="90"/>
      <c r="B669" s="92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</row>
    <row r="670" spans="1:16" ht="13.2">
      <c r="A670" s="90"/>
      <c r="B670" s="92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</row>
    <row r="671" spans="1:16" ht="13.2">
      <c r="A671" s="90"/>
      <c r="B671" s="92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</row>
    <row r="672" spans="1:16" ht="13.2">
      <c r="A672" s="90"/>
      <c r="B672" s="92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</row>
    <row r="673" spans="1:16" ht="13.2">
      <c r="A673" s="90"/>
      <c r="B673" s="92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</row>
    <row r="674" spans="1:16" ht="13.2">
      <c r="A674" s="90"/>
      <c r="B674" s="92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</row>
    <row r="675" spans="1:16" ht="13.2">
      <c r="A675" s="90"/>
      <c r="B675" s="92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</row>
    <row r="676" spans="1:16" ht="13.2">
      <c r="A676" s="90"/>
      <c r="B676" s="92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</row>
    <row r="677" spans="1:16" ht="13.2">
      <c r="A677" s="90"/>
      <c r="B677" s="92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</row>
    <row r="678" spans="1:16" ht="13.2">
      <c r="A678" s="90"/>
      <c r="B678" s="92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</row>
    <row r="679" spans="1:16" ht="13.2">
      <c r="A679" s="90"/>
      <c r="B679" s="92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</row>
    <row r="680" spans="1:16" ht="13.2">
      <c r="A680" s="90"/>
      <c r="B680" s="92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</row>
    <row r="681" spans="1:16" ht="13.2">
      <c r="A681" s="90"/>
      <c r="B681" s="92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</row>
    <row r="682" spans="1:16" ht="13.2">
      <c r="A682" s="90"/>
      <c r="B682" s="92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</row>
    <row r="683" spans="1:16" ht="13.2">
      <c r="A683" s="90"/>
      <c r="B683" s="92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</row>
    <row r="684" spans="1:16" ht="13.2">
      <c r="A684" s="90"/>
      <c r="B684" s="92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</row>
    <row r="685" spans="1:16" ht="13.2">
      <c r="A685" s="90"/>
      <c r="B685" s="92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</row>
    <row r="686" spans="1:16" ht="13.2">
      <c r="A686" s="90"/>
      <c r="B686" s="92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</row>
    <row r="687" spans="1:16" ht="13.2">
      <c r="A687" s="90"/>
      <c r="B687" s="92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</row>
    <row r="688" spans="1:16" ht="13.2">
      <c r="A688" s="90"/>
      <c r="B688" s="92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</row>
    <row r="689" spans="1:16" ht="13.2">
      <c r="A689" s="90"/>
      <c r="B689" s="92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</row>
    <row r="690" spans="1:16" ht="13.2">
      <c r="A690" s="90"/>
      <c r="B690" s="92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</row>
    <row r="691" spans="1:16" ht="13.2">
      <c r="A691" s="90"/>
      <c r="B691" s="92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</row>
    <row r="692" spans="1:16" ht="13.2">
      <c r="A692" s="90"/>
      <c r="B692" s="92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</row>
    <row r="693" spans="1:16" ht="13.2">
      <c r="A693" s="90"/>
      <c r="B693" s="92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</row>
    <row r="694" spans="1:16" ht="13.2">
      <c r="A694" s="90"/>
      <c r="B694" s="92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</row>
    <row r="695" spans="1:16" ht="13.2">
      <c r="A695" s="90"/>
      <c r="B695" s="92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</row>
    <row r="696" spans="1:16" ht="13.2">
      <c r="A696" s="90"/>
      <c r="B696" s="92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</row>
    <row r="697" spans="1:16" ht="13.2">
      <c r="A697" s="90"/>
      <c r="B697" s="92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</row>
    <row r="698" spans="1:16" ht="13.2">
      <c r="A698" s="90"/>
      <c r="B698" s="92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</row>
    <row r="699" spans="1:16" ht="13.2">
      <c r="A699" s="90"/>
      <c r="B699" s="92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</row>
    <row r="700" spans="1:16" ht="13.2">
      <c r="A700" s="90"/>
      <c r="B700" s="92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</row>
    <row r="701" spans="1:16" ht="13.2">
      <c r="A701" s="90"/>
      <c r="B701" s="92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</row>
    <row r="702" spans="1:16" ht="13.2">
      <c r="A702" s="90"/>
      <c r="B702" s="92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</row>
    <row r="703" spans="1:16" ht="13.2">
      <c r="A703" s="90"/>
      <c r="B703" s="92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</row>
    <row r="704" spans="1:16" ht="13.2">
      <c r="A704" s="90"/>
      <c r="B704" s="92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</row>
    <row r="705" spans="1:16" ht="13.2">
      <c r="A705" s="90"/>
      <c r="B705" s="92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</row>
    <row r="706" spans="1:16" ht="13.2">
      <c r="A706" s="90"/>
      <c r="B706" s="92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</row>
    <row r="707" spans="1:16" ht="13.2">
      <c r="A707" s="90"/>
      <c r="B707" s="92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</row>
    <row r="708" spans="1:16" ht="13.2">
      <c r="A708" s="90"/>
      <c r="B708" s="92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</row>
    <row r="709" spans="1:16" ht="13.2">
      <c r="A709" s="90"/>
      <c r="B709" s="92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</row>
    <row r="710" spans="1:16" ht="13.2">
      <c r="A710" s="90"/>
      <c r="B710" s="92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</row>
    <row r="711" spans="1:16" ht="13.2">
      <c r="A711" s="90"/>
      <c r="B711" s="92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</row>
    <row r="712" spans="1:16" ht="13.2">
      <c r="A712" s="90"/>
      <c r="B712" s="92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</row>
    <row r="713" spans="1:16" ht="13.2">
      <c r="A713" s="90"/>
      <c r="B713" s="92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</row>
    <row r="714" spans="1:16" ht="13.2">
      <c r="A714" s="90"/>
      <c r="B714" s="92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</row>
    <row r="715" spans="1:16" ht="13.2">
      <c r="A715" s="90"/>
      <c r="B715" s="92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</row>
    <row r="716" spans="1:16" ht="13.2">
      <c r="A716" s="90"/>
      <c r="B716" s="92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</row>
    <row r="717" spans="1:16" ht="13.2">
      <c r="A717" s="90"/>
      <c r="B717" s="92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</row>
    <row r="718" spans="1:16" ht="13.2">
      <c r="A718" s="90"/>
      <c r="B718" s="92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</row>
    <row r="719" spans="1:16" ht="13.2">
      <c r="A719" s="90"/>
      <c r="B719" s="92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</row>
    <row r="720" spans="1:16" ht="13.2">
      <c r="A720" s="90"/>
      <c r="B720" s="92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</row>
    <row r="721" spans="1:16" ht="13.2">
      <c r="A721" s="90"/>
      <c r="B721" s="92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</row>
    <row r="722" spans="1:16" ht="13.2">
      <c r="A722" s="90"/>
      <c r="B722" s="92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</row>
    <row r="723" spans="1:16" ht="13.2">
      <c r="A723" s="90"/>
      <c r="B723" s="92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</row>
    <row r="724" spans="1:16" ht="13.2">
      <c r="A724" s="90"/>
      <c r="B724" s="92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</row>
    <row r="725" spans="1:16" ht="13.2">
      <c r="A725" s="90"/>
      <c r="B725" s="92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</row>
    <row r="726" spans="1:16" ht="13.2">
      <c r="A726" s="90"/>
      <c r="B726" s="92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</row>
    <row r="727" spans="1:16" ht="13.2">
      <c r="A727" s="90"/>
      <c r="B727" s="92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</row>
    <row r="728" spans="1:16" ht="13.2">
      <c r="A728" s="90"/>
      <c r="B728" s="92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</row>
    <row r="729" spans="1:16" ht="13.2">
      <c r="A729" s="90"/>
      <c r="B729" s="92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</row>
    <row r="730" spans="1:16" ht="13.2">
      <c r="A730" s="90"/>
      <c r="B730" s="92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</row>
    <row r="731" spans="1:16" ht="13.2">
      <c r="A731" s="90"/>
      <c r="B731" s="92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</row>
    <row r="732" spans="1:16" ht="13.2">
      <c r="A732" s="90"/>
      <c r="B732" s="92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</row>
    <row r="733" spans="1:16" ht="13.2">
      <c r="A733" s="90"/>
      <c r="B733" s="92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</row>
    <row r="734" spans="1:16" ht="13.2">
      <c r="A734" s="90"/>
      <c r="B734" s="92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</row>
    <row r="735" spans="1:16" ht="13.2">
      <c r="A735" s="90"/>
      <c r="B735" s="92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</row>
    <row r="736" spans="1:16" ht="13.2">
      <c r="A736" s="90"/>
      <c r="B736" s="92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</row>
    <row r="737" spans="1:16" ht="13.2">
      <c r="A737" s="90"/>
      <c r="B737" s="92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</row>
    <row r="738" spans="1:16" ht="13.2">
      <c r="A738" s="90"/>
      <c r="B738" s="92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</row>
    <row r="739" spans="1:16" ht="13.2">
      <c r="A739" s="90"/>
      <c r="B739" s="92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</row>
    <row r="740" spans="1:16" ht="13.2">
      <c r="A740" s="90"/>
      <c r="B740" s="92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</row>
    <row r="741" spans="1:16" ht="13.2">
      <c r="A741" s="90"/>
      <c r="B741" s="92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</row>
    <row r="742" spans="1:16" ht="13.2">
      <c r="A742" s="90"/>
      <c r="B742" s="92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</row>
    <row r="743" spans="1:16" ht="13.2">
      <c r="A743" s="90"/>
      <c r="B743" s="92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</row>
    <row r="744" spans="1:16" ht="13.2">
      <c r="A744" s="90"/>
      <c r="B744" s="92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</row>
    <row r="745" spans="1:16" ht="13.2">
      <c r="A745" s="90"/>
      <c r="B745" s="92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</row>
    <row r="746" spans="1:16" ht="13.2">
      <c r="A746" s="90"/>
      <c r="B746" s="92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</row>
    <row r="747" spans="1:16" ht="13.2">
      <c r="A747" s="90"/>
      <c r="B747" s="92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</row>
    <row r="748" spans="1:16" ht="13.2">
      <c r="A748" s="90"/>
      <c r="B748" s="92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</row>
    <row r="749" spans="1:16" ht="13.2">
      <c r="A749" s="90"/>
      <c r="B749" s="92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</row>
    <row r="750" spans="1:16" ht="13.2">
      <c r="A750" s="90"/>
      <c r="B750" s="92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</row>
    <row r="751" spans="1:16" ht="13.2">
      <c r="A751" s="90"/>
      <c r="B751" s="92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</row>
    <row r="752" spans="1:16" ht="13.2">
      <c r="A752" s="90"/>
      <c r="B752" s="92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</row>
    <row r="753" spans="1:16" ht="13.2">
      <c r="A753" s="90"/>
      <c r="B753" s="92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</row>
    <row r="754" spans="1:16" ht="13.2">
      <c r="A754" s="90"/>
      <c r="B754" s="92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</row>
    <row r="755" spans="1:16" ht="13.2">
      <c r="A755" s="90"/>
      <c r="B755" s="92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</row>
    <row r="756" spans="1:16" ht="13.2">
      <c r="A756" s="90"/>
      <c r="B756" s="92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</row>
    <row r="757" spans="1:16" ht="13.2">
      <c r="A757" s="90"/>
      <c r="B757" s="92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</row>
    <row r="758" spans="1:16" ht="13.2">
      <c r="A758" s="90"/>
      <c r="B758" s="92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</row>
    <row r="759" spans="1:16" ht="13.2">
      <c r="A759" s="90"/>
      <c r="B759" s="92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</row>
    <row r="760" spans="1:16" ht="13.2">
      <c r="A760" s="90"/>
      <c r="B760" s="92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</row>
    <row r="761" spans="1:16" ht="13.2">
      <c r="A761" s="90"/>
      <c r="B761" s="92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</row>
    <row r="762" spans="1:16" ht="13.2">
      <c r="A762" s="90"/>
      <c r="B762" s="92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</row>
    <row r="763" spans="1:16" ht="13.2">
      <c r="A763" s="90"/>
      <c r="B763" s="92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</row>
    <row r="764" spans="1:16" ht="13.2">
      <c r="A764" s="90"/>
      <c r="B764" s="92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</row>
    <row r="765" spans="1:16" ht="13.2">
      <c r="A765" s="90"/>
      <c r="B765" s="92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</row>
    <row r="766" spans="1:16" ht="13.2">
      <c r="A766" s="90"/>
      <c r="B766" s="92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</row>
    <row r="767" spans="1:16" ht="13.2">
      <c r="A767" s="90"/>
      <c r="B767" s="92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</row>
    <row r="768" spans="1:16" ht="13.2">
      <c r="A768" s="90"/>
      <c r="B768" s="92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</row>
    <row r="769" spans="1:16" ht="13.2">
      <c r="A769" s="90"/>
      <c r="B769" s="92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</row>
    <row r="770" spans="1:16" ht="13.2">
      <c r="A770" s="90"/>
      <c r="B770" s="92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</row>
    <row r="771" spans="1:16" ht="13.2">
      <c r="A771" s="90"/>
      <c r="B771" s="92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</row>
    <row r="772" spans="1:16" ht="13.2">
      <c r="A772" s="90"/>
      <c r="B772" s="92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</row>
    <row r="773" spans="1:16" ht="13.2">
      <c r="A773" s="90"/>
      <c r="B773" s="92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</row>
    <row r="774" spans="1:16" ht="13.2">
      <c r="A774" s="90"/>
      <c r="B774" s="92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</row>
    <row r="775" spans="1:16" ht="13.2">
      <c r="A775" s="90"/>
      <c r="B775" s="92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</row>
    <row r="776" spans="1:16" ht="13.2">
      <c r="A776" s="90"/>
      <c r="B776" s="92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</row>
    <row r="777" spans="1:16" ht="13.2">
      <c r="A777" s="90"/>
      <c r="B777" s="92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</row>
    <row r="778" spans="1:16" ht="13.2">
      <c r="A778" s="90"/>
      <c r="B778" s="92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</row>
    <row r="779" spans="1:16" ht="13.2">
      <c r="A779" s="90"/>
      <c r="B779" s="92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</row>
    <row r="780" spans="1:16" ht="13.2">
      <c r="A780" s="90"/>
      <c r="B780" s="92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</row>
    <row r="781" spans="1:16" ht="13.2">
      <c r="A781" s="90"/>
      <c r="B781" s="92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</row>
    <row r="782" spans="1:16" ht="13.2">
      <c r="A782" s="90"/>
      <c r="B782" s="92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</row>
    <row r="783" spans="1:16" ht="13.2">
      <c r="A783" s="90"/>
      <c r="B783" s="92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</row>
    <row r="784" spans="1:16" ht="13.2">
      <c r="A784" s="90"/>
      <c r="B784" s="92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</row>
    <row r="785" spans="1:16" ht="13.2">
      <c r="A785" s="90"/>
      <c r="B785" s="92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</row>
    <row r="786" spans="1:16" ht="13.2">
      <c r="A786" s="90"/>
      <c r="B786" s="92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</row>
    <row r="787" spans="1:16" ht="13.2">
      <c r="A787" s="90"/>
      <c r="B787" s="92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</row>
    <row r="788" spans="1:16" ht="13.2">
      <c r="A788" s="90"/>
      <c r="B788" s="92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</row>
    <row r="789" spans="1:16" ht="13.2">
      <c r="A789" s="90"/>
      <c r="B789" s="92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</row>
    <row r="790" spans="1:16" ht="13.2">
      <c r="A790" s="90"/>
      <c r="B790" s="92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</row>
    <row r="791" spans="1:16" ht="13.2">
      <c r="A791" s="90"/>
      <c r="B791" s="92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</row>
    <row r="792" spans="1:16" ht="13.2">
      <c r="A792" s="90"/>
      <c r="B792" s="92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</row>
    <row r="793" spans="1:16" ht="13.2">
      <c r="A793" s="90"/>
      <c r="B793" s="92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</row>
    <row r="794" spans="1:16" ht="13.2">
      <c r="A794" s="90"/>
      <c r="B794" s="92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</row>
    <row r="795" spans="1:16" ht="13.2">
      <c r="A795" s="90"/>
      <c r="B795" s="92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</row>
    <row r="796" spans="1:16" ht="13.2">
      <c r="A796" s="90"/>
      <c r="B796" s="92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</row>
    <row r="797" spans="1:16" ht="13.2">
      <c r="A797" s="90"/>
      <c r="B797" s="92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</row>
    <row r="798" spans="1:16" ht="13.2">
      <c r="A798" s="90"/>
      <c r="B798" s="92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</row>
    <row r="799" spans="1:16" ht="13.2">
      <c r="A799" s="90"/>
      <c r="B799" s="92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</row>
    <row r="800" spans="1:16" ht="13.2">
      <c r="A800" s="90"/>
      <c r="B800" s="92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</row>
    <row r="801" spans="1:16" ht="13.2">
      <c r="A801" s="90"/>
      <c r="B801" s="92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</row>
    <row r="802" spans="1:16" ht="13.2">
      <c r="A802" s="90"/>
      <c r="B802" s="92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</row>
    <row r="803" spans="1:16" ht="13.2">
      <c r="A803" s="90"/>
      <c r="B803" s="92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</row>
    <row r="804" spans="1:16" ht="13.2">
      <c r="A804" s="90"/>
      <c r="B804" s="92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</row>
    <row r="805" spans="1:16" ht="13.2">
      <c r="A805" s="90"/>
      <c r="B805" s="92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</row>
    <row r="806" spans="1:16" ht="13.2">
      <c r="A806" s="90"/>
      <c r="B806" s="92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</row>
    <row r="807" spans="1:16" ht="13.2">
      <c r="A807" s="90"/>
      <c r="B807" s="92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</row>
    <row r="808" spans="1:16" ht="13.2">
      <c r="A808" s="90"/>
      <c r="B808" s="92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</row>
    <row r="809" spans="1:16" ht="13.2">
      <c r="A809" s="90"/>
      <c r="B809" s="92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</row>
    <row r="810" spans="1:16" ht="13.2">
      <c r="A810" s="90"/>
      <c r="B810" s="92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</row>
    <row r="811" spans="1:16" ht="13.2">
      <c r="A811" s="90"/>
      <c r="B811" s="92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</row>
    <row r="812" spans="1:16" ht="13.2">
      <c r="A812" s="90"/>
      <c r="B812" s="92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</row>
    <row r="813" spans="1:16" ht="13.2">
      <c r="A813" s="90"/>
      <c r="B813" s="92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</row>
    <row r="814" spans="1:16" ht="13.2">
      <c r="A814" s="90"/>
      <c r="B814" s="92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</row>
    <row r="815" spans="1:16" ht="13.2">
      <c r="A815" s="90"/>
      <c r="B815" s="92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</row>
    <row r="816" spans="1:16" ht="13.2">
      <c r="A816" s="90"/>
      <c r="B816" s="92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</row>
    <row r="817" spans="1:16" ht="13.2">
      <c r="A817" s="90"/>
      <c r="B817" s="92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</row>
    <row r="818" spans="1:16" ht="13.2">
      <c r="A818" s="90"/>
      <c r="B818" s="92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</row>
    <row r="819" spans="1:16" ht="13.2">
      <c r="A819" s="90"/>
      <c r="B819" s="92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</row>
    <row r="820" spans="1:16" ht="13.2">
      <c r="A820" s="90"/>
      <c r="B820" s="92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</row>
    <row r="821" spans="1:16" ht="13.2">
      <c r="A821" s="90"/>
      <c r="B821" s="92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</row>
    <row r="822" spans="1:16" ht="13.2">
      <c r="A822" s="90"/>
      <c r="B822" s="92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</row>
    <row r="823" spans="1:16" ht="13.2">
      <c r="A823" s="90"/>
      <c r="B823" s="92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</row>
    <row r="824" spans="1:16" ht="13.2">
      <c r="A824" s="90"/>
      <c r="B824" s="92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</row>
    <row r="825" spans="1:16" ht="13.2">
      <c r="A825" s="90"/>
      <c r="B825" s="92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</row>
    <row r="826" spans="1:16" ht="13.2">
      <c r="A826" s="90"/>
      <c r="B826" s="92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</row>
    <row r="827" spans="1:16" ht="13.2">
      <c r="A827" s="90"/>
      <c r="B827" s="92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</row>
    <row r="828" spans="1:16" ht="13.2">
      <c r="A828" s="90"/>
      <c r="B828" s="92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</row>
    <row r="829" spans="1:16" ht="13.2">
      <c r="A829" s="90"/>
      <c r="B829" s="92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</row>
    <row r="830" spans="1:16" ht="13.2">
      <c r="A830" s="90"/>
      <c r="B830" s="92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</row>
    <row r="831" spans="1:16" ht="13.2">
      <c r="A831" s="90"/>
      <c r="B831" s="92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</row>
    <row r="832" spans="1:16" ht="13.2">
      <c r="A832" s="90"/>
      <c r="B832" s="92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</row>
    <row r="833" spans="1:16" ht="13.2">
      <c r="A833" s="90"/>
      <c r="B833" s="92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</row>
    <row r="834" spans="1:16" ht="13.2">
      <c r="A834" s="90"/>
      <c r="B834" s="92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</row>
    <row r="835" spans="1:16" ht="13.2">
      <c r="A835" s="90"/>
      <c r="B835" s="92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</row>
    <row r="836" spans="1:16" ht="13.2">
      <c r="A836" s="90"/>
      <c r="B836" s="92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</row>
    <row r="837" spans="1:16" ht="13.2">
      <c r="A837" s="90"/>
      <c r="B837" s="92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</row>
    <row r="838" spans="1:16" ht="13.2">
      <c r="A838" s="90"/>
      <c r="B838" s="92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</row>
    <row r="839" spans="1:16" ht="13.2">
      <c r="A839" s="90"/>
      <c r="B839" s="92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</row>
    <row r="840" spans="1:16" ht="13.2">
      <c r="A840" s="90"/>
      <c r="B840" s="92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</row>
    <row r="841" spans="1:16" ht="13.2">
      <c r="A841" s="90"/>
      <c r="B841" s="92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</row>
    <row r="842" spans="1:16" ht="13.2">
      <c r="A842" s="90"/>
      <c r="B842" s="92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</row>
    <row r="843" spans="1:16" ht="13.2">
      <c r="A843" s="90"/>
      <c r="B843" s="92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</row>
    <row r="844" spans="1:16" ht="13.2">
      <c r="A844" s="90"/>
      <c r="B844" s="92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</row>
    <row r="845" spans="1:16" ht="13.2">
      <c r="A845" s="90"/>
      <c r="B845" s="92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</row>
    <row r="846" spans="1:16" ht="13.2">
      <c r="A846" s="90"/>
      <c r="B846" s="92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</row>
    <row r="847" spans="1:16" ht="13.2">
      <c r="A847" s="90"/>
      <c r="B847" s="92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</row>
    <row r="848" spans="1:16" ht="13.2">
      <c r="A848" s="90"/>
      <c r="B848" s="92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</row>
    <row r="849" spans="1:16" ht="13.2">
      <c r="A849" s="90"/>
      <c r="B849" s="92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</row>
    <row r="850" spans="1:16" ht="13.2">
      <c r="A850" s="90"/>
      <c r="B850" s="92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</row>
    <row r="851" spans="1:16" ht="13.2">
      <c r="A851" s="90"/>
      <c r="B851" s="92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</row>
    <row r="852" spans="1:16" ht="13.2">
      <c r="A852" s="90"/>
      <c r="B852" s="92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</row>
    <row r="853" spans="1:16" ht="13.2">
      <c r="A853" s="90"/>
      <c r="B853" s="92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</row>
    <row r="854" spans="1:16" ht="13.2">
      <c r="A854" s="90"/>
      <c r="B854" s="92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</row>
    <row r="855" spans="1:16" ht="13.2">
      <c r="A855" s="90"/>
      <c r="B855" s="92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</row>
    <row r="856" spans="1:16" ht="13.2">
      <c r="A856" s="90"/>
      <c r="B856" s="92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</row>
    <row r="857" spans="1:16" ht="13.2">
      <c r="A857" s="90"/>
      <c r="B857" s="92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</row>
    <row r="858" spans="1:16" ht="13.2">
      <c r="A858" s="90"/>
      <c r="B858" s="92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</row>
    <row r="859" spans="1:16" ht="13.2">
      <c r="A859" s="90"/>
      <c r="B859" s="92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</row>
    <row r="860" spans="1:16" ht="13.2">
      <c r="A860" s="90"/>
      <c r="B860" s="92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</row>
    <row r="861" spans="1:16" ht="13.2">
      <c r="A861" s="90"/>
      <c r="B861" s="92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</row>
    <row r="862" spans="1:16" ht="13.2">
      <c r="A862" s="90"/>
      <c r="B862" s="92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</row>
    <row r="863" spans="1:16" ht="13.2">
      <c r="A863" s="90"/>
      <c r="B863" s="92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</row>
    <row r="864" spans="1:16" ht="13.2">
      <c r="A864" s="90"/>
      <c r="B864" s="92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</row>
    <row r="865" spans="1:16" ht="13.2">
      <c r="A865" s="90"/>
      <c r="B865" s="92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</row>
    <row r="866" spans="1:16" ht="13.2">
      <c r="A866" s="90"/>
      <c r="B866" s="92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</row>
    <row r="867" spans="1:16" ht="13.2">
      <c r="A867" s="90"/>
      <c r="B867" s="92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</row>
    <row r="868" spans="1:16" ht="13.2">
      <c r="A868" s="90"/>
      <c r="B868" s="92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</row>
    <row r="869" spans="1:16" ht="13.2">
      <c r="A869" s="90"/>
      <c r="B869" s="92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</row>
    <row r="870" spans="1:16" ht="13.2">
      <c r="A870" s="90"/>
      <c r="B870" s="92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</row>
    <row r="871" spans="1:16" ht="13.2">
      <c r="A871" s="90"/>
      <c r="B871" s="92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</row>
    <row r="872" spans="1:16" ht="13.2">
      <c r="A872" s="90"/>
      <c r="B872" s="92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</row>
    <row r="873" spans="1:16" ht="13.2">
      <c r="A873" s="90"/>
      <c r="B873" s="92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</row>
    <row r="874" spans="1:16" ht="13.2">
      <c r="A874" s="90"/>
      <c r="B874" s="92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</row>
    <row r="875" spans="1:16" ht="13.2">
      <c r="A875" s="90"/>
      <c r="B875" s="92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</row>
    <row r="876" spans="1:16" ht="13.2">
      <c r="A876" s="90"/>
      <c r="B876" s="92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</row>
    <row r="877" spans="1:16" ht="13.2">
      <c r="A877" s="90"/>
      <c r="B877" s="92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</row>
    <row r="878" spans="1:16" ht="13.2">
      <c r="A878" s="90"/>
      <c r="B878" s="92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</row>
    <row r="879" spans="1:16" ht="13.2">
      <c r="A879" s="90"/>
      <c r="B879" s="92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</row>
    <row r="880" spans="1:16" ht="13.2">
      <c r="A880" s="90"/>
      <c r="B880" s="92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</row>
    <row r="881" spans="1:16" ht="13.2">
      <c r="A881" s="90"/>
      <c r="B881" s="92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</row>
    <row r="882" spans="1:16" ht="13.2">
      <c r="A882" s="90"/>
      <c r="B882" s="92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</row>
    <row r="883" spans="1:16" ht="13.2">
      <c r="A883" s="90"/>
      <c r="B883" s="92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</row>
    <row r="884" spans="1:16" ht="13.2">
      <c r="A884" s="90"/>
      <c r="B884" s="92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</row>
    <row r="885" spans="1:16" ht="13.2">
      <c r="A885" s="90"/>
      <c r="B885" s="92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</row>
    <row r="886" spans="1:16" ht="13.2">
      <c r="A886" s="90"/>
      <c r="B886" s="92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</row>
    <row r="887" spans="1:16" ht="13.2">
      <c r="A887" s="90"/>
      <c r="B887" s="92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</row>
    <row r="888" spans="1:16" ht="13.2">
      <c r="A888" s="90"/>
      <c r="B888" s="92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</row>
    <row r="889" spans="1:16" ht="13.2">
      <c r="A889" s="90"/>
      <c r="B889" s="92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</row>
    <row r="890" spans="1:16" ht="13.2">
      <c r="A890" s="90"/>
      <c r="B890" s="92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</row>
    <row r="891" spans="1:16" ht="13.2">
      <c r="A891" s="90"/>
      <c r="B891" s="92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</row>
    <row r="892" spans="1:16" ht="13.2">
      <c r="A892" s="90"/>
      <c r="B892" s="92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</row>
    <row r="893" spans="1:16" ht="13.2">
      <c r="A893" s="90"/>
      <c r="B893" s="92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</row>
    <row r="894" spans="1:16" ht="13.2">
      <c r="A894" s="90"/>
      <c r="B894" s="92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</row>
    <row r="895" spans="1:16" ht="13.2">
      <c r="A895" s="90"/>
      <c r="B895" s="92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</row>
    <row r="896" spans="1:16" ht="13.2">
      <c r="A896" s="90"/>
      <c r="B896" s="92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</row>
    <row r="897" spans="1:16" ht="13.2">
      <c r="A897" s="90"/>
      <c r="B897" s="92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</row>
    <row r="898" spans="1:16" ht="13.2">
      <c r="A898" s="90"/>
      <c r="B898" s="92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</row>
    <row r="899" spans="1:16" ht="13.2">
      <c r="A899" s="90"/>
      <c r="B899" s="92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</row>
    <row r="900" spans="1:16" ht="13.2">
      <c r="A900" s="90"/>
      <c r="B900" s="92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</row>
    <row r="901" spans="1:16" ht="13.2">
      <c r="A901" s="90"/>
      <c r="B901" s="92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</row>
    <row r="902" spans="1:16" ht="13.2">
      <c r="A902" s="90"/>
      <c r="B902" s="92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</row>
    <row r="903" spans="1:16" ht="13.2">
      <c r="A903" s="90"/>
      <c r="B903" s="92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</row>
    <row r="904" spans="1:16" ht="13.2">
      <c r="A904" s="90"/>
      <c r="B904" s="92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</row>
    <row r="905" spans="1:16" ht="13.2">
      <c r="A905" s="90"/>
      <c r="B905" s="92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</row>
    <row r="906" spans="1:16" ht="13.2">
      <c r="A906" s="90"/>
      <c r="B906" s="92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</row>
    <row r="907" spans="1:16" ht="13.2">
      <c r="A907" s="90"/>
      <c r="B907" s="92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</row>
    <row r="908" spans="1:16" ht="13.2">
      <c r="A908" s="90"/>
      <c r="B908" s="92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</row>
    <row r="909" spans="1:16" ht="13.2">
      <c r="A909" s="90"/>
      <c r="B909" s="92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</row>
    <row r="910" spans="1:16" ht="13.2">
      <c r="A910" s="90"/>
      <c r="B910" s="92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</row>
    <row r="911" spans="1:16" ht="13.2">
      <c r="A911" s="90"/>
      <c r="B911" s="92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</row>
    <row r="912" spans="1:16" ht="13.2">
      <c r="A912" s="90"/>
      <c r="B912" s="92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</row>
    <row r="913" spans="1:16" ht="13.2">
      <c r="A913" s="90"/>
      <c r="B913" s="92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</row>
    <row r="914" spans="1:16" ht="13.2">
      <c r="A914" s="90"/>
      <c r="B914" s="92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</row>
    <row r="915" spans="1:16" ht="13.2">
      <c r="A915" s="90"/>
      <c r="B915" s="92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</row>
    <row r="916" spans="1:16" ht="13.2">
      <c r="A916" s="90"/>
      <c r="B916" s="92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</row>
    <row r="917" spans="1:16" ht="13.2">
      <c r="A917" s="90"/>
      <c r="B917" s="92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</row>
    <row r="918" spans="1:16" ht="13.2">
      <c r="A918" s="90"/>
      <c r="B918" s="92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</row>
    <row r="919" spans="1:16" ht="13.2">
      <c r="A919" s="90"/>
      <c r="B919" s="92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</row>
    <row r="920" spans="1:16" ht="13.2">
      <c r="A920" s="90"/>
      <c r="B920" s="92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</row>
    <row r="921" spans="1:16" ht="13.2">
      <c r="A921" s="90"/>
      <c r="B921" s="92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</row>
    <row r="922" spans="1:16" ht="13.2">
      <c r="A922" s="90"/>
      <c r="B922" s="92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</row>
    <row r="923" spans="1:16" ht="13.2">
      <c r="A923" s="90"/>
      <c r="B923" s="92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</row>
    <row r="924" spans="1:16" ht="13.2">
      <c r="A924" s="90"/>
      <c r="B924" s="92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</row>
    <row r="925" spans="1:16" ht="13.2">
      <c r="A925" s="90"/>
      <c r="B925" s="92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</row>
    <row r="926" spans="1:16" ht="13.2">
      <c r="A926" s="90"/>
      <c r="B926" s="92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</row>
    <row r="927" spans="1:16" ht="13.2">
      <c r="A927" s="90"/>
      <c r="B927" s="92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</row>
    <row r="928" spans="1:16" ht="13.2">
      <c r="A928" s="90"/>
      <c r="B928" s="92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</row>
    <row r="929" spans="1:16" ht="13.2">
      <c r="A929" s="90"/>
      <c r="B929" s="92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</row>
    <row r="930" spans="1:16" ht="13.2">
      <c r="A930" s="90"/>
      <c r="B930" s="92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</row>
    <row r="931" spans="1:16" ht="13.2">
      <c r="A931" s="90"/>
      <c r="B931" s="92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</row>
    <row r="932" spans="1:16" ht="13.2">
      <c r="A932" s="90"/>
      <c r="B932" s="92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</row>
    <row r="933" spans="1:16" ht="13.2">
      <c r="A933" s="90"/>
      <c r="B933" s="92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</row>
    <row r="934" spans="1:16" ht="13.2">
      <c r="A934" s="90"/>
      <c r="B934" s="92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</row>
    <row r="935" spans="1:16" ht="13.2">
      <c r="A935" s="90"/>
      <c r="B935" s="92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</row>
    <row r="936" spans="1:16" ht="13.2">
      <c r="A936" s="90"/>
      <c r="B936" s="92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</row>
    <row r="937" spans="1:16" ht="13.2">
      <c r="A937" s="90"/>
      <c r="B937" s="92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</row>
    <row r="938" spans="1:16" ht="13.2">
      <c r="A938" s="90"/>
      <c r="B938" s="92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</row>
    <row r="939" spans="1:16" ht="13.2">
      <c r="A939" s="90"/>
      <c r="B939" s="92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</row>
    <row r="940" spans="1:16" ht="13.2">
      <c r="A940" s="90"/>
      <c r="B940" s="92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</row>
    <row r="941" spans="1:16" ht="13.2">
      <c r="A941" s="90"/>
      <c r="B941" s="92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</row>
    <row r="942" spans="1:16" ht="13.2">
      <c r="A942" s="90"/>
      <c r="B942" s="92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</row>
    <row r="943" spans="1:16" ht="13.2">
      <c r="A943" s="90"/>
      <c r="B943" s="92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</row>
    <row r="944" spans="1:16" ht="13.2">
      <c r="A944" s="90"/>
      <c r="B944" s="92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</row>
    <row r="945" spans="1:16" ht="13.2">
      <c r="A945" s="90"/>
      <c r="B945" s="92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</row>
    <row r="946" spans="1:16" ht="13.2">
      <c r="A946" s="90"/>
      <c r="B946" s="92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</row>
    <row r="947" spans="1:16" ht="13.2">
      <c r="A947" s="90"/>
      <c r="B947" s="92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</row>
    <row r="948" spans="1:16" ht="13.2">
      <c r="A948" s="90"/>
      <c r="B948" s="92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</row>
    <row r="949" spans="1:16" ht="13.2">
      <c r="A949" s="90"/>
      <c r="B949" s="92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</row>
    <row r="950" spans="1:16" ht="13.2">
      <c r="A950" s="90"/>
      <c r="B950" s="92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</row>
    <row r="951" spans="1:16" ht="13.2">
      <c r="A951" s="90"/>
      <c r="B951" s="92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</row>
    <row r="952" spans="1:16" ht="13.2">
      <c r="A952" s="90"/>
      <c r="B952" s="92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</row>
    <row r="953" spans="1:16" ht="13.2">
      <c r="A953" s="90"/>
      <c r="B953" s="92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</row>
    <row r="954" spans="1:16" ht="13.2">
      <c r="A954" s="90"/>
      <c r="B954" s="92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</row>
    <row r="955" spans="1:16" ht="13.2">
      <c r="A955" s="90"/>
      <c r="B955" s="92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</row>
    <row r="956" spans="1:16" ht="13.2">
      <c r="A956" s="90"/>
      <c r="B956" s="92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</row>
    <row r="957" spans="1:16" ht="13.2">
      <c r="A957" s="90"/>
      <c r="B957" s="92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</row>
    <row r="958" spans="1:16" ht="13.2">
      <c r="A958" s="90"/>
      <c r="B958" s="92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</row>
    <row r="959" spans="1:16" ht="13.2">
      <c r="A959" s="90"/>
      <c r="B959" s="92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</row>
    <row r="960" spans="1:16" ht="13.2">
      <c r="A960" s="90"/>
      <c r="B960" s="92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</row>
    <row r="961" spans="1:16" ht="13.2">
      <c r="A961" s="90"/>
      <c r="B961" s="92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</row>
    <row r="962" spans="1:16" ht="13.2">
      <c r="A962" s="90"/>
      <c r="B962" s="92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</row>
    <row r="963" spans="1:16" ht="13.2">
      <c r="A963" s="90"/>
      <c r="B963" s="92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</row>
    <row r="964" spans="1:16" ht="13.2">
      <c r="A964" s="90"/>
      <c r="B964" s="92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</row>
    <row r="965" spans="1:16" ht="13.2">
      <c r="A965" s="90"/>
      <c r="B965" s="92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</row>
    <row r="966" spans="1:16" ht="13.2">
      <c r="A966" s="90"/>
      <c r="B966" s="92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</row>
    <row r="967" spans="1:16" ht="13.2">
      <c r="A967" s="90"/>
      <c r="B967" s="92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</row>
    <row r="968" spans="1:16" ht="13.2">
      <c r="A968" s="90"/>
      <c r="B968" s="92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</row>
    <row r="969" spans="1:16" ht="13.2">
      <c r="A969" s="90"/>
      <c r="B969" s="92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</row>
    <row r="970" spans="1:16" ht="13.2">
      <c r="A970" s="90"/>
      <c r="B970" s="92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</row>
    <row r="971" spans="1:16" ht="13.2">
      <c r="A971" s="90"/>
      <c r="B971" s="92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</row>
    <row r="972" spans="1:16" ht="13.2">
      <c r="A972" s="90"/>
      <c r="B972" s="92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</row>
    <row r="973" spans="1:16" ht="13.2">
      <c r="A973" s="90"/>
      <c r="B973" s="92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</row>
    <row r="974" spans="1:16" ht="13.2">
      <c r="A974" s="90"/>
      <c r="B974" s="92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</row>
    <row r="975" spans="1:16" ht="13.2">
      <c r="A975" s="90"/>
      <c r="B975" s="92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</row>
    <row r="976" spans="1:16" ht="13.2">
      <c r="A976" s="90"/>
      <c r="B976" s="92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</row>
    <row r="977" spans="1:16" ht="13.2">
      <c r="A977" s="90"/>
      <c r="B977" s="92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</row>
    <row r="978" spans="1:16" ht="13.2">
      <c r="A978" s="90"/>
      <c r="B978" s="92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</row>
    <row r="979" spans="1:16" ht="13.2">
      <c r="A979" s="90"/>
      <c r="B979" s="92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</row>
    <row r="980" spans="1:16" ht="13.2">
      <c r="A980" s="90"/>
      <c r="B980" s="92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</row>
    <row r="981" spans="1:16" ht="13.2">
      <c r="A981" s="90"/>
      <c r="B981" s="92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</row>
    <row r="982" spans="1:16" ht="13.2">
      <c r="A982" s="90"/>
      <c r="B982" s="92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</row>
    <row r="983" spans="1:16" ht="13.2">
      <c r="A983" s="90"/>
      <c r="B983" s="92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</row>
    <row r="984" spans="1:16" ht="13.2">
      <c r="A984" s="90"/>
      <c r="B984" s="92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</row>
    <row r="985" spans="1:16" ht="13.2">
      <c r="A985" s="90"/>
      <c r="B985" s="92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</row>
    <row r="986" spans="1:16" ht="13.2">
      <c r="A986" s="90"/>
      <c r="B986" s="92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</row>
    <row r="987" spans="1:16" ht="13.2">
      <c r="A987" s="90"/>
      <c r="B987" s="92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</row>
    <row r="988" spans="1:16" ht="13.2">
      <c r="A988" s="90"/>
      <c r="B988" s="92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</row>
    <row r="989" spans="1:16" ht="13.2">
      <c r="A989" s="90"/>
      <c r="B989" s="92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</row>
    <row r="990" spans="1:16" ht="13.2">
      <c r="A990" s="90"/>
      <c r="B990" s="92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</row>
    <row r="991" spans="1:16" ht="13.2">
      <c r="A991" s="90"/>
      <c r="B991" s="92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</row>
    <row r="992" spans="1:16" ht="13.2">
      <c r="A992" s="90"/>
      <c r="B992" s="92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</row>
    <row r="993" spans="1:16" ht="13.2">
      <c r="A993" s="90"/>
      <c r="B993" s="92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</row>
    <row r="994" spans="1:16" ht="13.2">
      <c r="A994" s="90"/>
      <c r="B994" s="92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</row>
    <row r="995" spans="1:16" ht="13.2">
      <c r="A995" s="90"/>
      <c r="B995" s="92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</row>
    <row r="996" spans="1:16" ht="13.2">
      <c r="A996" s="90"/>
      <c r="B996" s="92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</row>
    <row r="997" spans="1:16" ht="13.2">
      <c r="A997" s="90"/>
      <c r="B997" s="92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</row>
    <row r="998" spans="1:16" ht="13.2">
      <c r="A998" s="90"/>
      <c r="B998" s="92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</row>
    <row r="999" spans="1:16" ht="13.2">
      <c r="A999" s="90"/>
      <c r="B999" s="92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</row>
    <row r="1000" spans="1:16" ht="13.2">
      <c r="A1000" s="90"/>
      <c r="B1000" s="92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</row>
    <row r="1001" spans="1:16" ht="13.2">
      <c r="A1001" s="90"/>
      <c r="B1001" s="92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</row>
    <row r="1002" spans="1:16" ht="13.2">
      <c r="A1002" s="90"/>
      <c r="B1002" s="92"/>
      <c r="C1002" s="90"/>
      <c r="D1002" s="90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</row>
    <row r="1003" spans="1:16" ht="13.2">
      <c r="A1003" s="90"/>
      <c r="B1003" s="92"/>
      <c r="C1003" s="90"/>
      <c r="D1003" s="90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</row>
    <row r="1004" spans="1:16" ht="13.2">
      <c r="A1004" s="90"/>
      <c r="B1004" s="92"/>
      <c r="C1004" s="90"/>
      <c r="D1004" s="90"/>
      <c r="E1004" s="90"/>
      <c r="F1004" s="90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</row>
    <row r="1005" spans="1:16" ht="13.2">
      <c r="A1005" s="90"/>
      <c r="B1005" s="92"/>
      <c r="C1005" s="90"/>
      <c r="D1005" s="90"/>
      <c r="E1005" s="90"/>
      <c r="F1005" s="90"/>
      <c r="G1005" s="90"/>
      <c r="H1005" s="90"/>
      <c r="I1005" s="90"/>
      <c r="J1005" s="90"/>
      <c r="K1005" s="90"/>
      <c r="L1005" s="90"/>
      <c r="M1005" s="90"/>
      <c r="N1005" s="90"/>
      <c r="O1005" s="90"/>
      <c r="P1005" s="90"/>
    </row>
    <row r="1006" spans="1:16" ht="13.2">
      <c r="A1006" s="90"/>
      <c r="B1006" s="92"/>
      <c r="C1006" s="90"/>
      <c r="D1006" s="90"/>
      <c r="E1006" s="90"/>
      <c r="F1006" s="90"/>
      <c r="G1006" s="90"/>
      <c r="H1006" s="90"/>
      <c r="I1006" s="90"/>
      <c r="J1006" s="90"/>
      <c r="K1006" s="90"/>
      <c r="L1006" s="90"/>
      <c r="M1006" s="90"/>
      <c r="N1006" s="90"/>
      <c r="O1006" s="90"/>
      <c r="P1006" s="90"/>
    </row>
    <row r="1007" spans="1:16" ht="13.2">
      <c r="A1007" s="90"/>
      <c r="B1007" s="92"/>
      <c r="C1007" s="90"/>
      <c r="D1007" s="90"/>
      <c r="E1007" s="90"/>
      <c r="F1007" s="90"/>
      <c r="G1007" s="90"/>
      <c r="H1007" s="90"/>
      <c r="I1007" s="90"/>
      <c r="J1007" s="90"/>
      <c r="K1007" s="90"/>
      <c r="L1007" s="90"/>
      <c r="M1007" s="90"/>
      <c r="N1007" s="90"/>
      <c r="O1007" s="90"/>
      <c r="P1007" s="90"/>
    </row>
    <row r="1008" spans="1:16" ht="13.2">
      <c r="A1008" s="90"/>
      <c r="B1008" s="92"/>
      <c r="C1008" s="90"/>
      <c r="D1008" s="90"/>
      <c r="E1008" s="90"/>
      <c r="F1008" s="90"/>
      <c r="G1008" s="90"/>
      <c r="H1008" s="90"/>
      <c r="I1008" s="90"/>
      <c r="J1008" s="90"/>
      <c r="K1008" s="90"/>
      <c r="L1008" s="90"/>
      <c r="M1008" s="90"/>
      <c r="N1008" s="90"/>
      <c r="O1008" s="90"/>
      <c r="P1008" s="90"/>
    </row>
    <row r="1009" spans="1:16" ht="13.2">
      <c r="A1009" s="90"/>
      <c r="B1009" s="92"/>
      <c r="C1009" s="90"/>
      <c r="D1009" s="90"/>
      <c r="E1009" s="90"/>
      <c r="F1009" s="90"/>
      <c r="G1009" s="90"/>
      <c r="H1009" s="90"/>
      <c r="I1009" s="90"/>
      <c r="J1009" s="90"/>
      <c r="K1009" s="90"/>
      <c r="L1009" s="90"/>
      <c r="M1009" s="90"/>
      <c r="N1009" s="90"/>
      <c r="O1009" s="90"/>
      <c r="P1009" s="90"/>
    </row>
    <row r="1010" spans="1:16" ht="13.2">
      <c r="A1010" s="90"/>
      <c r="B1010" s="92"/>
      <c r="C1010" s="90"/>
      <c r="D1010" s="90"/>
      <c r="E1010" s="90"/>
      <c r="F1010" s="90"/>
      <c r="G1010" s="90"/>
      <c r="H1010" s="90"/>
      <c r="I1010" s="90"/>
      <c r="J1010" s="90"/>
      <c r="K1010" s="90"/>
      <c r="L1010" s="90"/>
      <c r="M1010" s="90"/>
      <c r="N1010" s="90"/>
      <c r="O1010" s="90"/>
      <c r="P1010" s="90"/>
    </row>
    <row r="1011" spans="1:16" ht="13.2">
      <c r="A1011" s="90"/>
      <c r="B1011" s="92"/>
      <c r="C1011" s="90"/>
      <c r="D1011" s="90"/>
      <c r="E1011" s="90"/>
      <c r="F1011" s="90"/>
      <c r="G1011" s="90"/>
      <c r="H1011" s="90"/>
      <c r="I1011" s="90"/>
      <c r="J1011" s="90"/>
      <c r="K1011" s="90"/>
      <c r="L1011" s="90"/>
      <c r="M1011" s="90"/>
      <c r="N1011" s="90"/>
      <c r="O1011" s="90"/>
      <c r="P1011" s="90"/>
    </row>
    <row r="1012" spans="1:16" ht="13.2">
      <c r="A1012" s="90"/>
      <c r="B1012" s="92"/>
      <c r="C1012" s="90"/>
      <c r="D1012" s="90"/>
      <c r="E1012" s="90"/>
      <c r="F1012" s="90"/>
      <c r="G1012" s="90"/>
      <c r="H1012" s="90"/>
      <c r="I1012" s="90"/>
      <c r="J1012" s="90"/>
      <c r="K1012" s="90"/>
      <c r="L1012" s="90"/>
      <c r="M1012" s="90"/>
      <c r="N1012" s="90"/>
      <c r="O1012" s="90"/>
      <c r="P1012" s="90"/>
    </row>
    <row r="1013" spans="1:16" ht="13.2">
      <c r="A1013" s="90"/>
      <c r="B1013" s="92"/>
      <c r="C1013" s="90"/>
      <c r="D1013" s="90"/>
      <c r="E1013" s="90"/>
      <c r="F1013" s="90"/>
      <c r="G1013" s="90"/>
      <c r="H1013" s="90"/>
      <c r="I1013" s="90"/>
      <c r="J1013" s="90"/>
      <c r="K1013" s="90"/>
      <c r="L1013" s="90"/>
      <c r="M1013" s="90"/>
      <c r="N1013" s="90"/>
      <c r="O1013" s="90"/>
      <c r="P1013" s="90"/>
    </row>
    <row r="1014" spans="1:16" ht="13.2">
      <c r="A1014" s="90"/>
      <c r="B1014" s="92"/>
      <c r="C1014" s="90"/>
      <c r="D1014" s="90"/>
      <c r="E1014" s="90"/>
      <c r="F1014" s="90"/>
      <c r="G1014" s="90"/>
      <c r="H1014" s="90"/>
      <c r="I1014" s="90"/>
      <c r="J1014" s="90"/>
      <c r="K1014" s="90"/>
      <c r="L1014" s="90"/>
      <c r="M1014" s="90"/>
      <c r="N1014" s="90"/>
      <c r="O1014" s="90"/>
      <c r="P1014" s="90"/>
    </row>
    <row r="1015" spans="1:16" ht="13.2">
      <c r="A1015" s="90"/>
      <c r="B1015" s="92"/>
      <c r="C1015" s="90"/>
      <c r="D1015" s="90"/>
      <c r="E1015" s="90"/>
      <c r="F1015" s="90"/>
      <c r="G1015" s="90"/>
      <c r="H1015" s="90"/>
      <c r="I1015" s="90"/>
      <c r="J1015" s="90"/>
      <c r="K1015" s="90"/>
      <c r="L1015" s="90"/>
      <c r="M1015" s="90"/>
      <c r="N1015" s="90"/>
      <c r="O1015" s="90"/>
      <c r="P1015" s="90"/>
    </row>
    <row r="1016" spans="1:16" ht="13.2">
      <c r="A1016" s="90"/>
      <c r="B1016" s="92"/>
      <c r="C1016" s="90"/>
      <c r="D1016" s="90"/>
      <c r="E1016" s="90"/>
      <c r="F1016" s="90"/>
      <c r="G1016" s="90"/>
      <c r="H1016" s="90"/>
      <c r="I1016" s="90"/>
      <c r="J1016" s="90"/>
      <c r="K1016" s="90"/>
      <c r="L1016" s="90"/>
      <c r="M1016" s="90"/>
      <c r="N1016" s="90"/>
      <c r="O1016" s="90"/>
      <c r="P1016" s="90"/>
    </row>
    <row r="1017" spans="1:16" ht="13.2">
      <c r="A1017" s="90"/>
      <c r="B1017" s="92"/>
      <c r="C1017" s="90"/>
      <c r="D1017" s="90"/>
      <c r="E1017" s="90"/>
      <c r="F1017" s="90"/>
      <c r="G1017" s="90"/>
      <c r="H1017" s="90"/>
      <c r="I1017" s="90"/>
      <c r="J1017" s="90"/>
      <c r="K1017" s="90"/>
      <c r="L1017" s="90"/>
      <c r="M1017" s="90"/>
      <c r="N1017" s="90"/>
      <c r="O1017" s="90"/>
      <c r="P1017" s="90"/>
    </row>
    <row r="1018" spans="1:16" ht="13.2">
      <c r="A1018" s="90"/>
      <c r="B1018" s="92"/>
      <c r="C1018" s="90"/>
      <c r="D1018" s="90"/>
      <c r="E1018" s="90"/>
      <c r="F1018" s="90"/>
      <c r="G1018" s="90"/>
      <c r="H1018" s="90"/>
      <c r="I1018" s="90"/>
      <c r="J1018" s="90"/>
      <c r="K1018" s="90"/>
      <c r="L1018" s="90"/>
      <c r="M1018" s="90"/>
      <c r="N1018" s="90"/>
      <c r="O1018" s="90"/>
      <c r="P1018" s="90"/>
    </row>
    <row r="1019" spans="1:16" ht="13.2">
      <c r="A1019" s="90"/>
      <c r="B1019" s="92"/>
      <c r="C1019" s="90"/>
      <c r="D1019" s="90"/>
      <c r="E1019" s="90"/>
      <c r="F1019" s="90"/>
      <c r="G1019" s="90"/>
      <c r="H1019" s="90"/>
      <c r="I1019" s="90"/>
      <c r="J1019" s="90"/>
      <c r="K1019" s="90"/>
      <c r="L1019" s="90"/>
      <c r="M1019" s="90"/>
      <c r="N1019" s="90"/>
      <c r="O1019" s="90"/>
      <c r="P1019" s="90"/>
    </row>
    <row r="1020" spans="1:16" ht="13.2">
      <c r="A1020" s="90"/>
      <c r="B1020" s="92"/>
      <c r="C1020" s="90"/>
      <c r="D1020" s="90"/>
      <c r="E1020" s="90"/>
      <c r="F1020" s="90"/>
      <c r="G1020" s="90"/>
      <c r="H1020" s="90"/>
      <c r="I1020" s="90"/>
      <c r="J1020" s="90"/>
      <c r="K1020" s="90"/>
      <c r="L1020" s="90"/>
      <c r="M1020" s="90"/>
      <c r="N1020" s="90"/>
      <c r="O1020" s="90"/>
      <c r="P1020" s="90"/>
    </row>
    <row r="1021" spans="1:16" ht="13.2">
      <c r="A1021" s="90"/>
      <c r="B1021" s="92"/>
      <c r="C1021" s="90"/>
      <c r="D1021" s="90"/>
      <c r="E1021" s="90"/>
      <c r="F1021" s="90"/>
      <c r="G1021" s="90"/>
      <c r="H1021" s="90"/>
      <c r="I1021" s="90"/>
      <c r="J1021" s="90"/>
      <c r="K1021" s="90"/>
      <c r="L1021" s="90"/>
      <c r="M1021" s="90"/>
      <c r="N1021" s="90"/>
      <c r="O1021" s="90"/>
      <c r="P1021" s="90"/>
    </row>
    <row r="1022" spans="1:16" ht="13.2">
      <c r="A1022" s="90"/>
      <c r="B1022" s="92"/>
      <c r="C1022" s="90"/>
      <c r="D1022" s="90"/>
      <c r="E1022" s="90"/>
      <c r="F1022" s="90"/>
      <c r="G1022" s="90"/>
      <c r="H1022" s="90"/>
      <c r="I1022" s="90"/>
      <c r="J1022" s="90"/>
      <c r="K1022" s="90"/>
      <c r="L1022" s="90"/>
      <c r="M1022" s="90"/>
      <c r="N1022" s="90"/>
      <c r="O1022" s="90"/>
      <c r="P1022" s="90"/>
    </row>
    <row r="1023" spans="1:16" ht="13.2">
      <c r="A1023" s="90"/>
      <c r="B1023" s="92"/>
      <c r="C1023" s="90"/>
      <c r="D1023" s="90"/>
      <c r="E1023" s="90"/>
      <c r="F1023" s="90"/>
      <c r="G1023" s="90"/>
      <c r="H1023" s="90"/>
      <c r="I1023" s="90"/>
      <c r="J1023" s="90"/>
      <c r="K1023" s="90"/>
      <c r="L1023" s="90"/>
      <c r="M1023" s="90"/>
      <c r="N1023" s="90"/>
      <c r="O1023" s="90"/>
      <c r="P1023" s="90"/>
    </row>
    <row r="1024" spans="1:16" ht="13.2">
      <c r="A1024" s="90"/>
      <c r="B1024" s="92"/>
      <c r="C1024" s="90"/>
      <c r="D1024" s="90"/>
      <c r="E1024" s="90"/>
      <c r="F1024" s="90"/>
      <c r="G1024" s="90"/>
      <c r="H1024" s="90"/>
      <c r="I1024" s="90"/>
      <c r="J1024" s="90"/>
      <c r="K1024" s="90"/>
      <c r="L1024" s="90"/>
      <c r="M1024" s="90"/>
      <c r="N1024" s="90"/>
      <c r="O1024" s="90"/>
      <c r="P1024" s="90"/>
    </row>
    <row r="1025" spans="1:16" ht="13.2">
      <c r="A1025" s="90"/>
      <c r="B1025" s="92"/>
      <c r="C1025" s="90"/>
      <c r="D1025" s="90"/>
      <c r="E1025" s="90"/>
      <c r="F1025" s="90"/>
      <c r="G1025" s="90"/>
      <c r="H1025" s="90"/>
      <c r="I1025" s="90"/>
      <c r="J1025" s="90"/>
      <c r="K1025" s="90"/>
      <c r="L1025" s="90"/>
      <c r="M1025" s="90"/>
      <c r="N1025" s="90"/>
      <c r="O1025" s="90"/>
      <c r="P1025" s="90"/>
    </row>
    <row r="1026" spans="1:16" ht="13.2">
      <c r="A1026" s="90"/>
      <c r="B1026" s="92"/>
      <c r="C1026" s="90"/>
      <c r="D1026" s="90"/>
      <c r="E1026" s="90"/>
      <c r="F1026" s="90"/>
      <c r="G1026" s="90"/>
      <c r="H1026" s="90"/>
      <c r="I1026" s="90"/>
      <c r="J1026" s="90"/>
      <c r="K1026" s="90"/>
      <c r="L1026" s="90"/>
      <c r="M1026" s="90"/>
      <c r="N1026" s="90"/>
      <c r="O1026" s="90"/>
      <c r="P1026" s="90"/>
    </row>
    <row r="1027" spans="1:16" ht="13.2">
      <c r="A1027" s="90"/>
      <c r="B1027" s="92"/>
      <c r="C1027" s="90"/>
      <c r="D1027" s="90"/>
      <c r="E1027" s="90"/>
      <c r="F1027" s="90"/>
      <c r="G1027" s="90"/>
      <c r="H1027" s="90"/>
      <c r="I1027" s="90"/>
      <c r="J1027" s="90"/>
      <c r="K1027" s="90"/>
      <c r="L1027" s="90"/>
      <c r="M1027" s="90"/>
      <c r="N1027" s="90"/>
      <c r="O1027" s="90"/>
      <c r="P1027" s="90"/>
    </row>
    <row r="1028" spans="1:16" ht="13.2">
      <c r="A1028" s="90"/>
      <c r="B1028" s="92"/>
      <c r="C1028" s="90"/>
      <c r="D1028" s="90"/>
      <c r="E1028" s="90"/>
      <c r="F1028" s="90"/>
      <c r="G1028" s="90"/>
      <c r="H1028" s="90"/>
      <c r="I1028" s="90"/>
      <c r="J1028" s="90"/>
      <c r="K1028" s="90"/>
      <c r="L1028" s="90"/>
      <c r="M1028" s="90"/>
      <c r="N1028" s="90"/>
      <c r="O1028" s="90"/>
      <c r="P1028" s="90"/>
    </row>
    <row r="1029" spans="1:16" ht="13.2">
      <c r="A1029" s="90"/>
      <c r="B1029" s="92"/>
      <c r="C1029" s="90"/>
      <c r="D1029" s="90"/>
      <c r="E1029" s="90"/>
      <c r="F1029" s="90"/>
      <c r="G1029" s="90"/>
      <c r="H1029" s="90"/>
      <c r="I1029" s="90"/>
      <c r="J1029" s="90"/>
      <c r="K1029" s="90"/>
      <c r="L1029" s="90"/>
      <c r="M1029" s="90"/>
      <c r="N1029" s="90"/>
      <c r="O1029" s="90"/>
      <c r="P1029" s="90"/>
    </row>
    <row r="1030" spans="1:16" ht="13.2">
      <c r="A1030" s="90"/>
      <c r="B1030" s="92"/>
      <c r="C1030" s="90"/>
      <c r="D1030" s="90"/>
      <c r="E1030" s="90"/>
      <c r="F1030" s="90"/>
      <c r="G1030" s="90"/>
      <c r="H1030" s="90"/>
      <c r="I1030" s="90"/>
      <c r="J1030" s="90"/>
      <c r="K1030" s="90"/>
      <c r="L1030" s="90"/>
      <c r="M1030" s="90"/>
      <c r="N1030" s="90"/>
      <c r="O1030" s="90"/>
      <c r="P1030" s="90"/>
    </row>
    <row r="1031" spans="1:16" ht="13.2">
      <c r="A1031" s="90"/>
      <c r="B1031" s="92"/>
      <c r="C1031" s="90"/>
      <c r="D1031" s="90"/>
      <c r="E1031" s="90"/>
      <c r="F1031" s="90"/>
      <c r="G1031" s="90"/>
      <c r="H1031" s="90"/>
      <c r="I1031" s="90"/>
      <c r="J1031" s="90"/>
      <c r="K1031" s="90"/>
      <c r="L1031" s="90"/>
      <c r="M1031" s="90"/>
      <c r="N1031" s="90"/>
      <c r="O1031" s="90"/>
      <c r="P1031" s="90"/>
    </row>
    <row r="1032" spans="1:16" ht="13.2">
      <c r="A1032" s="90"/>
      <c r="B1032" s="92"/>
      <c r="C1032" s="90"/>
      <c r="D1032" s="90"/>
      <c r="E1032" s="90"/>
      <c r="F1032" s="90"/>
      <c r="G1032" s="90"/>
      <c r="H1032" s="90"/>
      <c r="I1032" s="90"/>
      <c r="J1032" s="90"/>
      <c r="K1032" s="90"/>
      <c r="L1032" s="90"/>
      <c r="M1032" s="90"/>
      <c r="N1032" s="90"/>
      <c r="O1032" s="90"/>
      <c r="P1032" s="90"/>
    </row>
    <row r="1033" spans="1:16" ht="13.2">
      <c r="A1033" s="90"/>
      <c r="B1033" s="92"/>
      <c r="C1033" s="90"/>
      <c r="D1033" s="90"/>
      <c r="E1033" s="90"/>
      <c r="F1033" s="90"/>
      <c r="G1033" s="90"/>
      <c r="H1033" s="90"/>
      <c r="I1033" s="90"/>
      <c r="J1033" s="90"/>
      <c r="K1033" s="90"/>
      <c r="L1033" s="90"/>
      <c r="M1033" s="90"/>
      <c r="N1033" s="90"/>
      <c r="O1033" s="90"/>
      <c r="P1033" s="90"/>
    </row>
    <row r="1034" spans="1:16" ht="13.2">
      <c r="A1034" s="90"/>
      <c r="B1034" s="92"/>
      <c r="C1034" s="90"/>
      <c r="D1034" s="90"/>
      <c r="E1034" s="90"/>
      <c r="F1034" s="90"/>
      <c r="G1034" s="90"/>
      <c r="H1034" s="90"/>
      <c r="I1034" s="90"/>
      <c r="J1034" s="90"/>
      <c r="K1034" s="90"/>
      <c r="L1034" s="90"/>
      <c r="M1034" s="90"/>
      <c r="N1034" s="90"/>
      <c r="O1034" s="90"/>
      <c r="P1034" s="90"/>
    </row>
    <row r="1035" spans="1:16" ht="13.2">
      <c r="A1035" s="90"/>
      <c r="B1035" s="92"/>
      <c r="C1035" s="90"/>
      <c r="D1035" s="90"/>
      <c r="E1035" s="90"/>
      <c r="F1035" s="90"/>
      <c r="G1035" s="90"/>
      <c r="H1035" s="90"/>
      <c r="I1035" s="90"/>
      <c r="J1035" s="90"/>
      <c r="K1035" s="90"/>
      <c r="L1035" s="90"/>
      <c r="M1035" s="90"/>
      <c r="N1035" s="90"/>
      <c r="O1035" s="90"/>
      <c r="P1035" s="90"/>
    </row>
    <row r="1036" spans="1:16" ht="13.2">
      <c r="A1036" s="90"/>
      <c r="B1036" s="92"/>
      <c r="C1036" s="90"/>
      <c r="D1036" s="90"/>
      <c r="E1036" s="90"/>
      <c r="F1036" s="90"/>
      <c r="G1036" s="90"/>
      <c r="H1036" s="90"/>
      <c r="I1036" s="90"/>
      <c r="J1036" s="90"/>
      <c r="K1036" s="90"/>
      <c r="L1036" s="90"/>
      <c r="M1036" s="90"/>
      <c r="N1036" s="90"/>
      <c r="O1036" s="90"/>
      <c r="P1036" s="90"/>
    </row>
    <row r="1037" spans="1:16" ht="13.2">
      <c r="A1037" s="90"/>
      <c r="B1037" s="92"/>
      <c r="C1037" s="90"/>
      <c r="D1037" s="90"/>
      <c r="E1037" s="90"/>
      <c r="F1037" s="90"/>
      <c r="G1037" s="90"/>
      <c r="H1037" s="90"/>
      <c r="I1037" s="90"/>
      <c r="J1037" s="90"/>
      <c r="K1037" s="90"/>
      <c r="L1037" s="90"/>
      <c r="M1037" s="90"/>
      <c r="N1037" s="90"/>
      <c r="O1037" s="90"/>
      <c r="P1037" s="90"/>
    </row>
    <row r="1038" spans="1:16" ht="13.2">
      <c r="A1038" s="90"/>
      <c r="B1038" s="92"/>
      <c r="C1038" s="90"/>
      <c r="D1038" s="90"/>
      <c r="E1038" s="90"/>
      <c r="F1038" s="90"/>
      <c r="G1038" s="90"/>
      <c r="H1038" s="90"/>
      <c r="I1038" s="90"/>
      <c r="J1038" s="90"/>
      <c r="K1038" s="90"/>
      <c r="L1038" s="90"/>
      <c r="M1038" s="90"/>
      <c r="N1038" s="90"/>
      <c r="O1038" s="90"/>
      <c r="P1038" s="90"/>
    </row>
    <row r="1039" spans="1:16" ht="13.2">
      <c r="A1039" s="90"/>
      <c r="B1039" s="92"/>
      <c r="C1039" s="90"/>
      <c r="D1039" s="90"/>
      <c r="E1039" s="90"/>
      <c r="F1039" s="90"/>
      <c r="G1039" s="90"/>
      <c r="H1039" s="90"/>
      <c r="I1039" s="90"/>
      <c r="J1039" s="90"/>
      <c r="K1039" s="90"/>
      <c r="L1039" s="90"/>
      <c r="M1039" s="90"/>
      <c r="N1039" s="90"/>
      <c r="O1039" s="90"/>
      <c r="P1039" s="90"/>
    </row>
    <row r="1040" spans="1:16" ht="13.2">
      <c r="A1040" s="90"/>
      <c r="B1040" s="92"/>
      <c r="C1040" s="90"/>
      <c r="D1040" s="90"/>
      <c r="E1040" s="90"/>
      <c r="F1040" s="90"/>
      <c r="G1040" s="90"/>
      <c r="H1040" s="90"/>
      <c r="I1040" s="90"/>
      <c r="J1040" s="90"/>
      <c r="K1040" s="90"/>
      <c r="L1040" s="90"/>
      <c r="M1040" s="90"/>
      <c r="N1040" s="90"/>
      <c r="O1040" s="90"/>
      <c r="P1040" s="90"/>
    </row>
    <row r="1041" spans="1:16" ht="13.2">
      <c r="A1041" s="90"/>
      <c r="B1041" s="92"/>
      <c r="C1041" s="90"/>
      <c r="D1041" s="90"/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</row>
    <row r="1042" spans="1:16" ht="13.2">
      <c r="A1042" s="90"/>
      <c r="B1042" s="92"/>
      <c r="C1042" s="90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</row>
    <row r="1043" spans="1:16" ht="13.2">
      <c r="A1043" s="90"/>
      <c r="B1043" s="92"/>
      <c r="C1043" s="90"/>
      <c r="D1043" s="90"/>
      <c r="E1043" s="90"/>
      <c r="F1043" s="90"/>
      <c r="G1043" s="90"/>
      <c r="H1043" s="90"/>
      <c r="I1043" s="90"/>
      <c r="J1043" s="90"/>
      <c r="K1043" s="90"/>
      <c r="L1043" s="90"/>
      <c r="M1043" s="90"/>
      <c r="N1043" s="90"/>
      <c r="O1043" s="90"/>
      <c r="P1043" s="90"/>
    </row>
    <row r="1044" spans="1:16" ht="13.2">
      <c r="A1044" s="90"/>
      <c r="B1044" s="92"/>
      <c r="C1044" s="90"/>
      <c r="D1044" s="90"/>
      <c r="E1044" s="90"/>
      <c r="F1044" s="90"/>
      <c r="G1044" s="90"/>
      <c r="H1044" s="90"/>
      <c r="I1044" s="90"/>
      <c r="J1044" s="90"/>
      <c r="K1044" s="90"/>
      <c r="L1044" s="90"/>
      <c r="M1044" s="90"/>
      <c r="N1044" s="90"/>
      <c r="O1044" s="90"/>
      <c r="P1044" s="90"/>
    </row>
    <row r="1045" spans="1:16" ht="13.2">
      <c r="A1045" s="90"/>
      <c r="B1045" s="92"/>
      <c r="C1045" s="90"/>
      <c r="D1045" s="90"/>
      <c r="E1045" s="90"/>
      <c r="F1045" s="90"/>
      <c r="G1045" s="90"/>
      <c r="H1045" s="90"/>
      <c r="I1045" s="90"/>
      <c r="J1045" s="90"/>
      <c r="K1045" s="90"/>
      <c r="L1045" s="90"/>
      <c r="M1045" s="90"/>
      <c r="N1045" s="90"/>
      <c r="O1045" s="90"/>
      <c r="P1045" s="90"/>
    </row>
    <row r="1046" spans="1:16" ht="13.2">
      <c r="A1046" s="90"/>
      <c r="B1046" s="92"/>
      <c r="C1046" s="90"/>
      <c r="D1046" s="90"/>
      <c r="E1046" s="90"/>
      <c r="F1046" s="90"/>
      <c r="G1046" s="90"/>
      <c r="H1046" s="90"/>
      <c r="I1046" s="90"/>
      <c r="J1046" s="90"/>
      <c r="K1046" s="90"/>
      <c r="L1046" s="90"/>
      <c r="M1046" s="90"/>
      <c r="N1046" s="90"/>
      <c r="O1046" s="90"/>
      <c r="P1046" s="90"/>
    </row>
    <row r="1047" spans="1:16" ht="13.2">
      <c r="A1047" s="90"/>
      <c r="B1047" s="92"/>
      <c r="C1047" s="90"/>
      <c r="D1047" s="90"/>
      <c r="E1047" s="90"/>
      <c r="F1047" s="90"/>
      <c r="G1047" s="90"/>
      <c r="H1047" s="90"/>
      <c r="I1047" s="90"/>
      <c r="J1047" s="90"/>
      <c r="K1047" s="90"/>
      <c r="L1047" s="90"/>
      <c r="M1047" s="90"/>
      <c r="N1047" s="90"/>
      <c r="O1047" s="90"/>
      <c r="P1047" s="90"/>
    </row>
    <row r="1048" spans="1:16" ht="13.2">
      <c r="A1048" s="90"/>
      <c r="B1048" s="92"/>
      <c r="C1048" s="90"/>
      <c r="D1048" s="90"/>
      <c r="E1048" s="90"/>
      <c r="F1048" s="90"/>
      <c r="G1048" s="90"/>
      <c r="H1048" s="90"/>
      <c r="I1048" s="90"/>
      <c r="J1048" s="90"/>
      <c r="K1048" s="90"/>
      <c r="L1048" s="90"/>
      <c r="M1048" s="90"/>
      <c r="N1048" s="90"/>
      <c r="O1048" s="90"/>
      <c r="P1048" s="90"/>
    </row>
    <row r="1049" spans="1:16" ht="13.2">
      <c r="A1049" s="90"/>
      <c r="B1049" s="92"/>
      <c r="C1049" s="90"/>
      <c r="D1049" s="90"/>
      <c r="E1049" s="90"/>
      <c r="F1049" s="90"/>
      <c r="G1049" s="90"/>
      <c r="H1049" s="90"/>
      <c r="I1049" s="90"/>
      <c r="J1049" s="90"/>
      <c r="K1049" s="90"/>
      <c r="L1049" s="90"/>
      <c r="M1049" s="90"/>
      <c r="N1049" s="90"/>
      <c r="O1049" s="90"/>
      <c r="P1049" s="90"/>
    </row>
    <row r="1050" spans="1:16" ht="13.2">
      <c r="A1050" s="90"/>
      <c r="B1050" s="92"/>
      <c r="C1050" s="90"/>
      <c r="D1050" s="90"/>
      <c r="E1050" s="90"/>
      <c r="F1050" s="90"/>
      <c r="G1050" s="90"/>
      <c r="H1050" s="90"/>
      <c r="I1050" s="90"/>
      <c r="J1050" s="90"/>
      <c r="K1050" s="90"/>
      <c r="L1050" s="90"/>
      <c r="M1050" s="90"/>
      <c r="N1050" s="90"/>
      <c r="O1050" s="90"/>
      <c r="P1050" s="90"/>
    </row>
    <row r="1051" spans="1:16" ht="13.2">
      <c r="A1051" s="90"/>
      <c r="B1051" s="92"/>
      <c r="C1051" s="90"/>
      <c r="D1051" s="90"/>
      <c r="E1051" s="90"/>
      <c r="F1051" s="90"/>
      <c r="G1051" s="90"/>
      <c r="H1051" s="90"/>
      <c r="I1051" s="90"/>
      <c r="J1051" s="90"/>
      <c r="K1051" s="90"/>
      <c r="L1051" s="90"/>
      <c r="M1051" s="90"/>
      <c r="N1051" s="90"/>
      <c r="O1051" s="90"/>
      <c r="P1051" s="90"/>
    </row>
    <row r="1052" spans="1:16" ht="13.2">
      <c r="A1052" s="90"/>
      <c r="B1052" s="92"/>
      <c r="C1052" s="90"/>
      <c r="D1052" s="90"/>
      <c r="E1052" s="90"/>
      <c r="F1052" s="90"/>
      <c r="G1052" s="90"/>
      <c r="H1052" s="90"/>
      <c r="I1052" s="90"/>
      <c r="J1052" s="90"/>
      <c r="K1052" s="90"/>
      <c r="L1052" s="90"/>
      <c r="M1052" s="90"/>
      <c r="N1052" s="90"/>
      <c r="O1052" s="90"/>
      <c r="P1052" s="90"/>
    </row>
    <row r="1053" spans="1:16" ht="13.2">
      <c r="A1053" s="90"/>
      <c r="B1053" s="92"/>
      <c r="C1053" s="90"/>
      <c r="D1053" s="90"/>
      <c r="E1053" s="90"/>
      <c r="F1053" s="90"/>
      <c r="G1053" s="90"/>
      <c r="H1053" s="90"/>
      <c r="I1053" s="90"/>
      <c r="J1053" s="90"/>
      <c r="K1053" s="90"/>
      <c r="L1053" s="90"/>
      <c r="M1053" s="90"/>
      <c r="N1053" s="90"/>
      <c r="O1053" s="90"/>
      <c r="P1053" s="90"/>
    </row>
    <row r="1054" spans="1:16" ht="13.2">
      <c r="A1054" s="90"/>
      <c r="B1054" s="92"/>
      <c r="C1054" s="90"/>
      <c r="D1054" s="90"/>
      <c r="E1054" s="90"/>
      <c r="F1054" s="90"/>
      <c r="G1054" s="90"/>
      <c r="H1054" s="90"/>
      <c r="I1054" s="90"/>
      <c r="J1054" s="90"/>
      <c r="K1054" s="90"/>
      <c r="L1054" s="90"/>
      <c r="M1054" s="90"/>
      <c r="N1054" s="90"/>
      <c r="O1054" s="90"/>
      <c r="P1054" s="90"/>
    </row>
    <row r="1055" spans="1:16" ht="13.2">
      <c r="A1055" s="90"/>
      <c r="B1055" s="92"/>
      <c r="C1055" s="90"/>
      <c r="D1055" s="90"/>
      <c r="E1055" s="90"/>
      <c r="F1055" s="90"/>
      <c r="G1055" s="90"/>
      <c r="H1055" s="90"/>
      <c r="I1055" s="90"/>
      <c r="J1055" s="90"/>
      <c r="K1055" s="90"/>
      <c r="L1055" s="90"/>
      <c r="M1055" s="90"/>
      <c r="N1055" s="90"/>
      <c r="O1055" s="90"/>
      <c r="P1055" s="90"/>
    </row>
    <row r="1056" spans="1:16" ht="13.2">
      <c r="A1056" s="90"/>
      <c r="B1056" s="92"/>
      <c r="C1056" s="90"/>
      <c r="D1056" s="90"/>
      <c r="E1056" s="90"/>
      <c r="F1056" s="90"/>
      <c r="G1056" s="90"/>
      <c r="H1056" s="90"/>
      <c r="I1056" s="90"/>
      <c r="J1056" s="90"/>
      <c r="K1056" s="90"/>
      <c r="L1056" s="90"/>
      <c r="M1056" s="90"/>
      <c r="N1056" s="90"/>
      <c r="O1056" s="90"/>
      <c r="P1056" s="90"/>
    </row>
    <row r="1057" spans="1:16" ht="13.2">
      <c r="A1057" s="90"/>
      <c r="B1057" s="92"/>
      <c r="C1057" s="90"/>
      <c r="D1057" s="90"/>
      <c r="E1057" s="90"/>
      <c r="F1057" s="90"/>
      <c r="G1057" s="90"/>
      <c r="H1057" s="90"/>
      <c r="I1057" s="90"/>
      <c r="J1057" s="90"/>
      <c r="K1057" s="90"/>
      <c r="L1057" s="90"/>
      <c r="M1057" s="90"/>
      <c r="N1057" s="90"/>
      <c r="O1057" s="90"/>
      <c r="P1057" s="90"/>
    </row>
    <row r="1058" spans="1:16" ht="13.2">
      <c r="A1058" s="90"/>
      <c r="B1058" s="92"/>
      <c r="C1058" s="90"/>
      <c r="D1058" s="90"/>
      <c r="E1058" s="90"/>
      <c r="F1058" s="90"/>
      <c r="G1058" s="90"/>
      <c r="H1058" s="90"/>
      <c r="I1058" s="90"/>
      <c r="J1058" s="90"/>
      <c r="K1058" s="90"/>
      <c r="L1058" s="90"/>
      <c r="M1058" s="90"/>
      <c r="N1058" s="90"/>
      <c r="O1058" s="90"/>
      <c r="P1058" s="90"/>
    </row>
    <row r="1059" spans="1:16" ht="13.2">
      <c r="A1059" s="90"/>
      <c r="B1059" s="92"/>
      <c r="C1059" s="90"/>
      <c r="D1059" s="90"/>
      <c r="E1059" s="90"/>
      <c r="F1059" s="90"/>
      <c r="G1059" s="90"/>
      <c r="H1059" s="90"/>
      <c r="I1059" s="90"/>
      <c r="J1059" s="90"/>
      <c r="K1059" s="90"/>
      <c r="L1059" s="90"/>
      <c r="M1059" s="90"/>
      <c r="N1059" s="90"/>
      <c r="O1059" s="90"/>
      <c r="P1059" s="90"/>
    </row>
    <row r="1060" spans="1:16" ht="13.2">
      <c r="A1060" s="90"/>
      <c r="B1060" s="92"/>
      <c r="C1060" s="90"/>
      <c r="D1060" s="90"/>
      <c r="E1060" s="90"/>
      <c r="F1060" s="90"/>
      <c r="G1060" s="90"/>
      <c r="H1060" s="90"/>
      <c r="I1060" s="90"/>
      <c r="J1060" s="90"/>
      <c r="K1060" s="90"/>
      <c r="L1060" s="90"/>
      <c r="M1060" s="90"/>
      <c r="N1060" s="90"/>
      <c r="O1060" s="90"/>
      <c r="P1060" s="90"/>
    </row>
    <row r="1061" spans="1:16" ht="13.2">
      <c r="A1061" s="90"/>
      <c r="B1061" s="92"/>
      <c r="C1061" s="90"/>
      <c r="D1061" s="90"/>
      <c r="E1061" s="90"/>
      <c r="F1061" s="90"/>
      <c r="G1061" s="90"/>
      <c r="H1061" s="90"/>
      <c r="I1061" s="90"/>
      <c r="J1061" s="90"/>
      <c r="K1061" s="90"/>
      <c r="L1061" s="90"/>
      <c r="M1061" s="90"/>
      <c r="N1061" s="90"/>
      <c r="O1061" s="90"/>
      <c r="P1061" s="90"/>
    </row>
    <row r="1062" spans="1:16" ht="13.2">
      <c r="A1062" s="90"/>
      <c r="B1062" s="92"/>
      <c r="C1062" s="90"/>
      <c r="D1062" s="90"/>
      <c r="E1062" s="90"/>
      <c r="F1062" s="90"/>
      <c r="G1062" s="90"/>
      <c r="H1062" s="90"/>
      <c r="I1062" s="90"/>
      <c r="J1062" s="90"/>
      <c r="K1062" s="90"/>
      <c r="L1062" s="90"/>
      <c r="M1062" s="90"/>
      <c r="N1062" s="90"/>
      <c r="O1062" s="90"/>
      <c r="P1062" s="90"/>
    </row>
    <row r="1063" spans="1:16" ht="13.2">
      <c r="A1063" s="90"/>
      <c r="B1063" s="92"/>
      <c r="C1063" s="90"/>
      <c r="D1063" s="90"/>
      <c r="E1063" s="90"/>
      <c r="F1063" s="90"/>
      <c r="G1063" s="90"/>
      <c r="H1063" s="90"/>
      <c r="I1063" s="90"/>
      <c r="J1063" s="90"/>
      <c r="K1063" s="90"/>
      <c r="L1063" s="90"/>
      <c r="M1063" s="90"/>
      <c r="N1063" s="90"/>
      <c r="O1063" s="90"/>
      <c r="P1063" s="90"/>
    </row>
    <row r="1064" spans="1:16" ht="13.2">
      <c r="A1064" s="90"/>
      <c r="B1064" s="92"/>
      <c r="C1064" s="90"/>
      <c r="D1064" s="90"/>
      <c r="E1064" s="90"/>
      <c r="F1064" s="90"/>
      <c r="G1064" s="90"/>
      <c r="H1064" s="90"/>
      <c r="I1064" s="90"/>
      <c r="J1064" s="90"/>
      <c r="K1064" s="90"/>
      <c r="L1064" s="90"/>
      <c r="M1064" s="90"/>
      <c r="N1064" s="90"/>
      <c r="O1064" s="90"/>
      <c r="P1064" s="90"/>
    </row>
    <row r="1065" spans="1:16" ht="13.2">
      <c r="A1065" s="90"/>
      <c r="B1065" s="92"/>
      <c r="C1065" s="90"/>
      <c r="D1065" s="90"/>
      <c r="E1065" s="90"/>
      <c r="F1065" s="90"/>
      <c r="G1065" s="90"/>
      <c r="H1065" s="90"/>
      <c r="I1065" s="90"/>
      <c r="J1065" s="90"/>
      <c r="K1065" s="90"/>
      <c r="L1065" s="90"/>
      <c r="M1065" s="90"/>
      <c r="N1065" s="90"/>
      <c r="O1065" s="90"/>
      <c r="P1065" s="90"/>
    </row>
    <row r="1066" spans="1:16" ht="13.2">
      <c r="A1066" s="90"/>
      <c r="B1066" s="92"/>
      <c r="C1066" s="90"/>
      <c r="D1066" s="90"/>
      <c r="E1066" s="90"/>
      <c r="F1066" s="90"/>
      <c r="G1066" s="90"/>
      <c r="H1066" s="90"/>
      <c r="I1066" s="90"/>
      <c r="J1066" s="90"/>
      <c r="K1066" s="90"/>
      <c r="L1066" s="90"/>
      <c r="M1066" s="90"/>
      <c r="N1066" s="90"/>
      <c r="O1066" s="90"/>
      <c r="P1066" s="90"/>
    </row>
    <row r="1067" spans="1:16" ht="13.2">
      <c r="A1067" s="90"/>
      <c r="B1067" s="92"/>
      <c r="C1067" s="90"/>
      <c r="D1067" s="90"/>
      <c r="E1067" s="90"/>
      <c r="F1067" s="90"/>
      <c r="G1067" s="90"/>
      <c r="H1067" s="90"/>
      <c r="I1067" s="90"/>
      <c r="J1067" s="90"/>
      <c r="K1067" s="90"/>
      <c r="L1067" s="90"/>
      <c r="M1067" s="90"/>
      <c r="N1067" s="90"/>
      <c r="O1067" s="90"/>
      <c r="P1067" s="90"/>
    </row>
    <row r="1068" spans="1:16" ht="13.2">
      <c r="A1068" s="90"/>
      <c r="B1068" s="92"/>
      <c r="C1068" s="90"/>
      <c r="D1068" s="90"/>
      <c r="E1068" s="90"/>
      <c r="F1068" s="90"/>
      <c r="G1068" s="90"/>
      <c r="H1068" s="90"/>
      <c r="I1068" s="90"/>
      <c r="J1068" s="90"/>
      <c r="K1068" s="90"/>
      <c r="L1068" s="90"/>
      <c r="M1068" s="90"/>
      <c r="N1068" s="90"/>
      <c r="O1068" s="90"/>
      <c r="P1068" s="90"/>
    </row>
    <row r="1069" spans="1:16" ht="13.2">
      <c r="A1069" s="90"/>
      <c r="B1069" s="92"/>
      <c r="C1069" s="90"/>
      <c r="D1069" s="90"/>
      <c r="E1069" s="90"/>
      <c r="F1069" s="90"/>
      <c r="G1069" s="90"/>
      <c r="H1069" s="90"/>
      <c r="I1069" s="90"/>
      <c r="J1069" s="90"/>
      <c r="K1069" s="90"/>
      <c r="L1069" s="90"/>
      <c r="M1069" s="90"/>
      <c r="N1069" s="90"/>
      <c r="O1069" s="90"/>
      <c r="P1069" s="90"/>
    </row>
    <row r="1070" spans="1:16" ht="13.2">
      <c r="A1070" s="90"/>
      <c r="B1070" s="92"/>
      <c r="C1070" s="90"/>
      <c r="D1070" s="90"/>
      <c r="E1070" s="90"/>
      <c r="F1070" s="90"/>
      <c r="G1070" s="90"/>
      <c r="H1070" s="90"/>
      <c r="I1070" s="90"/>
      <c r="J1070" s="90"/>
      <c r="K1070" s="90"/>
      <c r="L1070" s="90"/>
      <c r="M1070" s="90"/>
      <c r="N1070" s="90"/>
      <c r="O1070" s="90"/>
      <c r="P1070" s="90"/>
    </row>
    <row r="1071" spans="1:16" ht="13.2">
      <c r="A1071" s="90"/>
      <c r="B1071" s="92"/>
      <c r="C1071" s="90"/>
      <c r="D1071" s="90"/>
      <c r="E1071" s="90"/>
      <c r="F1071" s="90"/>
      <c r="G1071" s="90"/>
      <c r="H1071" s="90"/>
      <c r="I1071" s="90"/>
      <c r="J1071" s="90"/>
      <c r="K1071" s="90"/>
      <c r="L1071" s="90"/>
      <c r="M1071" s="90"/>
      <c r="N1071" s="90"/>
      <c r="O1071" s="90"/>
      <c r="P1071" s="90"/>
    </row>
    <row r="1072" spans="1:16" ht="13.2">
      <c r="A1072" s="90"/>
      <c r="B1072" s="92"/>
      <c r="C1072" s="90"/>
      <c r="D1072" s="90"/>
      <c r="E1072" s="90"/>
      <c r="F1072" s="90"/>
      <c r="G1072" s="90"/>
      <c r="H1072" s="90"/>
      <c r="I1072" s="90"/>
      <c r="J1072" s="90"/>
      <c r="K1072" s="90"/>
      <c r="L1072" s="90"/>
      <c r="M1072" s="90"/>
      <c r="N1072" s="90"/>
      <c r="O1072" s="90"/>
      <c r="P1072" s="90"/>
    </row>
    <row r="1073" spans="1:16" ht="13.2">
      <c r="A1073" s="90"/>
      <c r="B1073" s="92"/>
      <c r="C1073" s="90"/>
      <c r="D1073" s="90"/>
      <c r="E1073" s="90"/>
      <c r="F1073" s="90"/>
      <c r="G1073" s="90"/>
      <c r="H1073" s="90"/>
      <c r="I1073" s="90"/>
      <c r="J1073" s="90"/>
      <c r="K1073" s="90"/>
      <c r="L1073" s="90"/>
      <c r="M1073" s="90"/>
      <c r="N1073" s="90"/>
      <c r="O1073" s="90"/>
      <c r="P1073" s="90"/>
    </row>
    <row r="1074" spans="1:16" ht="13.2">
      <c r="A1074" s="90"/>
      <c r="B1074" s="92"/>
      <c r="C1074" s="90"/>
      <c r="D1074" s="90"/>
      <c r="E1074" s="90"/>
      <c r="F1074" s="90"/>
      <c r="G1074" s="90"/>
      <c r="H1074" s="90"/>
      <c r="I1074" s="90"/>
      <c r="J1074" s="90"/>
      <c r="K1074" s="90"/>
      <c r="L1074" s="90"/>
      <c r="M1074" s="90"/>
      <c r="N1074" s="90"/>
      <c r="O1074" s="90"/>
      <c r="P1074" s="90"/>
    </row>
    <row r="1075" spans="1:16" ht="13.2">
      <c r="A1075" s="90"/>
      <c r="B1075" s="92"/>
      <c r="C1075" s="90"/>
      <c r="D1075" s="90"/>
      <c r="E1075" s="90"/>
      <c r="F1075" s="90"/>
      <c r="G1075" s="90"/>
      <c r="H1075" s="90"/>
      <c r="I1075" s="90"/>
      <c r="J1075" s="90"/>
      <c r="K1075" s="90"/>
      <c r="L1075" s="90"/>
      <c r="M1075" s="90"/>
      <c r="N1075" s="90"/>
      <c r="O1075" s="90"/>
      <c r="P1075" s="90"/>
    </row>
    <row r="1076" spans="1:16" ht="13.2">
      <c r="A1076" s="90"/>
      <c r="B1076" s="92"/>
      <c r="C1076" s="90"/>
      <c r="D1076" s="90"/>
      <c r="E1076" s="90"/>
      <c r="F1076" s="90"/>
      <c r="G1076" s="90"/>
      <c r="H1076" s="90"/>
      <c r="I1076" s="90"/>
      <c r="J1076" s="90"/>
      <c r="K1076" s="90"/>
      <c r="L1076" s="90"/>
      <c r="M1076" s="90"/>
      <c r="N1076" s="90"/>
      <c r="O1076" s="90"/>
      <c r="P1076" s="90"/>
    </row>
    <row r="1077" spans="1:16" ht="13.2">
      <c r="A1077" s="90"/>
      <c r="B1077" s="92"/>
      <c r="C1077" s="90"/>
      <c r="D1077" s="90"/>
      <c r="E1077" s="90"/>
      <c r="F1077" s="90"/>
      <c r="G1077" s="90"/>
      <c r="H1077" s="90"/>
      <c r="I1077" s="90"/>
      <c r="J1077" s="90"/>
      <c r="K1077" s="90"/>
      <c r="L1077" s="90"/>
      <c r="M1077" s="90"/>
      <c r="N1077" s="90"/>
      <c r="O1077" s="90"/>
      <c r="P1077" s="90"/>
    </row>
    <row r="1078" spans="1:16" ht="13.2">
      <c r="A1078" s="90"/>
      <c r="B1078" s="92"/>
      <c r="C1078" s="90"/>
      <c r="D1078" s="90"/>
      <c r="E1078" s="90"/>
      <c r="F1078" s="90"/>
      <c r="G1078" s="90"/>
      <c r="H1078" s="90"/>
      <c r="I1078" s="90"/>
      <c r="J1078" s="90"/>
      <c r="K1078" s="90"/>
      <c r="L1078" s="90"/>
      <c r="M1078" s="90"/>
      <c r="N1078" s="90"/>
      <c r="O1078" s="90"/>
      <c r="P1078" s="90"/>
    </row>
    <row r="1079" spans="1:16" ht="13.2">
      <c r="A1079" s="90"/>
      <c r="B1079" s="92"/>
      <c r="C1079" s="90"/>
      <c r="D1079" s="90"/>
      <c r="E1079" s="90"/>
      <c r="F1079" s="90"/>
      <c r="G1079" s="90"/>
      <c r="H1079" s="90"/>
      <c r="I1079" s="90"/>
      <c r="J1079" s="90"/>
      <c r="K1079" s="90"/>
      <c r="L1079" s="90"/>
      <c r="M1079" s="90"/>
      <c r="N1079" s="90"/>
      <c r="O1079" s="90"/>
      <c r="P1079" s="90"/>
    </row>
    <row r="1080" spans="1:16" ht="13.2">
      <c r="A1080" s="90"/>
      <c r="B1080" s="92"/>
      <c r="C1080" s="90"/>
      <c r="D1080" s="90"/>
      <c r="E1080" s="90"/>
      <c r="F1080" s="90"/>
      <c r="G1080" s="90"/>
      <c r="H1080" s="90"/>
      <c r="I1080" s="90"/>
      <c r="J1080" s="90"/>
      <c r="K1080" s="90"/>
      <c r="L1080" s="90"/>
      <c r="M1080" s="90"/>
      <c r="N1080" s="90"/>
      <c r="O1080" s="90"/>
      <c r="P1080" s="90"/>
    </row>
    <row r="1081" spans="1:16" ht="13.2">
      <c r="A1081" s="90"/>
      <c r="B1081" s="92"/>
      <c r="C1081" s="90"/>
      <c r="D1081" s="90"/>
      <c r="E1081" s="90"/>
      <c r="F1081" s="90"/>
      <c r="G1081" s="90"/>
      <c r="H1081" s="90"/>
      <c r="I1081" s="90"/>
      <c r="J1081" s="90"/>
      <c r="K1081" s="90"/>
      <c r="L1081" s="90"/>
      <c r="M1081" s="90"/>
      <c r="N1081" s="90"/>
      <c r="O1081" s="90"/>
      <c r="P1081" s="90"/>
    </row>
    <row r="1082" spans="1:16" ht="13.2">
      <c r="A1082" s="90"/>
      <c r="B1082" s="92"/>
      <c r="C1082" s="90"/>
      <c r="D1082" s="90"/>
      <c r="E1082" s="90"/>
      <c r="F1082" s="90"/>
      <c r="G1082" s="90"/>
      <c r="H1082" s="90"/>
      <c r="I1082" s="90"/>
      <c r="J1082" s="90"/>
      <c r="K1082" s="90"/>
      <c r="L1082" s="90"/>
      <c r="M1082" s="90"/>
      <c r="N1082" s="90"/>
      <c r="O1082" s="90"/>
      <c r="P1082" s="90"/>
    </row>
    <row r="1083" spans="1:16" ht="13.2">
      <c r="A1083" s="90"/>
      <c r="B1083" s="92"/>
      <c r="C1083" s="90"/>
      <c r="D1083" s="90"/>
      <c r="E1083" s="90"/>
      <c r="F1083" s="90"/>
      <c r="G1083" s="90"/>
      <c r="H1083" s="90"/>
      <c r="I1083" s="90"/>
      <c r="J1083" s="90"/>
      <c r="K1083" s="90"/>
      <c r="L1083" s="90"/>
      <c r="M1083" s="90"/>
      <c r="N1083" s="90"/>
      <c r="O1083" s="90"/>
      <c r="P1083" s="90"/>
    </row>
    <row r="1084" spans="1:16" ht="13.2">
      <c r="A1084" s="90"/>
      <c r="B1084" s="92"/>
      <c r="C1084" s="90"/>
      <c r="D1084" s="90"/>
      <c r="E1084" s="90"/>
      <c r="F1084" s="90"/>
      <c r="G1084" s="90"/>
      <c r="H1084" s="90"/>
      <c r="I1084" s="90"/>
      <c r="J1084" s="90"/>
      <c r="K1084" s="90"/>
      <c r="L1084" s="90"/>
      <c r="M1084" s="90"/>
      <c r="N1084" s="90"/>
      <c r="O1084" s="90"/>
      <c r="P1084" s="90"/>
    </row>
    <row r="1085" spans="1:16" ht="13.2">
      <c r="A1085" s="90"/>
      <c r="B1085" s="92"/>
      <c r="C1085" s="90"/>
      <c r="D1085" s="90"/>
      <c r="E1085" s="90"/>
      <c r="F1085" s="90"/>
      <c r="G1085" s="90"/>
      <c r="H1085" s="90"/>
      <c r="I1085" s="90"/>
      <c r="J1085" s="90"/>
      <c r="K1085" s="90"/>
      <c r="L1085" s="90"/>
      <c r="M1085" s="90"/>
      <c r="N1085" s="90"/>
      <c r="O1085" s="90"/>
      <c r="P1085" s="90"/>
    </row>
    <row r="1086" spans="1:16" ht="13.2">
      <c r="A1086" s="90"/>
      <c r="B1086" s="92"/>
      <c r="C1086" s="90"/>
      <c r="D1086" s="90"/>
      <c r="E1086" s="90"/>
      <c r="F1086" s="90"/>
      <c r="G1086" s="90"/>
      <c r="H1086" s="90"/>
      <c r="I1086" s="90"/>
      <c r="J1086" s="90"/>
      <c r="K1086" s="90"/>
      <c r="L1086" s="90"/>
      <c r="M1086" s="90"/>
      <c r="N1086" s="90"/>
      <c r="O1086" s="90"/>
      <c r="P1086" s="90"/>
    </row>
    <row r="1087" spans="1:16" ht="13.2">
      <c r="A1087" s="90"/>
      <c r="B1087" s="92"/>
      <c r="C1087" s="90"/>
      <c r="D1087" s="90"/>
      <c r="E1087" s="90"/>
      <c r="F1087" s="90"/>
      <c r="G1087" s="90"/>
      <c r="H1087" s="90"/>
      <c r="I1087" s="90"/>
      <c r="J1087" s="90"/>
      <c r="K1087" s="90"/>
      <c r="L1087" s="90"/>
      <c r="M1087" s="90"/>
      <c r="N1087" s="90"/>
      <c r="O1087" s="90"/>
      <c r="P1087" s="90"/>
    </row>
    <row r="1088" spans="1:16" ht="13.2">
      <c r="A1088" s="90"/>
      <c r="B1088" s="92"/>
      <c r="C1088" s="90"/>
      <c r="D1088" s="90"/>
      <c r="E1088" s="90"/>
      <c r="F1088" s="90"/>
      <c r="G1088" s="90"/>
      <c r="H1088" s="90"/>
      <c r="I1088" s="90"/>
      <c r="J1088" s="90"/>
      <c r="K1088" s="90"/>
      <c r="L1088" s="90"/>
      <c r="M1088" s="90"/>
      <c r="N1088" s="90"/>
      <c r="O1088" s="90"/>
      <c r="P1088" s="90"/>
    </row>
    <row r="1089" spans="1:16" ht="13.2">
      <c r="A1089" s="90"/>
      <c r="B1089" s="92"/>
      <c r="C1089" s="90"/>
      <c r="D1089" s="90"/>
      <c r="E1089" s="90"/>
      <c r="F1089" s="90"/>
      <c r="G1089" s="90"/>
      <c r="H1089" s="90"/>
      <c r="I1089" s="90"/>
      <c r="J1089" s="90"/>
      <c r="K1089" s="90"/>
      <c r="L1089" s="90"/>
      <c r="M1089" s="90"/>
      <c r="N1089" s="90"/>
      <c r="O1089" s="90"/>
      <c r="P1089" s="90"/>
    </row>
    <row r="1090" spans="1:16" ht="13.2">
      <c r="A1090" s="90"/>
      <c r="B1090" s="92"/>
      <c r="C1090" s="90"/>
      <c r="D1090" s="90"/>
      <c r="E1090" s="90"/>
      <c r="F1090" s="90"/>
      <c r="G1090" s="90"/>
      <c r="H1090" s="90"/>
      <c r="I1090" s="90"/>
      <c r="J1090" s="90"/>
      <c r="K1090" s="90"/>
      <c r="L1090" s="90"/>
      <c r="M1090" s="90"/>
      <c r="N1090" s="90"/>
      <c r="O1090" s="90"/>
      <c r="P1090" s="90"/>
    </row>
    <row r="1091" spans="1:16" ht="13.2">
      <c r="A1091" s="90"/>
      <c r="B1091" s="92"/>
      <c r="C1091" s="90"/>
      <c r="D1091" s="90"/>
      <c r="E1091" s="90"/>
      <c r="F1091" s="90"/>
      <c r="G1091" s="90"/>
      <c r="H1091" s="90"/>
      <c r="I1091" s="90"/>
      <c r="J1091" s="90"/>
      <c r="K1091" s="90"/>
      <c r="L1091" s="90"/>
      <c r="M1091" s="90"/>
      <c r="N1091" s="90"/>
      <c r="O1091" s="90"/>
      <c r="P1091" s="90"/>
    </row>
    <row r="1092" spans="1:16" ht="13.2">
      <c r="A1092" s="90"/>
      <c r="B1092" s="92"/>
      <c r="C1092" s="90"/>
      <c r="D1092" s="90"/>
      <c r="E1092" s="90"/>
      <c r="F1092" s="90"/>
      <c r="G1092" s="90"/>
      <c r="H1092" s="90"/>
      <c r="I1092" s="90"/>
      <c r="J1092" s="90"/>
      <c r="K1092" s="90"/>
      <c r="L1092" s="90"/>
      <c r="M1092" s="90"/>
      <c r="N1092" s="90"/>
      <c r="O1092" s="90"/>
      <c r="P1092" s="90"/>
    </row>
    <row r="1093" spans="1:16" ht="13.2">
      <c r="A1093" s="90"/>
      <c r="B1093" s="92"/>
      <c r="C1093" s="90"/>
      <c r="D1093" s="90"/>
      <c r="E1093" s="90"/>
      <c r="F1093" s="90"/>
      <c r="G1093" s="90"/>
      <c r="H1093" s="90"/>
      <c r="I1093" s="90"/>
      <c r="J1093" s="90"/>
      <c r="K1093" s="90"/>
      <c r="L1093" s="90"/>
      <c r="M1093" s="90"/>
      <c r="N1093" s="90"/>
      <c r="O1093" s="90"/>
      <c r="P1093" s="90"/>
    </row>
    <row r="1094" spans="1:16" ht="13.2">
      <c r="A1094" s="90"/>
      <c r="B1094" s="92"/>
      <c r="C1094" s="90"/>
      <c r="D1094" s="90"/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</row>
    <row r="1095" spans="1:16" ht="13.2">
      <c r="A1095" s="90"/>
      <c r="B1095" s="92"/>
      <c r="C1095" s="90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</row>
    <row r="1096" spans="1:16" ht="13.2">
      <c r="A1096" s="90"/>
      <c r="B1096" s="92"/>
      <c r="C1096" s="90"/>
      <c r="D1096" s="90"/>
      <c r="E1096" s="90"/>
      <c r="F1096" s="90"/>
      <c r="G1096" s="90"/>
      <c r="H1096" s="90"/>
      <c r="I1096" s="90"/>
      <c r="J1096" s="90"/>
      <c r="K1096" s="90"/>
      <c r="L1096" s="90"/>
      <c r="M1096" s="90"/>
      <c r="N1096" s="90"/>
      <c r="O1096" s="90"/>
      <c r="P1096" s="90"/>
    </row>
    <row r="1097" spans="1:16" ht="13.2">
      <c r="A1097" s="90"/>
      <c r="B1097" s="92"/>
      <c r="C1097" s="90"/>
      <c r="D1097" s="90"/>
      <c r="E1097" s="90"/>
      <c r="F1097" s="90"/>
      <c r="G1097" s="90"/>
      <c r="H1097" s="90"/>
      <c r="I1097" s="90"/>
      <c r="J1097" s="90"/>
      <c r="K1097" s="90"/>
      <c r="L1097" s="90"/>
      <c r="M1097" s="90"/>
      <c r="N1097" s="90"/>
      <c r="O1097" s="90"/>
      <c r="P1097" s="90"/>
    </row>
    <row r="1098" spans="1:16" ht="13.2">
      <c r="A1098" s="90"/>
      <c r="B1098" s="92"/>
      <c r="C1098" s="90"/>
      <c r="D1098" s="90"/>
      <c r="E1098" s="90"/>
      <c r="F1098" s="90"/>
      <c r="G1098" s="90"/>
      <c r="H1098" s="90"/>
      <c r="I1098" s="90"/>
      <c r="J1098" s="90"/>
      <c r="K1098" s="90"/>
      <c r="L1098" s="90"/>
      <c r="M1098" s="90"/>
      <c r="N1098" s="90"/>
      <c r="O1098" s="90"/>
      <c r="P1098" s="90"/>
    </row>
    <row r="1099" spans="1:16" ht="13.2">
      <c r="A1099" s="90"/>
      <c r="B1099" s="92"/>
      <c r="C1099" s="90"/>
      <c r="D1099" s="90"/>
      <c r="E1099" s="90"/>
      <c r="F1099" s="90"/>
      <c r="G1099" s="90"/>
      <c r="H1099" s="90"/>
      <c r="I1099" s="90"/>
      <c r="J1099" s="90"/>
      <c r="K1099" s="90"/>
      <c r="L1099" s="90"/>
      <c r="M1099" s="90"/>
      <c r="N1099" s="90"/>
      <c r="O1099" s="90"/>
      <c r="P1099" s="90"/>
    </row>
    <row r="1100" spans="1:16" ht="13.2">
      <c r="A1100" s="90"/>
      <c r="B1100" s="92"/>
      <c r="C1100" s="90"/>
      <c r="D1100" s="90"/>
      <c r="E1100" s="90"/>
      <c r="F1100" s="90"/>
      <c r="G1100" s="90"/>
      <c r="H1100" s="90"/>
      <c r="I1100" s="90"/>
      <c r="J1100" s="90"/>
      <c r="K1100" s="90"/>
      <c r="L1100" s="90"/>
      <c r="M1100" s="90"/>
      <c r="N1100" s="90"/>
      <c r="O1100" s="90"/>
      <c r="P1100" s="90"/>
    </row>
    <row r="1101" spans="1:16" ht="13.2">
      <c r="A1101" s="90"/>
      <c r="B1101" s="92"/>
      <c r="C1101" s="90"/>
      <c r="D1101" s="90"/>
      <c r="E1101" s="90"/>
      <c r="F1101" s="90"/>
      <c r="G1101" s="90"/>
      <c r="H1101" s="90"/>
      <c r="I1101" s="90"/>
      <c r="J1101" s="90"/>
      <c r="K1101" s="90"/>
      <c r="L1101" s="90"/>
      <c r="M1101" s="90"/>
      <c r="N1101" s="90"/>
      <c r="O1101" s="90"/>
      <c r="P1101" s="90"/>
    </row>
    <row r="1102" spans="1:16" ht="13.2">
      <c r="A1102" s="90"/>
      <c r="B1102" s="92"/>
      <c r="C1102" s="90"/>
      <c r="D1102" s="90"/>
      <c r="E1102" s="90"/>
      <c r="F1102" s="90"/>
      <c r="G1102" s="90"/>
      <c r="H1102" s="90"/>
      <c r="I1102" s="90"/>
      <c r="J1102" s="90"/>
      <c r="K1102" s="90"/>
      <c r="L1102" s="90"/>
      <c r="M1102" s="90"/>
      <c r="N1102" s="90"/>
      <c r="O1102" s="90"/>
      <c r="P1102" s="90"/>
    </row>
    <row r="1103" spans="1:16" ht="13.2">
      <c r="A1103" s="90"/>
      <c r="B1103" s="92"/>
      <c r="C1103" s="90"/>
      <c r="D1103" s="90"/>
      <c r="E1103" s="90"/>
      <c r="F1103" s="90"/>
      <c r="G1103" s="90"/>
      <c r="H1103" s="90"/>
      <c r="I1103" s="90"/>
      <c r="J1103" s="90"/>
      <c r="K1103" s="90"/>
      <c r="L1103" s="90"/>
      <c r="M1103" s="90"/>
      <c r="N1103" s="90"/>
      <c r="O1103" s="90"/>
      <c r="P1103" s="90"/>
    </row>
    <row r="1104" spans="1:16" ht="13.2">
      <c r="A1104" s="90"/>
      <c r="B1104" s="92"/>
      <c r="C1104" s="90"/>
      <c r="D1104" s="90"/>
      <c r="E1104" s="90"/>
      <c r="F1104" s="90"/>
      <c r="G1104" s="90"/>
      <c r="H1104" s="90"/>
      <c r="I1104" s="90"/>
      <c r="J1104" s="90"/>
      <c r="K1104" s="90"/>
      <c r="L1104" s="90"/>
      <c r="M1104" s="90"/>
      <c r="N1104" s="90"/>
      <c r="O1104" s="90"/>
      <c r="P1104" s="90"/>
    </row>
    <row r="1105" spans="1:16" ht="13.2">
      <c r="A1105" s="90"/>
      <c r="B1105" s="92"/>
      <c r="C1105" s="90"/>
      <c r="D1105" s="90"/>
      <c r="E1105" s="90"/>
      <c r="F1105" s="90"/>
      <c r="G1105" s="90"/>
      <c r="H1105" s="90"/>
      <c r="I1105" s="90"/>
      <c r="J1105" s="90"/>
      <c r="K1105" s="90"/>
      <c r="L1105" s="90"/>
      <c r="M1105" s="90"/>
      <c r="N1105" s="90"/>
      <c r="O1105" s="90"/>
      <c r="P1105" s="90"/>
    </row>
    <row r="1106" spans="1:16" ht="13.2">
      <c r="A1106" s="90"/>
      <c r="B1106" s="92"/>
      <c r="C1106" s="90"/>
      <c r="D1106" s="90"/>
      <c r="E1106" s="90"/>
      <c r="F1106" s="90"/>
      <c r="G1106" s="90"/>
      <c r="H1106" s="90"/>
      <c r="I1106" s="90"/>
      <c r="J1106" s="90"/>
      <c r="K1106" s="90"/>
      <c r="L1106" s="90"/>
      <c r="M1106" s="90"/>
      <c r="N1106" s="90"/>
      <c r="O1106" s="90"/>
      <c r="P1106" s="90"/>
    </row>
    <row r="1107" spans="1:16" ht="13.2">
      <c r="A1107" s="90"/>
      <c r="B1107" s="92"/>
      <c r="C1107" s="90"/>
      <c r="D1107" s="90"/>
      <c r="E1107" s="90"/>
      <c r="F1107" s="90"/>
      <c r="G1107" s="90"/>
      <c r="H1107" s="90"/>
      <c r="I1107" s="90"/>
      <c r="J1107" s="90"/>
      <c r="K1107" s="90"/>
      <c r="L1107" s="90"/>
      <c r="M1107" s="90"/>
      <c r="N1107" s="90"/>
      <c r="O1107" s="90"/>
      <c r="P1107" s="90"/>
    </row>
    <row r="1108" spans="1:16" ht="13.2">
      <c r="A1108" s="90"/>
      <c r="B1108" s="92"/>
      <c r="C1108" s="90"/>
      <c r="D1108" s="90"/>
      <c r="E1108" s="90"/>
      <c r="F1108" s="90"/>
      <c r="G1108" s="90"/>
      <c r="H1108" s="90"/>
      <c r="I1108" s="90"/>
      <c r="J1108" s="90"/>
      <c r="K1108" s="90"/>
      <c r="L1108" s="90"/>
      <c r="M1108" s="90"/>
      <c r="N1108" s="90"/>
      <c r="O1108" s="90"/>
      <c r="P1108" s="90"/>
    </row>
    <row r="1109" spans="1:16" ht="13.2">
      <c r="A1109" s="90"/>
      <c r="B1109" s="92"/>
      <c r="C1109" s="90"/>
      <c r="D1109" s="90"/>
      <c r="E1109" s="90"/>
      <c r="F1109" s="90"/>
      <c r="G1109" s="90"/>
      <c r="H1109" s="90"/>
      <c r="I1109" s="90"/>
      <c r="J1109" s="90"/>
      <c r="K1109" s="90"/>
      <c r="L1109" s="90"/>
      <c r="M1109" s="90"/>
      <c r="N1109" s="90"/>
      <c r="O1109" s="90"/>
      <c r="P1109" s="90"/>
    </row>
    <row r="1110" spans="1:16" ht="13.2">
      <c r="A1110" s="90"/>
      <c r="B1110" s="92"/>
      <c r="C1110" s="90"/>
      <c r="D1110" s="90"/>
      <c r="E1110" s="90"/>
      <c r="F1110" s="90"/>
      <c r="G1110" s="90"/>
      <c r="H1110" s="90"/>
      <c r="I1110" s="90"/>
      <c r="J1110" s="90"/>
      <c r="K1110" s="90"/>
      <c r="L1110" s="90"/>
      <c r="M1110" s="90"/>
      <c r="N1110" s="90"/>
      <c r="O1110" s="90"/>
      <c r="P1110" s="90"/>
    </row>
    <row r="1111" spans="1:16" ht="13.2">
      <c r="A1111" s="90"/>
      <c r="B1111" s="92"/>
      <c r="C1111" s="90"/>
      <c r="D1111" s="90"/>
      <c r="E1111" s="90"/>
      <c r="F1111" s="90"/>
      <c r="G1111" s="90"/>
      <c r="H1111" s="90"/>
      <c r="I1111" s="90"/>
      <c r="J1111" s="90"/>
      <c r="K1111" s="90"/>
      <c r="L1111" s="90"/>
      <c r="M1111" s="90"/>
      <c r="N1111" s="90"/>
      <c r="O1111" s="90"/>
      <c r="P1111" s="90"/>
    </row>
    <row r="1112" spans="1:16" ht="13.2">
      <c r="A1112" s="90"/>
      <c r="B1112" s="92"/>
      <c r="C1112" s="90"/>
      <c r="D1112" s="90"/>
      <c r="E1112" s="90"/>
      <c r="F1112" s="90"/>
      <c r="G1112" s="90"/>
      <c r="H1112" s="90"/>
      <c r="I1112" s="90"/>
      <c r="J1112" s="90"/>
      <c r="K1112" s="90"/>
      <c r="L1112" s="90"/>
      <c r="M1112" s="90"/>
      <c r="N1112" s="90"/>
      <c r="O1112" s="90"/>
      <c r="P1112" s="90"/>
    </row>
    <row r="1113" spans="1:16" ht="13.2">
      <c r="A1113" s="90"/>
      <c r="B1113" s="92"/>
      <c r="C1113" s="90"/>
      <c r="D1113" s="90"/>
      <c r="E1113" s="90"/>
      <c r="F1113" s="90"/>
      <c r="G1113" s="90"/>
      <c r="H1113" s="90"/>
      <c r="I1113" s="90"/>
      <c r="J1113" s="90"/>
      <c r="K1113" s="90"/>
      <c r="L1113" s="90"/>
      <c r="M1113" s="90"/>
      <c r="N1113" s="90"/>
      <c r="O1113" s="90"/>
      <c r="P1113" s="90"/>
    </row>
    <row r="1114" spans="1:16" ht="13.2">
      <c r="A1114" s="90"/>
      <c r="B1114" s="92"/>
      <c r="C1114" s="90"/>
      <c r="D1114" s="90"/>
      <c r="E1114" s="90"/>
      <c r="F1114" s="90"/>
      <c r="G1114" s="90"/>
      <c r="H1114" s="90"/>
      <c r="I1114" s="90"/>
      <c r="J1114" s="90"/>
      <c r="K1114" s="90"/>
      <c r="L1114" s="90"/>
      <c r="M1114" s="90"/>
      <c r="N1114" s="90"/>
      <c r="O1114" s="90"/>
      <c r="P1114" s="90"/>
    </row>
    <row r="1115" spans="1:16" ht="13.2">
      <c r="A1115" s="90"/>
      <c r="B1115" s="92"/>
      <c r="C1115" s="90"/>
      <c r="D1115" s="90"/>
      <c r="E1115" s="90"/>
      <c r="F1115" s="90"/>
      <c r="G1115" s="90"/>
      <c r="H1115" s="90"/>
      <c r="I1115" s="90"/>
      <c r="J1115" s="90"/>
      <c r="K1115" s="90"/>
      <c r="L1115" s="90"/>
      <c r="M1115" s="90"/>
      <c r="N1115" s="90"/>
      <c r="O1115" s="90"/>
      <c r="P1115" s="90"/>
    </row>
    <row r="1116" spans="1:16" ht="13.2">
      <c r="A1116" s="90"/>
      <c r="B1116" s="92"/>
      <c r="C1116" s="90"/>
      <c r="D1116" s="90"/>
      <c r="E1116" s="90"/>
      <c r="F1116" s="90"/>
      <c r="G1116" s="90"/>
      <c r="H1116" s="90"/>
      <c r="I1116" s="90"/>
      <c r="J1116" s="90"/>
      <c r="K1116" s="90"/>
      <c r="L1116" s="90"/>
      <c r="M1116" s="90"/>
      <c r="N1116" s="90"/>
      <c r="O1116" s="90"/>
      <c r="P1116" s="90"/>
    </row>
    <row r="1117" spans="1:16" ht="13.2">
      <c r="A1117" s="90"/>
      <c r="B1117" s="92"/>
      <c r="C1117" s="90"/>
      <c r="D1117" s="90"/>
      <c r="E1117" s="90"/>
      <c r="F1117" s="90"/>
      <c r="G1117" s="90"/>
      <c r="H1117" s="90"/>
      <c r="I1117" s="90"/>
      <c r="J1117" s="90"/>
      <c r="K1117" s="90"/>
      <c r="L1117" s="90"/>
      <c r="M1117" s="90"/>
      <c r="N1117" s="90"/>
      <c r="O1117" s="90"/>
      <c r="P1117" s="90"/>
    </row>
    <row r="1118" spans="1:16" ht="13.2">
      <c r="A1118" s="90"/>
      <c r="B1118" s="92"/>
      <c r="C1118" s="90"/>
      <c r="D1118" s="90"/>
      <c r="E1118" s="90"/>
      <c r="F1118" s="90"/>
      <c r="G1118" s="90"/>
      <c r="H1118" s="90"/>
      <c r="I1118" s="90"/>
      <c r="J1118" s="90"/>
      <c r="K1118" s="90"/>
      <c r="L1118" s="90"/>
      <c r="M1118" s="90"/>
      <c r="N1118" s="90"/>
      <c r="O1118" s="90"/>
      <c r="P1118" s="90"/>
    </row>
    <row r="1119" spans="1:16" ht="13.2">
      <c r="A1119" s="90"/>
      <c r="B1119" s="92"/>
      <c r="C1119" s="90"/>
      <c r="D1119" s="90"/>
      <c r="E1119" s="90"/>
      <c r="F1119" s="90"/>
      <c r="G1119" s="90"/>
      <c r="H1119" s="90"/>
      <c r="I1119" s="90"/>
      <c r="J1119" s="90"/>
      <c r="K1119" s="90"/>
      <c r="L1119" s="90"/>
      <c r="M1119" s="90"/>
      <c r="N1119" s="90"/>
      <c r="O1119" s="90"/>
      <c r="P1119" s="90"/>
    </row>
    <row r="1120" spans="1:16" ht="13.2">
      <c r="A1120" s="90"/>
      <c r="B1120" s="92"/>
      <c r="C1120" s="90"/>
      <c r="D1120" s="90"/>
      <c r="E1120" s="90"/>
      <c r="F1120" s="90"/>
      <c r="G1120" s="90"/>
      <c r="H1120" s="90"/>
      <c r="I1120" s="90"/>
      <c r="J1120" s="90"/>
      <c r="K1120" s="90"/>
      <c r="L1120" s="90"/>
      <c r="M1120" s="90"/>
      <c r="N1120" s="90"/>
      <c r="O1120" s="90"/>
      <c r="P1120" s="90"/>
    </row>
    <row r="1121" spans="1:16" ht="13.2">
      <c r="A1121" s="90"/>
      <c r="B1121" s="92"/>
      <c r="C1121" s="90"/>
      <c r="D1121" s="90"/>
      <c r="E1121" s="90"/>
      <c r="F1121" s="90"/>
      <c r="G1121" s="90"/>
      <c r="H1121" s="90"/>
      <c r="I1121" s="90"/>
      <c r="J1121" s="90"/>
      <c r="K1121" s="90"/>
      <c r="L1121" s="90"/>
      <c r="M1121" s="90"/>
      <c r="N1121" s="90"/>
      <c r="O1121" s="90"/>
      <c r="P1121" s="90"/>
    </row>
    <row r="1122" spans="1:16" ht="13.2">
      <c r="A1122" s="90"/>
      <c r="B1122" s="92"/>
      <c r="C1122" s="90"/>
      <c r="D1122" s="90"/>
      <c r="E1122" s="90"/>
      <c r="F1122" s="90"/>
      <c r="G1122" s="90"/>
      <c r="H1122" s="90"/>
      <c r="I1122" s="90"/>
      <c r="J1122" s="90"/>
      <c r="K1122" s="90"/>
      <c r="L1122" s="90"/>
      <c r="M1122" s="90"/>
      <c r="N1122" s="90"/>
      <c r="O1122" s="90"/>
      <c r="P1122" s="90"/>
    </row>
    <row r="1123" spans="1:16" ht="13.2">
      <c r="A1123" s="90"/>
      <c r="B1123" s="92"/>
      <c r="C1123" s="90"/>
      <c r="D1123" s="90"/>
      <c r="E1123" s="90"/>
      <c r="F1123" s="90"/>
      <c r="G1123" s="90"/>
      <c r="H1123" s="90"/>
      <c r="I1123" s="90"/>
      <c r="J1123" s="90"/>
      <c r="K1123" s="90"/>
      <c r="L1123" s="90"/>
      <c r="M1123" s="90"/>
      <c r="N1123" s="90"/>
      <c r="O1123" s="90"/>
      <c r="P1123" s="90"/>
    </row>
    <row r="1124" spans="1:16" ht="13.2">
      <c r="A1124" s="90"/>
      <c r="B1124" s="92"/>
      <c r="C1124" s="90"/>
      <c r="D1124" s="90"/>
      <c r="E1124" s="90"/>
      <c r="F1124" s="90"/>
      <c r="G1124" s="90"/>
      <c r="H1124" s="90"/>
      <c r="I1124" s="90"/>
      <c r="J1124" s="90"/>
      <c r="K1124" s="90"/>
      <c r="L1124" s="90"/>
      <c r="M1124" s="90"/>
      <c r="N1124" s="90"/>
      <c r="O1124" s="90"/>
      <c r="P1124" s="90"/>
    </row>
    <row r="1125" spans="1:16" ht="13.2">
      <c r="A1125" s="90"/>
      <c r="B1125" s="92"/>
      <c r="C1125" s="90"/>
      <c r="D1125" s="90"/>
      <c r="E1125" s="90"/>
      <c r="F1125" s="90"/>
      <c r="G1125" s="90"/>
      <c r="H1125" s="90"/>
      <c r="I1125" s="90"/>
      <c r="J1125" s="90"/>
      <c r="K1125" s="90"/>
      <c r="L1125" s="90"/>
      <c r="M1125" s="90"/>
      <c r="N1125" s="90"/>
      <c r="O1125" s="90"/>
      <c r="P1125" s="90"/>
    </row>
    <row r="1126" spans="1:16" ht="13.2">
      <c r="A1126" s="90"/>
      <c r="B1126" s="92"/>
      <c r="C1126" s="90"/>
      <c r="D1126" s="90"/>
      <c r="E1126" s="90"/>
      <c r="F1126" s="90"/>
      <c r="G1126" s="90"/>
      <c r="H1126" s="90"/>
      <c r="I1126" s="90"/>
      <c r="J1126" s="90"/>
      <c r="K1126" s="90"/>
      <c r="L1126" s="90"/>
      <c r="M1126" s="90"/>
      <c r="N1126" s="90"/>
      <c r="O1126" s="90"/>
      <c r="P1126" s="90"/>
    </row>
    <row r="1127" spans="1:16" ht="13.2">
      <c r="A1127" s="90"/>
      <c r="B1127" s="92"/>
      <c r="C1127" s="90"/>
      <c r="D1127" s="90"/>
      <c r="E1127" s="90"/>
      <c r="F1127" s="90"/>
      <c r="G1127" s="90"/>
      <c r="H1127" s="90"/>
      <c r="I1127" s="90"/>
      <c r="J1127" s="90"/>
      <c r="K1127" s="90"/>
      <c r="L1127" s="90"/>
      <c r="M1127" s="90"/>
      <c r="N1127" s="90"/>
      <c r="O1127" s="90"/>
      <c r="P1127" s="90"/>
    </row>
    <row r="1128" spans="1:16" ht="13.2">
      <c r="A1128" s="90"/>
      <c r="B1128" s="92"/>
      <c r="C1128" s="90"/>
      <c r="D1128" s="90"/>
      <c r="E1128" s="90"/>
      <c r="F1128" s="90"/>
      <c r="G1128" s="90"/>
      <c r="H1128" s="90"/>
      <c r="I1128" s="90"/>
      <c r="J1128" s="90"/>
      <c r="K1128" s="90"/>
      <c r="L1128" s="90"/>
      <c r="M1128" s="90"/>
      <c r="N1128" s="90"/>
      <c r="O1128" s="90"/>
      <c r="P1128" s="90"/>
    </row>
    <row r="1129" spans="1:16" ht="13.2">
      <c r="A1129" s="90"/>
      <c r="B1129" s="92"/>
      <c r="C1129" s="90"/>
      <c r="D1129" s="90"/>
      <c r="E1129" s="90"/>
      <c r="F1129" s="90"/>
      <c r="G1129" s="90"/>
      <c r="H1129" s="90"/>
      <c r="I1129" s="90"/>
      <c r="J1129" s="90"/>
      <c r="K1129" s="90"/>
      <c r="L1129" s="90"/>
      <c r="M1129" s="90"/>
      <c r="N1129" s="90"/>
      <c r="O1129" s="90"/>
      <c r="P1129" s="90"/>
    </row>
    <row r="1130" spans="1:16" ht="13.2">
      <c r="A1130" s="90"/>
      <c r="B1130" s="92"/>
      <c r="C1130" s="90"/>
      <c r="D1130" s="90"/>
      <c r="E1130" s="90"/>
      <c r="F1130" s="90"/>
      <c r="G1130" s="90"/>
      <c r="H1130" s="90"/>
      <c r="I1130" s="90"/>
      <c r="J1130" s="90"/>
      <c r="K1130" s="90"/>
      <c r="L1130" s="90"/>
      <c r="M1130" s="90"/>
      <c r="N1130" s="90"/>
      <c r="O1130" s="90"/>
      <c r="P1130" s="90"/>
    </row>
    <row r="1131" spans="1:16" ht="13.2">
      <c r="A1131" s="90"/>
      <c r="B1131" s="92"/>
      <c r="C1131" s="90"/>
      <c r="D1131" s="90"/>
      <c r="E1131" s="90"/>
      <c r="F1131" s="90"/>
      <c r="G1131" s="90"/>
      <c r="H1131" s="90"/>
      <c r="I1131" s="90"/>
      <c r="J1131" s="90"/>
      <c r="K1131" s="90"/>
      <c r="L1131" s="90"/>
      <c r="M1131" s="90"/>
      <c r="N1131" s="90"/>
      <c r="O1131" s="90"/>
      <c r="P1131" s="90"/>
    </row>
    <row r="1132" spans="1:16" ht="13.2">
      <c r="A1132" s="90"/>
      <c r="B1132" s="92"/>
      <c r="C1132" s="90"/>
      <c r="D1132" s="90"/>
      <c r="E1132" s="90"/>
      <c r="F1132" s="90"/>
      <c r="G1132" s="90"/>
      <c r="H1132" s="90"/>
      <c r="I1132" s="90"/>
      <c r="J1132" s="90"/>
      <c r="K1132" s="90"/>
      <c r="L1132" s="90"/>
      <c r="M1132" s="90"/>
      <c r="N1132" s="90"/>
      <c r="O1132" s="90"/>
      <c r="P1132" s="90"/>
    </row>
    <row r="1133" spans="1:16" ht="13.2">
      <c r="A1133" s="90"/>
      <c r="B1133" s="92"/>
      <c r="C1133" s="90"/>
      <c r="D1133" s="90"/>
      <c r="E1133" s="90"/>
      <c r="F1133" s="90"/>
      <c r="G1133" s="90"/>
      <c r="H1133" s="90"/>
      <c r="I1133" s="90"/>
      <c r="J1133" s="90"/>
      <c r="K1133" s="90"/>
      <c r="L1133" s="90"/>
      <c r="M1133" s="90"/>
      <c r="N1133" s="90"/>
      <c r="O1133" s="90"/>
      <c r="P1133" s="90"/>
    </row>
    <row r="1134" spans="1:16" ht="13.2">
      <c r="A1134" s="90"/>
      <c r="B1134" s="92"/>
      <c r="C1134" s="90"/>
      <c r="D1134" s="90"/>
      <c r="E1134" s="90"/>
      <c r="F1134" s="90"/>
      <c r="G1134" s="90"/>
      <c r="H1134" s="90"/>
      <c r="I1134" s="90"/>
      <c r="J1134" s="90"/>
      <c r="K1134" s="90"/>
      <c r="L1134" s="90"/>
      <c r="M1134" s="90"/>
      <c r="N1134" s="90"/>
      <c r="O1134" s="90"/>
      <c r="P1134" s="90"/>
    </row>
    <row r="1135" spans="1:16" ht="13.2">
      <c r="A1135" s="90"/>
      <c r="B1135" s="92"/>
      <c r="C1135" s="90"/>
      <c r="D1135" s="90"/>
      <c r="E1135" s="90"/>
      <c r="F1135" s="90"/>
      <c r="G1135" s="90"/>
      <c r="H1135" s="90"/>
      <c r="I1135" s="90"/>
      <c r="J1135" s="90"/>
      <c r="K1135" s="90"/>
      <c r="L1135" s="90"/>
      <c r="M1135" s="90"/>
      <c r="N1135" s="90"/>
      <c r="O1135" s="90"/>
      <c r="P1135" s="90"/>
    </row>
    <row r="1136" spans="1:16" ht="13.2">
      <c r="A1136" s="90"/>
      <c r="B1136" s="92"/>
      <c r="C1136" s="90"/>
      <c r="D1136" s="90"/>
      <c r="E1136" s="90"/>
      <c r="F1136" s="90"/>
      <c r="G1136" s="90"/>
      <c r="H1136" s="90"/>
      <c r="I1136" s="90"/>
      <c r="J1136" s="90"/>
      <c r="K1136" s="90"/>
      <c r="L1136" s="90"/>
      <c r="M1136" s="90"/>
      <c r="N1136" s="90"/>
      <c r="O1136" s="90"/>
      <c r="P1136" s="90"/>
    </row>
    <row r="1137" spans="1:16" ht="13.2">
      <c r="A1137" s="90"/>
      <c r="B1137" s="92"/>
      <c r="C1137" s="90"/>
      <c r="D1137" s="90"/>
      <c r="E1137" s="90"/>
      <c r="F1137" s="90"/>
      <c r="G1137" s="90"/>
      <c r="H1137" s="90"/>
      <c r="I1137" s="90"/>
      <c r="J1137" s="90"/>
      <c r="K1137" s="90"/>
      <c r="L1137" s="90"/>
      <c r="M1137" s="90"/>
      <c r="N1137" s="90"/>
      <c r="O1137" s="90"/>
      <c r="P1137" s="90"/>
    </row>
    <row r="1138" spans="1:16" ht="13.2">
      <c r="A1138" s="90"/>
      <c r="B1138" s="92"/>
      <c r="C1138" s="90"/>
      <c r="D1138" s="90"/>
      <c r="E1138" s="90"/>
      <c r="F1138" s="90"/>
      <c r="G1138" s="90"/>
      <c r="H1138" s="90"/>
      <c r="I1138" s="90"/>
      <c r="J1138" s="90"/>
      <c r="K1138" s="90"/>
      <c r="L1138" s="90"/>
      <c r="M1138" s="90"/>
      <c r="N1138" s="90"/>
      <c r="O1138" s="90"/>
      <c r="P1138" s="90"/>
    </row>
    <row r="1139" spans="1:16" ht="13.2">
      <c r="A1139" s="90"/>
      <c r="B1139" s="92"/>
      <c r="C1139" s="90"/>
      <c r="D1139" s="90"/>
      <c r="E1139" s="90"/>
      <c r="F1139" s="90"/>
      <c r="G1139" s="90"/>
      <c r="H1139" s="90"/>
      <c r="I1139" s="90"/>
      <c r="J1139" s="90"/>
      <c r="K1139" s="90"/>
      <c r="L1139" s="90"/>
      <c r="M1139" s="90"/>
      <c r="N1139" s="90"/>
      <c r="O1139" s="90"/>
      <c r="P1139" s="90"/>
    </row>
    <row r="1140" spans="1:16" ht="13.2">
      <c r="A1140" s="90"/>
      <c r="B1140" s="92"/>
      <c r="C1140" s="90"/>
      <c r="D1140" s="90"/>
      <c r="E1140" s="90"/>
      <c r="F1140" s="90"/>
      <c r="G1140" s="90"/>
      <c r="H1140" s="90"/>
      <c r="I1140" s="90"/>
      <c r="J1140" s="90"/>
      <c r="K1140" s="90"/>
      <c r="L1140" s="90"/>
      <c r="M1140" s="90"/>
      <c r="N1140" s="90"/>
      <c r="O1140" s="90"/>
      <c r="P1140" s="90"/>
    </row>
    <row r="1141" spans="1:16" ht="13.2">
      <c r="A1141" s="90"/>
      <c r="B1141" s="92"/>
      <c r="C1141" s="90"/>
      <c r="D1141" s="90"/>
      <c r="E1141" s="90"/>
      <c r="F1141" s="90"/>
      <c r="G1141" s="90"/>
      <c r="H1141" s="90"/>
      <c r="I1141" s="90"/>
      <c r="J1141" s="90"/>
      <c r="K1141" s="90"/>
      <c r="L1141" s="90"/>
      <c r="M1141" s="90"/>
      <c r="N1141" s="90"/>
      <c r="O1141" s="90"/>
      <c r="P1141" s="90"/>
    </row>
    <row r="1142" spans="1:16" ht="13.2">
      <c r="A1142" s="90"/>
      <c r="B1142" s="92"/>
      <c r="C1142" s="90"/>
      <c r="D1142" s="90"/>
      <c r="E1142" s="90"/>
      <c r="F1142" s="90"/>
      <c r="G1142" s="90"/>
      <c r="H1142" s="90"/>
      <c r="I1142" s="90"/>
      <c r="J1142" s="90"/>
      <c r="K1142" s="90"/>
      <c r="L1142" s="90"/>
      <c r="M1142" s="90"/>
      <c r="N1142" s="90"/>
      <c r="O1142" s="90"/>
      <c r="P1142" s="90"/>
    </row>
    <row r="1143" spans="1:16" ht="13.2">
      <c r="A1143" s="90"/>
      <c r="B1143" s="92"/>
      <c r="C1143" s="90"/>
      <c r="D1143" s="90"/>
      <c r="E1143" s="90"/>
      <c r="F1143" s="90"/>
      <c r="G1143" s="90"/>
      <c r="H1143" s="90"/>
      <c r="I1143" s="90"/>
      <c r="J1143" s="90"/>
      <c r="K1143" s="90"/>
      <c r="L1143" s="90"/>
      <c r="M1143" s="90"/>
      <c r="N1143" s="90"/>
      <c r="O1143" s="90"/>
      <c r="P1143" s="90"/>
    </row>
    <row r="1144" spans="1:16" ht="13.2">
      <c r="A1144" s="90"/>
      <c r="B1144" s="92"/>
      <c r="C1144" s="90"/>
      <c r="D1144" s="90"/>
      <c r="E1144" s="90"/>
      <c r="F1144" s="90"/>
      <c r="G1144" s="90"/>
      <c r="H1144" s="90"/>
      <c r="I1144" s="90"/>
      <c r="J1144" s="90"/>
      <c r="K1144" s="90"/>
      <c r="L1144" s="90"/>
      <c r="M1144" s="90"/>
      <c r="N1144" s="90"/>
      <c r="O1144" s="90"/>
      <c r="P1144" s="90"/>
    </row>
    <row r="1145" spans="1:16" ht="13.2">
      <c r="A1145" s="90"/>
      <c r="B1145" s="92"/>
      <c r="C1145" s="90"/>
      <c r="D1145" s="90"/>
      <c r="E1145" s="90"/>
      <c r="F1145" s="90"/>
      <c r="G1145" s="90"/>
      <c r="H1145" s="90"/>
      <c r="I1145" s="90"/>
      <c r="J1145" s="90"/>
      <c r="K1145" s="90"/>
      <c r="L1145" s="90"/>
      <c r="M1145" s="90"/>
      <c r="N1145" s="90"/>
      <c r="O1145" s="90"/>
      <c r="P1145" s="90"/>
    </row>
    <row r="1146" spans="1:16" ht="13.2">
      <c r="A1146" s="90"/>
      <c r="B1146" s="92"/>
      <c r="C1146" s="90"/>
      <c r="D1146" s="90"/>
      <c r="E1146" s="90"/>
      <c r="F1146" s="90"/>
      <c r="G1146" s="90"/>
      <c r="H1146" s="90"/>
      <c r="I1146" s="90"/>
      <c r="J1146" s="90"/>
      <c r="K1146" s="90"/>
      <c r="L1146" s="90"/>
      <c r="M1146" s="90"/>
      <c r="N1146" s="90"/>
      <c r="O1146" s="90"/>
      <c r="P1146" s="90"/>
    </row>
    <row r="1147" spans="1:16" ht="13.2">
      <c r="A1147" s="90"/>
      <c r="B1147" s="92"/>
      <c r="C1147" s="90"/>
      <c r="D1147" s="90"/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</row>
    <row r="1148" spans="1:16" ht="13.2">
      <c r="A1148" s="90"/>
      <c r="B1148" s="92"/>
      <c r="C1148" s="90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</row>
    <row r="1149" spans="1:16" ht="13.2">
      <c r="A1149" s="90"/>
      <c r="B1149" s="92"/>
      <c r="C1149" s="90"/>
      <c r="D1149" s="90"/>
      <c r="E1149" s="90"/>
      <c r="F1149" s="90"/>
      <c r="G1149" s="90"/>
      <c r="H1149" s="90"/>
      <c r="I1149" s="90"/>
      <c r="J1149" s="90"/>
      <c r="K1149" s="90"/>
      <c r="L1149" s="90"/>
      <c r="M1149" s="90"/>
      <c r="N1149" s="90"/>
      <c r="O1149" s="90"/>
      <c r="P1149" s="90"/>
    </row>
    <row r="1150" spans="1:16" ht="13.2">
      <c r="A1150" s="90"/>
      <c r="B1150" s="92"/>
      <c r="C1150" s="90"/>
      <c r="D1150" s="90"/>
      <c r="E1150" s="90"/>
      <c r="F1150" s="90"/>
      <c r="G1150" s="90"/>
      <c r="H1150" s="90"/>
      <c r="I1150" s="90"/>
      <c r="J1150" s="90"/>
      <c r="K1150" s="90"/>
      <c r="L1150" s="90"/>
      <c r="M1150" s="90"/>
      <c r="N1150" s="90"/>
      <c r="O1150" s="90"/>
      <c r="P1150" s="90"/>
    </row>
    <row r="1151" spans="1:16" ht="13.2">
      <c r="A1151" s="90"/>
      <c r="B1151" s="92"/>
      <c r="C1151" s="90"/>
      <c r="D1151" s="90"/>
      <c r="E1151" s="90"/>
      <c r="F1151" s="90"/>
      <c r="G1151" s="90"/>
      <c r="H1151" s="90"/>
      <c r="I1151" s="90"/>
      <c r="J1151" s="90"/>
      <c r="K1151" s="90"/>
      <c r="L1151" s="90"/>
      <c r="M1151" s="90"/>
      <c r="N1151" s="90"/>
      <c r="O1151" s="90"/>
      <c r="P1151" s="90"/>
    </row>
    <row r="1152" spans="1:16" ht="13.2">
      <c r="A1152" s="90"/>
      <c r="B1152" s="92"/>
      <c r="C1152" s="90"/>
      <c r="D1152" s="90"/>
      <c r="E1152" s="90"/>
      <c r="F1152" s="90"/>
      <c r="G1152" s="90"/>
      <c r="H1152" s="90"/>
      <c r="I1152" s="90"/>
      <c r="J1152" s="90"/>
      <c r="K1152" s="90"/>
      <c r="L1152" s="90"/>
      <c r="M1152" s="90"/>
      <c r="N1152" s="90"/>
      <c r="O1152" s="90"/>
      <c r="P1152" s="90"/>
    </row>
    <row r="1153" spans="1:16" ht="13.2">
      <c r="A1153" s="90"/>
      <c r="B1153" s="92"/>
      <c r="C1153" s="90"/>
      <c r="D1153" s="90"/>
      <c r="E1153" s="90"/>
      <c r="F1153" s="90"/>
      <c r="G1153" s="90"/>
      <c r="H1153" s="90"/>
      <c r="I1153" s="90"/>
      <c r="J1153" s="90"/>
      <c r="K1153" s="90"/>
      <c r="L1153" s="90"/>
      <c r="M1153" s="90"/>
      <c r="N1153" s="90"/>
      <c r="O1153" s="90"/>
      <c r="P1153" s="90"/>
    </row>
    <row r="1154" spans="1:16" ht="13.2">
      <c r="A1154" s="90"/>
      <c r="B1154" s="92"/>
      <c r="C1154" s="90"/>
      <c r="D1154" s="90"/>
      <c r="E1154" s="90"/>
      <c r="F1154" s="90"/>
      <c r="G1154" s="90"/>
      <c r="H1154" s="90"/>
      <c r="I1154" s="90"/>
      <c r="J1154" s="90"/>
      <c r="K1154" s="90"/>
      <c r="L1154" s="90"/>
      <c r="M1154" s="90"/>
      <c r="N1154" s="90"/>
      <c r="O1154" s="90"/>
      <c r="P1154" s="90"/>
    </row>
    <row r="1155" spans="1:16" ht="13.2">
      <c r="A1155" s="90"/>
      <c r="B1155" s="92"/>
      <c r="C1155" s="90"/>
      <c r="D1155" s="90"/>
      <c r="E1155" s="90"/>
      <c r="F1155" s="90"/>
      <c r="G1155" s="90"/>
      <c r="H1155" s="90"/>
      <c r="I1155" s="90"/>
      <c r="J1155" s="90"/>
      <c r="K1155" s="90"/>
      <c r="L1155" s="90"/>
      <c r="M1155" s="90"/>
      <c r="N1155" s="90"/>
      <c r="O1155" s="90"/>
      <c r="P1155" s="90"/>
    </row>
    <row r="1156" spans="1:16" ht="13.2">
      <c r="A1156" s="90"/>
      <c r="B1156" s="92"/>
      <c r="C1156" s="90"/>
      <c r="D1156" s="90"/>
      <c r="E1156" s="90"/>
      <c r="F1156" s="90"/>
      <c r="G1156" s="90"/>
      <c r="H1156" s="90"/>
      <c r="I1156" s="90"/>
      <c r="J1156" s="90"/>
      <c r="K1156" s="90"/>
      <c r="L1156" s="90"/>
      <c r="M1156" s="90"/>
      <c r="N1156" s="90"/>
      <c r="O1156" s="90"/>
      <c r="P1156" s="90"/>
    </row>
    <row r="1157" spans="1:16" ht="13.2">
      <c r="A1157" s="90"/>
      <c r="B1157" s="92"/>
      <c r="C1157" s="90"/>
      <c r="D1157" s="90"/>
      <c r="E1157" s="90"/>
      <c r="F1157" s="90"/>
      <c r="G1157" s="90"/>
      <c r="H1157" s="90"/>
      <c r="I1157" s="90"/>
      <c r="J1157" s="90"/>
      <c r="K1157" s="90"/>
      <c r="L1157" s="90"/>
      <c r="M1157" s="90"/>
      <c r="N1157" s="90"/>
      <c r="O1157" s="90"/>
      <c r="P1157" s="90"/>
    </row>
    <row r="1158" spans="1:16" ht="13.2">
      <c r="A1158" s="90"/>
      <c r="B1158" s="92"/>
      <c r="C1158" s="90"/>
      <c r="D1158" s="90"/>
      <c r="E1158" s="90"/>
      <c r="F1158" s="90"/>
      <c r="G1158" s="90"/>
      <c r="H1158" s="90"/>
      <c r="I1158" s="90"/>
      <c r="J1158" s="90"/>
      <c r="K1158" s="90"/>
      <c r="L1158" s="90"/>
      <c r="M1158" s="90"/>
      <c r="N1158" s="90"/>
      <c r="O1158" s="90"/>
      <c r="P1158" s="90"/>
    </row>
    <row r="1159" spans="1:16" ht="13.2">
      <c r="A1159" s="90"/>
      <c r="B1159" s="92"/>
      <c r="C1159" s="90"/>
      <c r="D1159" s="90"/>
      <c r="E1159" s="90"/>
      <c r="F1159" s="90"/>
      <c r="G1159" s="90"/>
      <c r="H1159" s="90"/>
      <c r="I1159" s="90"/>
      <c r="J1159" s="90"/>
      <c r="K1159" s="90"/>
      <c r="L1159" s="90"/>
      <c r="M1159" s="90"/>
      <c r="N1159" s="90"/>
      <c r="O1159" s="90"/>
      <c r="P1159" s="90"/>
    </row>
    <row r="1160" spans="1:16" ht="13.2">
      <c r="A1160" s="90"/>
      <c r="B1160" s="92"/>
      <c r="C1160" s="90"/>
      <c r="D1160" s="90"/>
      <c r="E1160" s="90"/>
      <c r="F1160" s="90"/>
      <c r="G1160" s="90"/>
      <c r="H1160" s="90"/>
      <c r="I1160" s="90"/>
      <c r="J1160" s="90"/>
      <c r="K1160" s="90"/>
      <c r="L1160" s="90"/>
      <c r="M1160" s="90"/>
      <c r="N1160" s="90"/>
      <c r="O1160" s="90"/>
      <c r="P1160" s="90"/>
    </row>
    <row r="1161" spans="1:16" ht="13.2">
      <c r="A1161" s="90"/>
      <c r="B1161" s="92"/>
      <c r="C1161" s="90"/>
      <c r="D1161" s="90"/>
      <c r="E1161" s="90"/>
      <c r="F1161" s="90"/>
      <c r="G1161" s="90"/>
      <c r="H1161" s="90"/>
      <c r="I1161" s="90"/>
      <c r="J1161" s="90"/>
      <c r="K1161" s="90"/>
      <c r="L1161" s="90"/>
      <c r="M1161" s="90"/>
      <c r="N1161" s="90"/>
      <c r="O1161" s="90"/>
      <c r="P1161" s="90"/>
    </row>
    <row r="1162" spans="1:16" ht="13.2">
      <c r="A1162" s="90"/>
      <c r="B1162" s="92"/>
      <c r="C1162" s="90"/>
      <c r="D1162" s="90"/>
      <c r="E1162" s="90"/>
      <c r="F1162" s="90"/>
      <c r="G1162" s="90"/>
      <c r="H1162" s="90"/>
      <c r="I1162" s="90"/>
      <c r="J1162" s="90"/>
      <c r="K1162" s="90"/>
      <c r="L1162" s="90"/>
      <c r="M1162" s="90"/>
      <c r="N1162" s="90"/>
      <c r="O1162" s="90"/>
      <c r="P1162" s="90"/>
    </row>
    <row r="1163" spans="1:16" ht="13.2">
      <c r="A1163" s="90"/>
      <c r="B1163" s="92"/>
      <c r="C1163" s="90"/>
      <c r="D1163" s="90"/>
      <c r="E1163" s="90"/>
      <c r="F1163" s="90"/>
      <c r="G1163" s="90"/>
      <c r="H1163" s="90"/>
      <c r="I1163" s="90"/>
      <c r="J1163" s="90"/>
      <c r="K1163" s="90"/>
      <c r="L1163" s="90"/>
      <c r="M1163" s="90"/>
      <c r="N1163" s="90"/>
      <c r="O1163" s="90"/>
      <c r="P1163" s="90"/>
    </row>
    <row r="1164" spans="1:16" ht="13.2">
      <c r="A1164" s="90"/>
      <c r="B1164" s="92"/>
      <c r="C1164" s="90"/>
      <c r="D1164" s="90"/>
      <c r="E1164" s="90"/>
      <c r="F1164" s="90"/>
      <c r="G1164" s="90"/>
      <c r="H1164" s="90"/>
      <c r="I1164" s="90"/>
      <c r="J1164" s="90"/>
      <c r="K1164" s="90"/>
      <c r="L1164" s="90"/>
      <c r="M1164" s="90"/>
      <c r="N1164" s="90"/>
      <c r="O1164" s="90"/>
      <c r="P1164" s="90"/>
    </row>
    <row r="1165" spans="1:16" ht="13.2">
      <c r="A1165" s="90"/>
      <c r="B1165" s="92"/>
      <c r="C1165" s="90"/>
      <c r="D1165" s="90"/>
      <c r="E1165" s="90"/>
      <c r="F1165" s="90"/>
      <c r="G1165" s="90"/>
      <c r="H1165" s="90"/>
      <c r="I1165" s="90"/>
      <c r="J1165" s="90"/>
      <c r="K1165" s="90"/>
      <c r="L1165" s="90"/>
      <c r="M1165" s="90"/>
      <c r="N1165" s="90"/>
      <c r="O1165" s="90"/>
      <c r="P1165" s="90"/>
    </row>
    <row r="1166" spans="1:16" ht="13.2">
      <c r="A1166" s="90"/>
      <c r="B1166" s="92"/>
      <c r="C1166" s="90"/>
      <c r="D1166" s="90"/>
      <c r="E1166" s="90"/>
      <c r="F1166" s="90"/>
      <c r="G1166" s="90"/>
      <c r="H1166" s="90"/>
      <c r="I1166" s="90"/>
      <c r="J1166" s="90"/>
      <c r="K1166" s="90"/>
      <c r="L1166" s="90"/>
      <c r="M1166" s="90"/>
      <c r="N1166" s="90"/>
      <c r="O1166" s="90"/>
      <c r="P1166" s="90"/>
    </row>
    <row r="1167" spans="1:16" ht="13.2">
      <c r="A1167" s="90"/>
      <c r="B1167" s="92"/>
      <c r="C1167" s="90"/>
      <c r="D1167" s="90"/>
      <c r="E1167" s="90"/>
      <c r="F1167" s="90"/>
      <c r="G1167" s="90"/>
      <c r="H1167" s="90"/>
      <c r="I1167" s="90"/>
      <c r="J1167" s="90"/>
      <c r="K1167" s="90"/>
      <c r="L1167" s="90"/>
      <c r="M1167" s="90"/>
      <c r="N1167" s="90"/>
      <c r="O1167" s="90"/>
      <c r="P1167" s="90"/>
    </row>
    <row r="1168" spans="1:16" ht="13.2">
      <c r="A1168" s="90"/>
      <c r="B1168" s="92"/>
      <c r="C1168" s="90"/>
      <c r="D1168" s="90"/>
      <c r="E1168" s="90"/>
      <c r="F1168" s="90"/>
      <c r="G1168" s="90"/>
      <c r="H1168" s="90"/>
      <c r="I1168" s="90"/>
      <c r="J1168" s="90"/>
      <c r="K1168" s="90"/>
      <c r="L1168" s="90"/>
      <c r="M1168" s="90"/>
      <c r="N1168" s="90"/>
      <c r="O1168" s="90"/>
      <c r="P1168" s="90"/>
    </row>
    <row r="1169" spans="1:16" ht="13.2">
      <c r="A1169" s="90"/>
      <c r="B1169" s="92"/>
      <c r="C1169" s="90"/>
      <c r="D1169" s="90"/>
      <c r="E1169" s="90"/>
      <c r="F1169" s="90"/>
      <c r="G1169" s="90"/>
      <c r="H1169" s="90"/>
      <c r="I1169" s="90"/>
      <c r="J1169" s="90"/>
      <c r="K1169" s="90"/>
      <c r="L1169" s="90"/>
      <c r="M1169" s="90"/>
      <c r="N1169" s="90"/>
      <c r="O1169" s="90"/>
      <c r="P1169" s="90"/>
    </row>
    <row r="1170" spans="1:16" ht="13.2">
      <c r="A1170" s="90"/>
      <c r="B1170" s="92"/>
      <c r="C1170" s="90"/>
      <c r="D1170" s="90"/>
      <c r="E1170" s="90"/>
      <c r="F1170" s="90"/>
      <c r="G1170" s="90"/>
      <c r="H1170" s="90"/>
      <c r="I1170" s="90"/>
      <c r="J1170" s="90"/>
      <c r="K1170" s="90"/>
      <c r="L1170" s="90"/>
      <c r="M1170" s="90"/>
      <c r="N1170" s="90"/>
      <c r="O1170" s="90"/>
      <c r="P1170" s="90"/>
    </row>
    <row r="1171" spans="1:16" ht="13.2">
      <c r="A1171" s="90"/>
      <c r="B1171" s="92"/>
      <c r="C1171" s="90"/>
      <c r="D1171" s="90"/>
      <c r="E1171" s="90"/>
      <c r="F1171" s="90"/>
      <c r="G1171" s="90"/>
      <c r="H1171" s="90"/>
      <c r="I1171" s="90"/>
      <c r="J1171" s="90"/>
      <c r="K1171" s="90"/>
      <c r="L1171" s="90"/>
      <c r="M1171" s="90"/>
      <c r="N1171" s="90"/>
      <c r="O1171" s="90"/>
      <c r="P1171" s="90"/>
    </row>
    <row r="1172" spans="1:16" ht="13.2">
      <c r="A1172" s="90"/>
      <c r="B1172" s="92"/>
      <c r="C1172" s="90"/>
      <c r="D1172" s="90"/>
      <c r="E1172" s="90"/>
      <c r="F1172" s="90"/>
      <c r="G1172" s="90"/>
      <c r="H1172" s="90"/>
      <c r="I1172" s="90"/>
      <c r="J1172" s="90"/>
      <c r="K1172" s="90"/>
      <c r="L1172" s="90"/>
      <c r="M1172" s="90"/>
      <c r="N1172" s="90"/>
      <c r="O1172" s="90"/>
      <c r="P1172" s="90"/>
    </row>
    <row r="1173" spans="1:16" ht="13.2">
      <c r="A1173" s="90"/>
      <c r="B1173" s="92"/>
      <c r="C1173" s="90"/>
      <c r="D1173" s="90"/>
      <c r="E1173" s="90"/>
      <c r="F1173" s="90"/>
      <c r="G1173" s="90"/>
      <c r="H1173" s="90"/>
      <c r="I1173" s="90"/>
      <c r="J1173" s="90"/>
      <c r="K1173" s="90"/>
      <c r="L1173" s="90"/>
      <c r="M1173" s="90"/>
      <c r="N1173" s="90"/>
      <c r="O1173" s="90"/>
      <c r="P1173" s="90"/>
    </row>
    <row r="1174" spans="1:16" ht="13.2">
      <c r="A1174" s="90"/>
      <c r="B1174" s="92"/>
      <c r="C1174" s="90"/>
      <c r="D1174" s="90"/>
      <c r="E1174" s="90"/>
      <c r="F1174" s="90"/>
      <c r="G1174" s="90"/>
      <c r="H1174" s="90"/>
      <c r="I1174" s="90"/>
      <c r="J1174" s="90"/>
      <c r="K1174" s="90"/>
      <c r="L1174" s="90"/>
      <c r="M1174" s="90"/>
      <c r="N1174" s="90"/>
      <c r="O1174" s="90"/>
      <c r="P1174" s="90"/>
    </row>
    <row r="1175" spans="1:16" ht="13.2">
      <c r="A1175" s="90"/>
      <c r="B1175" s="92"/>
      <c r="C1175" s="90"/>
      <c r="D1175" s="90"/>
      <c r="E1175" s="90"/>
      <c r="F1175" s="90"/>
      <c r="G1175" s="90"/>
      <c r="H1175" s="90"/>
      <c r="I1175" s="90"/>
      <c r="J1175" s="90"/>
      <c r="K1175" s="90"/>
      <c r="L1175" s="90"/>
      <c r="M1175" s="90"/>
      <c r="N1175" s="90"/>
      <c r="O1175" s="90"/>
      <c r="P1175" s="90"/>
    </row>
    <row r="1176" spans="1:16" ht="13.2">
      <c r="A1176" s="90"/>
      <c r="B1176" s="92"/>
      <c r="C1176" s="90"/>
      <c r="D1176" s="90"/>
      <c r="E1176" s="90"/>
      <c r="F1176" s="90"/>
      <c r="G1176" s="90"/>
      <c r="H1176" s="90"/>
      <c r="I1176" s="90"/>
      <c r="J1176" s="90"/>
      <c r="K1176" s="90"/>
      <c r="L1176" s="90"/>
      <c r="M1176" s="90"/>
      <c r="N1176" s="90"/>
      <c r="O1176" s="90"/>
      <c r="P1176" s="90"/>
    </row>
    <row r="1177" spans="1:16" ht="13.2">
      <c r="A1177" s="90"/>
      <c r="B1177" s="92"/>
      <c r="C1177" s="90"/>
      <c r="D1177" s="90"/>
      <c r="E1177" s="90"/>
      <c r="F1177" s="90"/>
      <c r="G1177" s="90"/>
      <c r="H1177" s="90"/>
      <c r="I1177" s="90"/>
      <c r="J1177" s="90"/>
      <c r="K1177" s="90"/>
      <c r="L1177" s="90"/>
      <c r="M1177" s="90"/>
      <c r="N1177" s="90"/>
      <c r="O1177" s="90"/>
      <c r="P1177" s="90"/>
    </row>
    <row r="1178" spans="1:16" ht="13.2">
      <c r="A1178" s="90"/>
      <c r="B1178" s="92"/>
      <c r="C1178" s="90"/>
      <c r="D1178" s="90"/>
      <c r="E1178" s="90"/>
      <c r="F1178" s="90"/>
      <c r="G1178" s="90"/>
      <c r="H1178" s="90"/>
      <c r="I1178" s="90"/>
      <c r="J1178" s="90"/>
      <c r="K1178" s="90"/>
      <c r="L1178" s="90"/>
      <c r="M1178" s="90"/>
      <c r="N1178" s="90"/>
      <c r="O1178" s="90"/>
      <c r="P1178" s="90"/>
    </row>
    <row r="1179" spans="1:16" ht="13.2">
      <c r="A1179" s="90"/>
      <c r="B1179" s="92"/>
      <c r="C1179" s="90"/>
      <c r="D1179" s="90"/>
      <c r="E1179" s="90"/>
      <c r="F1179" s="90"/>
      <c r="G1179" s="90"/>
      <c r="H1179" s="90"/>
      <c r="I1179" s="90"/>
      <c r="J1179" s="90"/>
      <c r="K1179" s="90"/>
      <c r="L1179" s="90"/>
      <c r="M1179" s="90"/>
      <c r="N1179" s="90"/>
      <c r="O1179" s="90"/>
      <c r="P1179" s="90"/>
    </row>
    <row r="1180" spans="1:16" ht="13.2">
      <c r="A1180" s="90"/>
      <c r="B1180" s="92"/>
      <c r="C1180" s="90"/>
      <c r="D1180" s="90"/>
      <c r="E1180" s="90"/>
      <c r="F1180" s="90"/>
      <c r="G1180" s="90"/>
      <c r="H1180" s="90"/>
      <c r="I1180" s="90"/>
      <c r="J1180" s="90"/>
      <c r="K1180" s="90"/>
      <c r="L1180" s="90"/>
      <c r="M1180" s="90"/>
      <c r="N1180" s="90"/>
      <c r="O1180" s="90"/>
      <c r="P1180" s="90"/>
    </row>
    <row r="1181" spans="1:16" ht="13.2">
      <c r="A1181" s="90"/>
      <c r="B1181" s="92"/>
      <c r="C1181" s="90"/>
      <c r="D1181" s="90"/>
      <c r="E1181" s="90"/>
      <c r="F1181" s="90"/>
      <c r="G1181" s="90"/>
      <c r="H1181" s="90"/>
      <c r="I1181" s="90"/>
      <c r="J1181" s="90"/>
      <c r="K1181" s="90"/>
      <c r="L1181" s="90"/>
      <c r="M1181" s="90"/>
      <c r="N1181" s="90"/>
      <c r="O1181" s="90"/>
      <c r="P1181" s="90"/>
    </row>
    <row r="1182" spans="1:16" ht="13.2">
      <c r="A1182" s="90"/>
      <c r="B1182" s="92"/>
      <c r="C1182" s="90"/>
      <c r="D1182" s="90"/>
      <c r="E1182" s="90"/>
      <c r="F1182" s="90"/>
      <c r="G1182" s="90"/>
      <c r="H1182" s="90"/>
      <c r="I1182" s="90"/>
      <c r="J1182" s="90"/>
      <c r="K1182" s="90"/>
      <c r="L1182" s="90"/>
      <c r="M1182" s="90"/>
      <c r="N1182" s="90"/>
      <c r="O1182" s="90"/>
      <c r="P1182" s="90"/>
    </row>
    <row r="1183" spans="1:16" ht="13.2">
      <c r="A1183" s="90"/>
      <c r="B1183" s="92"/>
      <c r="C1183" s="90"/>
      <c r="D1183" s="90"/>
      <c r="E1183" s="90"/>
      <c r="F1183" s="90"/>
      <c r="G1183" s="90"/>
      <c r="H1183" s="90"/>
      <c r="I1183" s="90"/>
      <c r="J1183" s="90"/>
      <c r="K1183" s="90"/>
      <c r="L1183" s="90"/>
      <c r="M1183" s="90"/>
      <c r="N1183" s="90"/>
      <c r="O1183" s="90"/>
      <c r="P1183" s="90"/>
    </row>
    <row r="1184" spans="1:16" ht="13.2">
      <c r="A1184" s="90"/>
      <c r="B1184" s="92"/>
      <c r="C1184" s="90"/>
      <c r="D1184" s="90"/>
      <c r="E1184" s="90"/>
      <c r="F1184" s="90"/>
      <c r="G1184" s="90"/>
      <c r="H1184" s="90"/>
      <c r="I1184" s="90"/>
      <c r="J1184" s="90"/>
      <c r="K1184" s="90"/>
      <c r="L1184" s="90"/>
      <c r="M1184" s="90"/>
      <c r="N1184" s="90"/>
      <c r="O1184" s="90"/>
      <c r="P1184" s="90"/>
    </row>
    <row r="1185" spans="1:16" ht="13.2">
      <c r="A1185" s="90"/>
      <c r="B1185" s="92"/>
      <c r="C1185" s="90"/>
      <c r="D1185" s="90"/>
      <c r="E1185" s="90"/>
      <c r="F1185" s="90"/>
      <c r="G1185" s="90"/>
      <c r="H1185" s="90"/>
      <c r="I1185" s="90"/>
      <c r="J1185" s="90"/>
      <c r="K1185" s="90"/>
      <c r="L1185" s="90"/>
      <c r="M1185" s="90"/>
      <c r="N1185" s="90"/>
      <c r="O1185" s="90"/>
      <c r="P1185" s="90"/>
    </row>
    <row r="1186" spans="1:16" ht="13.2">
      <c r="A1186" s="90"/>
      <c r="B1186" s="92"/>
      <c r="C1186" s="90"/>
      <c r="D1186" s="90"/>
      <c r="E1186" s="90"/>
      <c r="F1186" s="90"/>
      <c r="G1186" s="90"/>
      <c r="H1186" s="90"/>
      <c r="I1186" s="90"/>
      <c r="J1186" s="90"/>
      <c r="K1186" s="90"/>
      <c r="L1186" s="90"/>
      <c r="M1186" s="90"/>
      <c r="N1186" s="90"/>
      <c r="O1186" s="90"/>
      <c r="P1186" s="90"/>
    </row>
    <row r="1187" spans="1:16" ht="13.2">
      <c r="A1187" s="90"/>
      <c r="B1187" s="92"/>
      <c r="C1187" s="90"/>
      <c r="D1187" s="90"/>
      <c r="E1187" s="90"/>
      <c r="F1187" s="90"/>
      <c r="G1187" s="90"/>
      <c r="H1187" s="90"/>
      <c r="I1187" s="90"/>
      <c r="J1187" s="90"/>
      <c r="K1187" s="90"/>
      <c r="L1187" s="90"/>
      <c r="M1187" s="90"/>
      <c r="N1187" s="90"/>
      <c r="O1187" s="90"/>
      <c r="P1187" s="90"/>
    </row>
    <row r="1188" spans="1:16" ht="13.2">
      <c r="A1188" s="90"/>
      <c r="B1188" s="92"/>
      <c r="C1188" s="90"/>
      <c r="D1188" s="90"/>
      <c r="E1188" s="90"/>
      <c r="F1188" s="90"/>
      <c r="G1188" s="90"/>
      <c r="H1188" s="90"/>
      <c r="I1188" s="90"/>
      <c r="J1188" s="90"/>
      <c r="K1188" s="90"/>
      <c r="L1188" s="90"/>
      <c r="M1188" s="90"/>
      <c r="N1188" s="90"/>
      <c r="O1188" s="90"/>
      <c r="P1188" s="90"/>
    </row>
    <row r="1189" spans="1:16" ht="13.2">
      <c r="A1189" s="90"/>
      <c r="B1189" s="92"/>
      <c r="C1189" s="90"/>
      <c r="D1189" s="90"/>
      <c r="E1189" s="90"/>
      <c r="F1189" s="90"/>
      <c r="G1189" s="90"/>
      <c r="H1189" s="90"/>
      <c r="I1189" s="90"/>
      <c r="J1189" s="90"/>
      <c r="K1189" s="90"/>
      <c r="L1189" s="90"/>
      <c r="M1189" s="90"/>
      <c r="N1189" s="90"/>
      <c r="O1189" s="90"/>
      <c r="P1189" s="90"/>
    </row>
    <row r="1190" spans="1:16" ht="13.2">
      <c r="A1190" s="90"/>
      <c r="B1190" s="92"/>
      <c r="C1190" s="90"/>
      <c r="D1190" s="90"/>
      <c r="E1190" s="90"/>
      <c r="F1190" s="90"/>
      <c r="G1190" s="90"/>
      <c r="H1190" s="90"/>
      <c r="I1190" s="90"/>
      <c r="J1190" s="90"/>
      <c r="K1190" s="90"/>
      <c r="L1190" s="90"/>
      <c r="M1190" s="90"/>
      <c r="N1190" s="90"/>
      <c r="O1190" s="90"/>
      <c r="P1190" s="90"/>
    </row>
    <row r="1191" spans="1:16" ht="13.2">
      <c r="A1191" s="90"/>
      <c r="B1191" s="92"/>
      <c r="C1191" s="90"/>
      <c r="D1191" s="90"/>
      <c r="E1191" s="90"/>
      <c r="F1191" s="90"/>
      <c r="G1191" s="90"/>
      <c r="H1191" s="90"/>
      <c r="I1191" s="90"/>
      <c r="J1191" s="90"/>
      <c r="K1191" s="90"/>
      <c r="L1191" s="90"/>
      <c r="M1191" s="90"/>
      <c r="N1191" s="90"/>
      <c r="O1191" s="90"/>
      <c r="P1191" s="90"/>
    </row>
    <row r="1192" spans="1:16" ht="13.2">
      <c r="A1192" s="90"/>
      <c r="B1192" s="92"/>
      <c r="C1192" s="90"/>
      <c r="D1192" s="90"/>
      <c r="E1192" s="90"/>
      <c r="F1192" s="90"/>
      <c r="G1192" s="90"/>
      <c r="H1192" s="90"/>
      <c r="I1192" s="90"/>
      <c r="J1192" s="90"/>
      <c r="K1192" s="90"/>
      <c r="L1192" s="90"/>
      <c r="M1192" s="90"/>
      <c r="N1192" s="90"/>
      <c r="O1192" s="90"/>
      <c r="P1192" s="90"/>
    </row>
    <row r="1193" spans="1:16" ht="13.2">
      <c r="A1193" s="90"/>
      <c r="B1193" s="92"/>
      <c r="C1193" s="90"/>
      <c r="D1193" s="90"/>
      <c r="E1193" s="90"/>
      <c r="F1193" s="90"/>
      <c r="G1193" s="90"/>
      <c r="H1193" s="90"/>
      <c r="I1193" s="90"/>
      <c r="J1193" s="90"/>
      <c r="K1193" s="90"/>
      <c r="L1193" s="90"/>
      <c r="M1193" s="90"/>
      <c r="N1193" s="90"/>
      <c r="O1193" s="90"/>
      <c r="P1193" s="90"/>
    </row>
    <row r="1194" spans="1:16" ht="13.2">
      <c r="A1194" s="90"/>
      <c r="B1194" s="92"/>
      <c r="C1194" s="90"/>
      <c r="D1194" s="90"/>
      <c r="E1194" s="90"/>
      <c r="F1194" s="90"/>
      <c r="G1194" s="90"/>
      <c r="H1194" s="90"/>
      <c r="I1194" s="90"/>
      <c r="J1194" s="90"/>
      <c r="K1194" s="90"/>
      <c r="L1194" s="90"/>
      <c r="M1194" s="90"/>
      <c r="N1194" s="90"/>
      <c r="O1194" s="90"/>
      <c r="P1194" s="90"/>
    </row>
    <row r="1195" spans="1:16" ht="13.2">
      <c r="A1195" s="90"/>
      <c r="B1195" s="92"/>
      <c r="C1195" s="90"/>
      <c r="D1195" s="90"/>
      <c r="E1195" s="90"/>
      <c r="F1195" s="90"/>
      <c r="G1195" s="90"/>
      <c r="H1195" s="90"/>
      <c r="I1195" s="90"/>
      <c r="J1195" s="90"/>
      <c r="K1195" s="90"/>
      <c r="L1195" s="90"/>
      <c r="M1195" s="90"/>
      <c r="N1195" s="90"/>
      <c r="O1195" s="90"/>
      <c r="P1195" s="90"/>
    </row>
    <row r="1196" spans="1:16" ht="13.2">
      <c r="A1196" s="90"/>
      <c r="B1196" s="92"/>
      <c r="C1196" s="90"/>
      <c r="D1196" s="90"/>
      <c r="E1196" s="90"/>
      <c r="F1196" s="90"/>
      <c r="G1196" s="90"/>
      <c r="H1196" s="90"/>
      <c r="I1196" s="90"/>
      <c r="J1196" s="90"/>
      <c r="K1196" s="90"/>
      <c r="L1196" s="90"/>
      <c r="M1196" s="90"/>
      <c r="N1196" s="90"/>
      <c r="O1196" s="90"/>
      <c r="P1196" s="90"/>
    </row>
    <row r="1197" spans="1:16" ht="13.2">
      <c r="A1197" s="90"/>
      <c r="B1197" s="92"/>
      <c r="C1197" s="90"/>
      <c r="D1197" s="90"/>
      <c r="E1197" s="90"/>
      <c r="F1197" s="90"/>
      <c r="G1197" s="90"/>
      <c r="H1197" s="90"/>
      <c r="I1197" s="90"/>
      <c r="J1197" s="90"/>
      <c r="K1197" s="90"/>
      <c r="L1197" s="90"/>
      <c r="M1197" s="90"/>
      <c r="N1197" s="90"/>
      <c r="O1197" s="90"/>
      <c r="P1197" s="90"/>
    </row>
    <row r="1198" spans="1:16" ht="13.2">
      <c r="A1198" s="90"/>
      <c r="B1198" s="92"/>
      <c r="C1198" s="90"/>
      <c r="D1198" s="90"/>
      <c r="E1198" s="90"/>
      <c r="F1198" s="90"/>
      <c r="G1198" s="90"/>
      <c r="H1198" s="90"/>
      <c r="I1198" s="90"/>
      <c r="J1198" s="90"/>
      <c r="K1198" s="90"/>
      <c r="L1198" s="90"/>
      <c r="M1198" s="90"/>
      <c r="N1198" s="90"/>
      <c r="O1198" s="90"/>
      <c r="P1198" s="90"/>
    </row>
    <row r="1199" spans="1:16" ht="13.2">
      <c r="A1199" s="90"/>
      <c r="B1199" s="92"/>
      <c r="C1199" s="90"/>
      <c r="D1199" s="90"/>
      <c r="E1199" s="90"/>
      <c r="F1199" s="90"/>
      <c r="G1199" s="90"/>
      <c r="H1199" s="90"/>
      <c r="I1199" s="90"/>
      <c r="J1199" s="90"/>
      <c r="K1199" s="90"/>
      <c r="L1199" s="90"/>
      <c r="M1199" s="90"/>
      <c r="N1199" s="90"/>
      <c r="O1199" s="90"/>
      <c r="P1199" s="90"/>
    </row>
    <row r="1200" spans="1:16" ht="13.2">
      <c r="A1200" s="90"/>
      <c r="B1200" s="92"/>
      <c r="C1200" s="90"/>
      <c r="D1200" s="90"/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</row>
    <row r="1201" spans="1:16" ht="13.2">
      <c r="A1201" s="90"/>
      <c r="B1201" s="92"/>
      <c r="C1201" s="90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</row>
    <row r="1202" spans="1:16" ht="13.2">
      <c r="A1202" s="90"/>
      <c r="B1202" s="92"/>
      <c r="C1202" s="90"/>
      <c r="D1202" s="90"/>
      <c r="E1202" s="90"/>
      <c r="F1202" s="90"/>
      <c r="G1202" s="90"/>
      <c r="H1202" s="90"/>
      <c r="I1202" s="90"/>
      <c r="J1202" s="90"/>
      <c r="K1202" s="90"/>
      <c r="L1202" s="90"/>
      <c r="M1202" s="90"/>
      <c r="N1202" s="90"/>
      <c r="O1202" s="90"/>
      <c r="P1202" s="90"/>
    </row>
    <row r="1203" spans="1:16" ht="13.2">
      <c r="A1203" s="90"/>
      <c r="B1203" s="92"/>
      <c r="C1203" s="90"/>
      <c r="D1203" s="90"/>
      <c r="E1203" s="90"/>
      <c r="F1203" s="90"/>
      <c r="G1203" s="90"/>
      <c r="H1203" s="90"/>
      <c r="I1203" s="90"/>
      <c r="J1203" s="90"/>
      <c r="K1203" s="90"/>
      <c r="L1203" s="90"/>
      <c r="M1203" s="90"/>
      <c r="N1203" s="90"/>
      <c r="O1203" s="90"/>
      <c r="P1203" s="90"/>
    </row>
    <row r="1204" spans="1:16" ht="13.2">
      <c r="A1204" s="90"/>
      <c r="B1204" s="92"/>
      <c r="C1204" s="90"/>
      <c r="D1204" s="90"/>
      <c r="E1204" s="90"/>
      <c r="F1204" s="90"/>
      <c r="G1204" s="90"/>
      <c r="H1204" s="90"/>
      <c r="I1204" s="90"/>
      <c r="J1204" s="90"/>
      <c r="K1204" s="90"/>
      <c r="L1204" s="90"/>
      <c r="M1204" s="90"/>
      <c r="N1204" s="90"/>
      <c r="O1204" s="90"/>
      <c r="P1204" s="90"/>
    </row>
    <row r="1205" spans="1:16" ht="13.2">
      <c r="A1205" s="90"/>
      <c r="B1205" s="92"/>
      <c r="C1205" s="90"/>
      <c r="D1205" s="90"/>
      <c r="E1205" s="90"/>
      <c r="F1205" s="90"/>
      <c r="G1205" s="90"/>
      <c r="H1205" s="90"/>
      <c r="I1205" s="90"/>
      <c r="J1205" s="90"/>
      <c r="K1205" s="90"/>
      <c r="L1205" s="90"/>
      <c r="M1205" s="90"/>
      <c r="N1205" s="90"/>
      <c r="O1205" s="90"/>
      <c r="P1205" s="90"/>
    </row>
    <row r="1206" spans="1:16" ht="13.2">
      <c r="A1206" s="90"/>
      <c r="B1206" s="92"/>
      <c r="C1206" s="90"/>
      <c r="D1206" s="90"/>
      <c r="E1206" s="90"/>
      <c r="F1206" s="90"/>
      <c r="G1206" s="90"/>
      <c r="H1206" s="90"/>
      <c r="I1206" s="90"/>
      <c r="J1206" s="90"/>
      <c r="K1206" s="90"/>
      <c r="L1206" s="90"/>
      <c r="M1206" s="90"/>
      <c r="N1206" s="90"/>
      <c r="O1206" s="90"/>
      <c r="P1206" s="90"/>
    </row>
    <row r="1207" spans="1:16" ht="13.2">
      <c r="A1207" s="90"/>
      <c r="B1207" s="92"/>
      <c r="C1207" s="90"/>
      <c r="D1207" s="90"/>
      <c r="E1207" s="90"/>
      <c r="F1207" s="90"/>
      <c r="G1207" s="90"/>
      <c r="H1207" s="90"/>
      <c r="I1207" s="90"/>
      <c r="J1207" s="90"/>
      <c r="K1207" s="90"/>
      <c r="L1207" s="90"/>
      <c r="M1207" s="90"/>
      <c r="N1207" s="90"/>
      <c r="O1207" s="90"/>
      <c r="P1207" s="90"/>
    </row>
    <row r="1208" spans="1:16" ht="13.2">
      <c r="A1208" s="90"/>
      <c r="B1208" s="92"/>
      <c r="C1208" s="90"/>
      <c r="D1208" s="90"/>
      <c r="E1208" s="90"/>
      <c r="F1208" s="90"/>
      <c r="G1208" s="90"/>
      <c r="H1208" s="90"/>
      <c r="I1208" s="90"/>
      <c r="J1208" s="90"/>
      <c r="K1208" s="90"/>
      <c r="L1208" s="90"/>
      <c r="M1208" s="90"/>
      <c r="N1208" s="90"/>
      <c r="O1208" s="90"/>
      <c r="P1208" s="90"/>
    </row>
    <row r="1209" spans="1:16" ht="13.2">
      <c r="A1209" s="90"/>
      <c r="B1209" s="92"/>
      <c r="C1209" s="90"/>
      <c r="D1209" s="90"/>
      <c r="E1209" s="90"/>
      <c r="F1209" s="90"/>
      <c r="G1209" s="90"/>
      <c r="H1209" s="90"/>
      <c r="I1209" s="90"/>
      <c r="J1209" s="90"/>
      <c r="K1209" s="90"/>
      <c r="L1209" s="90"/>
      <c r="M1209" s="90"/>
      <c r="N1209" s="90"/>
      <c r="O1209" s="90"/>
      <c r="P1209" s="90"/>
    </row>
    <row r="1210" spans="1:16" ht="13.2">
      <c r="A1210" s="90"/>
      <c r="B1210" s="92"/>
      <c r="C1210" s="90"/>
      <c r="D1210" s="90"/>
      <c r="E1210" s="90"/>
      <c r="F1210" s="90"/>
      <c r="G1210" s="90"/>
      <c r="H1210" s="90"/>
      <c r="I1210" s="90"/>
      <c r="J1210" s="90"/>
      <c r="K1210" s="90"/>
      <c r="L1210" s="90"/>
      <c r="M1210" s="90"/>
      <c r="N1210" s="90"/>
      <c r="O1210" s="90"/>
      <c r="P1210" s="90"/>
    </row>
    <row r="1211" spans="1:16" ht="13.2">
      <c r="A1211" s="90"/>
      <c r="B1211" s="92"/>
      <c r="C1211" s="90"/>
      <c r="D1211" s="90"/>
      <c r="E1211" s="90"/>
      <c r="F1211" s="90"/>
      <c r="G1211" s="90"/>
      <c r="H1211" s="90"/>
      <c r="I1211" s="90"/>
      <c r="J1211" s="90"/>
      <c r="K1211" s="90"/>
      <c r="L1211" s="90"/>
      <c r="M1211" s="90"/>
      <c r="N1211" s="90"/>
      <c r="O1211" s="90"/>
      <c r="P1211" s="90"/>
    </row>
    <row r="1212" spans="1:16" ht="13.2">
      <c r="A1212" s="90"/>
      <c r="B1212" s="92"/>
      <c r="C1212" s="90"/>
      <c r="D1212" s="90"/>
      <c r="E1212" s="90"/>
      <c r="F1212" s="90"/>
      <c r="G1212" s="90"/>
      <c r="H1212" s="90"/>
      <c r="I1212" s="90"/>
      <c r="J1212" s="90"/>
      <c r="K1212" s="90"/>
      <c r="L1212" s="90"/>
      <c r="M1212" s="90"/>
      <c r="N1212" s="90"/>
      <c r="O1212" s="90"/>
      <c r="P1212" s="90"/>
    </row>
    <row r="1213" spans="1:16" ht="13.2">
      <c r="A1213" s="90"/>
      <c r="B1213" s="92"/>
      <c r="C1213" s="90"/>
      <c r="D1213" s="90"/>
      <c r="E1213" s="90"/>
      <c r="F1213" s="90"/>
      <c r="G1213" s="90"/>
      <c r="H1213" s="90"/>
      <c r="I1213" s="90"/>
      <c r="J1213" s="90"/>
      <c r="K1213" s="90"/>
      <c r="L1213" s="90"/>
      <c r="M1213" s="90"/>
      <c r="N1213" s="90"/>
      <c r="O1213" s="90"/>
      <c r="P1213" s="90"/>
    </row>
    <row r="1214" spans="1:16" ht="13.2">
      <c r="A1214" s="90"/>
      <c r="B1214" s="92"/>
      <c r="C1214" s="90"/>
      <c r="D1214" s="90"/>
      <c r="E1214" s="90"/>
      <c r="F1214" s="90"/>
      <c r="G1214" s="90"/>
      <c r="H1214" s="90"/>
      <c r="I1214" s="90"/>
      <c r="J1214" s="90"/>
      <c r="K1214" s="90"/>
      <c r="L1214" s="90"/>
      <c r="M1214" s="90"/>
      <c r="N1214" s="90"/>
      <c r="O1214" s="90"/>
      <c r="P1214" s="90"/>
    </row>
    <row r="1215" spans="1:16" ht="13.2">
      <c r="A1215" s="90"/>
      <c r="B1215" s="92"/>
      <c r="C1215" s="90"/>
      <c r="D1215" s="90"/>
      <c r="E1215" s="90"/>
      <c r="F1215" s="90"/>
      <c r="G1215" s="90"/>
      <c r="H1215" s="90"/>
      <c r="I1215" s="90"/>
      <c r="J1215" s="90"/>
      <c r="K1215" s="90"/>
      <c r="L1215" s="90"/>
      <c r="M1215" s="90"/>
      <c r="N1215" s="90"/>
      <c r="O1215" s="90"/>
      <c r="P1215" s="90"/>
    </row>
    <row r="1216" spans="1:16" ht="13.2">
      <c r="A1216" s="90"/>
      <c r="B1216" s="92"/>
      <c r="C1216" s="90"/>
      <c r="D1216" s="90"/>
      <c r="E1216" s="90"/>
      <c r="F1216" s="90"/>
      <c r="G1216" s="90"/>
      <c r="H1216" s="90"/>
      <c r="I1216" s="90"/>
      <c r="J1216" s="90"/>
      <c r="K1216" s="90"/>
      <c r="L1216" s="90"/>
      <c r="M1216" s="90"/>
      <c r="N1216" s="90"/>
      <c r="O1216" s="90"/>
      <c r="P1216" s="90"/>
    </row>
    <row r="1217" spans="1:16" ht="13.2">
      <c r="A1217" s="90"/>
      <c r="B1217" s="92"/>
      <c r="C1217" s="90"/>
      <c r="D1217" s="90"/>
      <c r="E1217" s="90"/>
      <c r="F1217" s="90"/>
      <c r="G1217" s="90"/>
      <c r="H1217" s="90"/>
      <c r="I1217" s="90"/>
      <c r="J1217" s="90"/>
      <c r="K1217" s="90"/>
      <c r="L1217" s="90"/>
      <c r="M1217" s="90"/>
      <c r="N1217" s="90"/>
      <c r="O1217" s="90"/>
      <c r="P1217" s="90"/>
    </row>
    <row r="1218" spans="1:16" ht="13.2">
      <c r="A1218" s="90"/>
      <c r="B1218" s="92"/>
      <c r="C1218" s="90"/>
      <c r="D1218" s="90"/>
      <c r="E1218" s="90"/>
      <c r="F1218" s="90"/>
      <c r="G1218" s="90"/>
      <c r="H1218" s="90"/>
      <c r="I1218" s="90"/>
      <c r="J1218" s="90"/>
      <c r="K1218" s="90"/>
      <c r="L1218" s="90"/>
      <c r="M1218" s="90"/>
      <c r="N1218" s="90"/>
      <c r="O1218" s="90"/>
      <c r="P1218" s="90"/>
    </row>
    <row r="1219" spans="1:16" ht="13.2">
      <c r="A1219" s="90"/>
      <c r="B1219" s="92"/>
      <c r="C1219" s="90"/>
      <c r="D1219" s="90"/>
      <c r="E1219" s="90"/>
      <c r="F1219" s="90"/>
      <c r="G1219" s="90"/>
      <c r="H1219" s="90"/>
      <c r="I1219" s="90"/>
      <c r="J1219" s="90"/>
      <c r="K1219" s="90"/>
      <c r="L1219" s="90"/>
      <c r="M1219" s="90"/>
      <c r="N1219" s="90"/>
      <c r="O1219" s="90"/>
      <c r="P1219" s="90"/>
    </row>
    <row r="1220" spans="1:16" ht="13.2">
      <c r="A1220" s="90"/>
      <c r="B1220" s="92"/>
      <c r="C1220" s="90"/>
      <c r="D1220" s="90"/>
      <c r="E1220" s="90"/>
      <c r="F1220" s="90"/>
      <c r="G1220" s="90"/>
      <c r="H1220" s="90"/>
      <c r="I1220" s="90"/>
      <c r="J1220" s="90"/>
      <c r="K1220" s="90"/>
      <c r="L1220" s="90"/>
      <c r="M1220" s="90"/>
      <c r="N1220" s="90"/>
      <c r="O1220" s="90"/>
      <c r="P1220" s="90"/>
    </row>
    <row r="1221" spans="1:16" ht="13.2">
      <c r="A1221" s="90"/>
      <c r="B1221" s="92"/>
      <c r="C1221" s="90"/>
      <c r="D1221" s="90"/>
      <c r="E1221" s="90"/>
      <c r="F1221" s="90"/>
      <c r="G1221" s="90"/>
      <c r="H1221" s="90"/>
      <c r="I1221" s="90"/>
      <c r="J1221" s="90"/>
      <c r="K1221" s="90"/>
      <c r="L1221" s="90"/>
      <c r="M1221" s="90"/>
      <c r="N1221" s="90"/>
      <c r="O1221" s="90"/>
      <c r="P1221" s="90"/>
    </row>
    <row r="1222" spans="1:16" ht="13.2">
      <c r="A1222" s="90"/>
      <c r="B1222" s="92"/>
      <c r="C1222" s="90"/>
      <c r="D1222" s="90"/>
      <c r="E1222" s="90"/>
      <c r="F1222" s="90"/>
      <c r="G1222" s="90"/>
      <c r="H1222" s="90"/>
      <c r="I1222" s="90"/>
      <c r="J1222" s="90"/>
      <c r="K1222" s="90"/>
      <c r="L1222" s="90"/>
      <c r="M1222" s="90"/>
      <c r="N1222" s="90"/>
      <c r="O1222" s="90"/>
      <c r="P1222" s="90"/>
    </row>
    <row r="1223" spans="1:16" ht="13.2">
      <c r="A1223" s="90"/>
      <c r="B1223" s="92"/>
      <c r="C1223" s="90"/>
      <c r="D1223" s="90"/>
      <c r="E1223" s="90"/>
      <c r="F1223" s="90"/>
      <c r="G1223" s="90"/>
      <c r="H1223" s="90"/>
      <c r="I1223" s="90"/>
      <c r="J1223" s="90"/>
      <c r="K1223" s="90"/>
      <c r="L1223" s="90"/>
      <c r="M1223" s="90"/>
      <c r="N1223" s="90"/>
      <c r="O1223" s="90"/>
      <c r="P1223" s="90"/>
    </row>
    <row r="1224" spans="1:16" ht="13.2">
      <c r="A1224" s="90"/>
      <c r="B1224" s="92"/>
      <c r="C1224" s="90"/>
      <c r="D1224" s="90"/>
      <c r="E1224" s="90"/>
      <c r="F1224" s="90"/>
      <c r="G1224" s="90"/>
      <c r="H1224" s="90"/>
      <c r="I1224" s="90"/>
      <c r="J1224" s="90"/>
      <c r="K1224" s="90"/>
      <c r="L1224" s="90"/>
      <c r="M1224" s="90"/>
      <c r="N1224" s="90"/>
      <c r="O1224" s="90"/>
      <c r="P1224" s="90"/>
    </row>
    <row r="1225" spans="1:16" ht="13.2">
      <c r="A1225" s="90"/>
      <c r="B1225" s="92"/>
      <c r="C1225" s="90"/>
      <c r="D1225" s="90"/>
      <c r="E1225" s="90"/>
      <c r="F1225" s="90"/>
      <c r="G1225" s="90"/>
      <c r="H1225" s="90"/>
      <c r="I1225" s="90"/>
      <c r="J1225" s="90"/>
      <c r="K1225" s="90"/>
      <c r="L1225" s="90"/>
      <c r="M1225" s="90"/>
      <c r="N1225" s="90"/>
      <c r="O1225" s="90"/>
      <c r="P1225" s="90"/>
    </row>
    <row r="1226" spans="1:16" ht="13.2">
      <c r="A1226" s="90"/>
      <c r="B1226" s="92"/>
      <c r="C1226" s="90"/>
      <c r="D1226" s="90"/>
      <c r="E1226" s="90"/>
      <c r="F1226" s="90"/>
      <c r="G1226" s="90"/>
      <c r="H1226" s="90"/>
      <c r="I1226" s="90"/>
      <c r="J1226" s="90"/>
      <c r="K1226" s="90"/>
      <c r="L1226" s="90"/>
      <c r="M1226" s="90"/>
      <c r="N1226" s="90"/>
      <c r="O1226" s="90"/>
      <c r="P1226" s="90"/>
    </row>
    <row r="1227" spans="1:16" ht="13.2">
      <c r="A1227" s="90"/>
      <c r="B1227" s="92"/>
      <c r="C1227" s="90"/>
      <c r="D1227" s="90"/>
      <c r="E1227" s="90"/>
      <c r="F1227" s="90"/>
      <c r="G1227" s="90"/>
      <c r="H1227" s="90"/>
      <c r="I1227" s="90"/>
      <c r="J1227" s="90"/>
      <c r="K1227" s="90"/>
      <c r="L1227" s="90"/>
      <c r="M1227" s="90"/>
      <c r="N1227" s="90"/>
      <c r="O1227" s="90"/>
      <c r="P1227" s="90"/>
    </row>
    <row r="1228" spans="1:16" ht="13.2">
      <c r="A1228" s="90"/>
      <c r="B1228" s="92"/>
      <c r="C1228" s="90"/>
      <c r="D1228" s="90"/>
      <c r="E1228" s="90"/>
      <c r="F1228" s="90"/>
      <c r="G1228" s="90"/>
      <c r="H1228" s="90"/>
      <c r="I1228" s="90"/>
      <c r="J1228" s="90"/>
      <c r="K1228" s="90"/>
      <c r="L1228" s="90"/>
      <c r="M1228" s="90"/>
      <c r="N1228" s="90"/>
      <c r="O1228" s="90"/>
      <c r="P1228" s="90"/>
    </row>
    <row r="1229" spans="1:16" ht="13.2">
      <c r="A1229" s="90"/>
      <c r="B1229" s="92"/>
      <c r="C1229" s="90"/>
      <c r="D1229" s="90"/>
      <c r="E1229" s="90"/>
      <c r="F1229" s="90"/>
      <c r="G1229" s="90"/>
      <c r="H1229" s="90"/>
      <c r="I1229" s="90"/>
      <c r="J1229" s="90"/>
      <c r="K1229" s="90"/>
      <c r="L1229" s="90"/>
      <c r="M1229" s="90"/>
      <c r="N1229" s="90"/>
      <c r="O1229" s="90"/>
      <c r="P1229" s="90"/>
    </row>
    <row r="1230" spans="1:16" ht="13.2">
      <c r="A1230" s="90"/>
      <c r="B1230" s="92"/>
      <c r="C1230" s="90"/>
      <c r="D1230" s="90"/>
      <c r="E1230" s="90"/>
      <c r="F1230" s="90"/>
      <c r="G1230" s="90"/>
      <c r="H1230" s="90"/>
      <c r="I1230" s="90"/>
      <c r="J1230" s="90"/>
      <c r="K1230" s="90"/>
      <c r="L1230" s="90"/>
      <c r="M1230" s="90"/>
      <c r="N1230" s="90"/>
      <c r="O1230" s="90"/>
      <c r="P1230" s="90"/>
    </row>
    <row r="1231" spans="1:16" ht="13.2">
      <c r="A1231" s="90"/>
      <c r="B1231" s="92"/>
      <c r="C1231" s="90"/>
      <c r="D1231" s="90"/>
      <c r="E1231" s="90"/>
      <c r="F1231" s="90"/>
      <c r="G1231" s="90"/>
      <c r="H1231" s="90"/>
      <c r="I1231" s="90"/>
      <c r="J1231" s="90"/>
      <c r="K1231" s="90"/>
      <c r="L1231" s="90"/>
      <c r="M1231" s="90"/>
      <c r="N1231" s="90"/>
      <c r="O1231" s="90"/>
      <c r="P1231" s="90"/>
    </row>
    <row r="1232" spans="1:16" ht="13.2">
      <c r="A1232" s="90"/>
      <c r="B1232" s="92"/>
      <c r="C1232" s="90"/>
      <c r="D1232" s="90"/>
      <c r="E1232" s="90"/>
      <c r="F1232" s="90"/>
      <c r="G1232" s="90"/>
      <c r="H1232" s="90"/>
      <c r="I1232" s="90"/>
      <c r="J1232" s="90"/>
      <c r="K1232" s="90"/>
      <c r="L1232" s="90"/>
      <c r="M1232" s="90"/>
      <c r="N1232" s="90"/>
      <c r="O1232" s="90"/>
      <c r="P1232" s="90"/>
    </row>
    <row r="1233" spans="1:16" ht="13.2">
      <c r="A1233" s="90"/>
      <c r="B1233" s="92"/>
      <c r="C1233" s="90"/>
      <c r="D1233" s="90"/>
      <c r="E1233" s="90"/>
      <c r="F1233" s="90"/>
      <c r="G1233" s="90"/>
      <c r="H1233" s="90"/>
      <c r="I1233" s="90"/>
      <c r="J1233" s="90"/>
      <c r="K1233" s="90"/>
      <c r="L1233" s="90"/>
      <c r="M1233" s="90"/>
      <c r="N1233" s="90"/>
      <c r="O1233" s="90"/>
      <c r="P1233" s="90"/>
    </row>
    <row r="1234" spans="1:16" ht="13.2">
      <c r="A1234" s="90"/>
      <c r="B1234" s="92"/>
      <c r="C1234" s="90"/>
      <c r="D1234" s="90"/>
      <c r="E1234" s="90"/>
      <c r="F1234" s="90"/>
      <c r="G1234" s="90"/>
      <c r="H1234" s="90"/>
      <c r="I1234" s="90"/>
      <c r="J1234" s="90"/>
      <c r="K1234" s="90"/>
      <c r="L1234" s="90"/>
      <c r="M1234" s="90"/>
      <c r="N1234" s="90"/>
      <c r="O1234" s="90"/>
      <c r="P1234" s="90"/>
    </row>
    <row r="1235" spans="1:16" ht="13.2">
      <c r="A1235" s="90"/>
      <c r="B1235" s="92"/>
      <c r="C1235" s="90"/>
      <c r="D1235" s="90"/>
      <c r="E1235" s="90"/>
      <c r="F1235" s="90"/>
      <c r="G1235" s="90"/>
      <c r="H1235" s="90"/>
      <c r="I1235" s="90"/>
      <c r="J1235" s="90"/>
      <c r="K1235" s="90"/>
      <c r="L1235" s="90"/>
      <c r="M1235" s="90"/>
      <c r="N1235" s="90"/>
      <c r="O1235" s="90"/>
      <c r="P1235" s="90"/>
    </row>
    <row r="1236" spans="1:16" ht="13.2">
      <c r="A1236" s="90"/>
      <c r="B1236" s="92"/>
      <c r="C1236" s="90"/>
      <c r="D1236" s="90"/>
      <c r="E1236" s="90"/>
      <c r="F1236" s="90"/>
      <c r="G1236" s="90"/>
      <c r="H1236" s="90"/>
      <c r="I1236" s="90"/>
      <c r="J1236" s="90"/>
      <c r="K1236" s="90"/>
      <c r="L1236" s="90"/>
      <c r="M1236" s="90"/>
      <c r="N1236" s="90"/>
      <c r="O1236" s="90"/>
      <c r="P1236" s="90"/>
    </row>
    <row r="1237" spans="1:16" ht="13.2">
      <c r="A1237" s="90"/>
      <c r="B1237" s="92"/>
      <c r="C1237" s="90"/>
      <c r="D1237" s="90"/>
      <c r="E1237" s="90"/>
      <c r="F1237" s="90"/>
      <c r="G1237" s="90"/>
      <c r="H1237" s="90"/>
      <c r="I1237" s="90"/>
      <c r="J1237" s="90"/>
      <c r="K1237" s="90"/>
      <c r="L1237" s="90"/>
      <c r="M1237" s="90"/>
      <c r="N1237" s="90"/>
      <c r="O1237" s="90"/>
      <c r="P1237" s="90"/>
    </row>
    <row r="1238" spans="1:16" ht="13.2">
      <c r="A1238" s="90"/>
      <c r="B1238" s="92"/>
      <c r="C1238" s="90"/>
      <c r="D1238" s="90"/>
      <c r="E1238" s="90"/>
      <c r="F1238" s="90"/>
      <c r="G1238" s="90"/>
      <c r="H1238" s="90"/>
      <c r="I1238" s="90"/>
      <c r="J1238" s="90"/>
      <c r="K1238" s="90"/>
      <c r="L1238" s="90"/>
      <c r="M1238" s="90"/>
      <c r="N1238" s="90"/>
      <c r="O1238" s="90"/>
      <c r="P1238" s="90"/>
    </row>
    <row r="1239" spans="1:16" ht="13.2">
      <c r="A1239" s="90"/>
      <c r="B1239" s="92"/>
      <c r="C1239" s="90"/>
      <c r="D1239" s="90"/>
      <c r="E1239" s="90"/>
      <c r="F1239" s="90"/>
      <c r="G1239" s="90"/>
      <c r="H1239" s="90"/>
      <c r="I1239" s="90"/>
      <c r="J1239" s="90"/>
      <c r="K1239" s="90"/>
      <c r="L1239" s="90"/>
      <c r="M1239" s="90"/>
      <c r="N1239" s="90"/>
      <c r="O1239" s="90"/>
      <c r="P1239" s="90"/>
    </row>
    <row r="1240" spans="1:16" ht="13.2">
      <c r="A1240" s="90"/>
      <c r="B1240" s="92"/>
      <c r="C1240" s="90"/>
      <c r="D1240" s="90"/>
      <c r="E1240" s="90"/>
      <c r="F1240" s="90"/>
      <c r="G1240" s="90"/>
      <c r="H1240" s="90"/>
      <c r="I1240" s="90"/>
      <c r="J1240" s="90"/>
      <c r="K1240" s="90"/>
      <c r="L1240" s="90"/>
      <c r="M1240" s="90"/>
      <c r="N1240" s="90"/>
      <c r="O1240" s="90"/>
      <c r="P1240" s="90"/>
    </row>
    <row r="1241" spans="1:16" ht="13.2">
      <c r="A1241" s="90"/>
      <c r="B1241" s="92"/>
      <c r="C1241" s="90"/>
      <c r="D1241" s="90"/>
      <c r="E1241" s="90"/>
      <c r="F1241" s="90"/>
      <c r="G1241" s="90"/>
      <c r="H1241" s="90"/>
      <c r="I1241" s="90"/>
      <c r="J1241" s="90"/>
      <c r="K1241" s="90"/>
      <c r="L1241" s="90"/>
      <c r="M1241" s="90"/>
      <c r="N1241" s="90"/>
      <c r="O1241" s="90"/>
      <c r="P1241" s="90"/>
    </row>
    <row r="1242" spans="1:16" ht="13.2">
      <c r="A1242" s="90"/>
      <c r="B1242" s="92"/>
      <c r="C1242" s="90"/>
      <c r="D1242" s="90"/>
      <c r="E1242" s="90"/>
      <c r="F1242" s="90"/>
      <c r="G1242" s="90"/>
      <c r="H1242" s="90"/>
      <c r="I1242" s="90"/>
      <c r="J1242" s="90"/>
      <c r="K1242" s="90"/>
      <c r="L1242" s="90"/>
      <c r="M1242" s="90"/>
      <c r="N1242" s="90"/>
      <c r="O1242" s="90"/>
      <c r="P1242" s="90"/>
    </row>
    <row r="1243" spans="1:16" ht="13.2">
      <c r="A1243" s="90"/>
      <c r="B1243" s="92"/>
      <c r="C1243" s="90"/>
      <c r="D1243" s="90"/>
      <c r="E1243" s="90"/>
      <c r="F1243" s="90"/>
      <c r="G1243" s="90"/>
      <c r="H1243" s="90"/>
      <c r="I1243" s="90"/>
      <c r="J1243" s="90"/>
      <c r="K1243" s="90"/>
      <c r="L1243" s="90"/>
      <c r="M1243" s="90"/>
      <c r="N1243" s="90"/>
      <c r="O1243" s="90"/>
      <c r="P1243" s="90"/>
    </row>
    <row r="1244" spans="1:16" ht="13.2">
      <c r="A1244" s="90"/>
      <c r="B1244" s="92"/>
      <c r="C1244" s="90"/>
      <c r="D1244" s="90"/>
      <c r="E1244" s="90"/>
      <c r="F1244" s="90"/>
      <c r="G1244" s="90"/>
      <c r="H1244" s="90"/>
      <c r="I1244" s="90"/>
      <c r="J1244" s="90"/>
      <c r="K1244" s="90"/>
      <c r="L1244" s="90"/>
      <c r="M1244" s="90"/>
      <c r="N1244" s="90"/>
      <c r="O1244" s="90"/>
      <c r="P1244" s="90"/>
    </row>
    <row r="1245" spans="1:16" ht="13.2">
      <c r="A1245" s="90"/>
      <c r="B1245" s="92"/>
      <c r="C1245" s="90"/>
      <c r="D1245" s="90"/>
      <c r="E1245" s="90"/>
      <c r="F1245" s="90"/>
      <c r="G1245" s="90"/>
      <c r="H1245" s="90"/>
      <c r="I1245" s="90"/>
      <c r="J1245" s="90"/>
      <c r="K1245" s="90"/>
      <c r="L1245" s="90"/>
      <c r="M1245" s="90"/>
      <c r="N1245" s="90"/>
      <c r="O1245" s="90"/>
      <c r="P1245" s="90"/>
    </row>
    <row r="1246" spans="1:16" ht="13.2">
      <c r="A1246" s="90"/>
      <c r="B1246" s="92"/>
      <c r="C1246" s="90"/>
      <c r="D1246" s="90"/>
      <c r="E1246" s="90"/>
      <c r="F1246" s="90"/>
      <c r="G1246" s="90"/>
      <c r="H1246" s="90"/>
      <c r="I1246" s="90"/>
      <c r="J1246" s="90"/>
      <c r="K1246" s="90"/>
      <c r="L1246" s="90"/>
      <c r="M1246" s="90"/>
      <c r="N1246" s="90"/>
      <c r="O1246" s="90"/>
      <c r="P1246" s="90"/>
    </row>
    <row r="1247" spans="1:16" ht="13.2">
      <c r="A1247" s="90"/>
      <c r="B1247" s="92"/>
      <c r="C1247" s="90"/>
      <c r="D1247" s="90"/>
      <c r="E1247" s="90"/>
      <c r="F1247" s="90"/>
      <c r="G1247" s="90"/>
      <c r="H1247" s="90"/>
      <c r="I1247" s="90"/>
      <c r="J1247" s="90"/>
      <c r="K1247" s="90"/>
      <c r="L1247" s="90"/>
      <c r="M1247" s="90"/>
      <c r="N1247" s="90"/>
      <c r="O1247" s="90"/>
      <c r="P1247" s="90"/>
    </row>
    <row r="1248" spans="1:16" ht="13.2">
      <c r="A1248" s="90"/>
      <c r="B1248" s="92"/>
      <c r="C1248" s="90"/>
      <c r="D1248" s="90"/>
      <c r="E1248" s="90"/>
      <c r="F1248" s="90"/>
      <c r="G1248" s="90"/>
      <c r="H1248" s="90"/>
      <c r="I1248" s="90"/>
      <c r="J1248" s="90"/>
      <c r="K1248" s="90"/>
      <c r="L1248" s="90"/>
      <c r="M1248" s="90"/>
      <c r="N1248" s="90"/>
      <c r="O1248" s="90"/>
      <c r="P1248" s="90"/>
    </row>
    <row r="1249" spans="1:16" ht="13.2">
      <c r="A1249" s="90"/>
      <c r="B1249" s="92"/>
      <c r="C1249" s="90"/>
      <c r="D1249" s="90"/>
      <c r="E1249" s="90"/>
      <c r="F1249" s="90"/>
      <c r="G1249" s="90"/>
      <c r="H1249" s="90"/>
      <c r="I1249" s="90"/>
      <c r="J1249" s="90"/>
      <c r="K1249" s="90"/>
      <c r="L1249" s="90"/>
      <c r="M1249" s="90"/>
      <c r="N1249" s="90"/>
      <c r="O1249" s="90"/>
      <c r="P1249" s="90"/>
    </row>
    <row r="1250" spans="1:16" ht="13.2">
      <c r="A1250" s="90"/>
      <c r="B1250" s="92"/>
      <c r="C1250" s="90"/>
      <c r="D1250" s="90"/>
      <c r="E1250" s="90"/>
      <c r="F1250" s="90"/>
      <c r="G1250" s="90"/>
      <c r="H1250" s="90"/>
      <c r="I1250" s="90"/>
      <c r="J1250" s="90"/>
      <c r="K1250" s="90"/>
      <c r="L1250" s="90"/>
      <c r="M1250" s="90"/>
      <c r="N1250" s="90"/>
      <c r="O1250" s="90"/>
      <c r="P1250" s="90"/>
    </row>
    <row r="1251" spans="1:16" ht="13.2">
      <c r="A1251" s="90"/>
      <c r="B1251" s="92"/>
      <c r="C1251" s="90"/>
      <c r="D1251" s="90"/>
      <c r="E1251" s="90"/>
      <c r="F1251" s="90"/>
      <c r="G1251" s="90"/>
      <c r="H1251" s="90"/>
      <c r="I1251" s="90"/>
      <c r="J1251" s="90"/>
      <c r="K1251" s="90"/>
      <c r="L1251" s="90"/>
      <c r="M1251" s="90"/>
      <c r="N1251" s="90"/>
      <c r="O1251" s="90"/>
      <c r="P1251" s="90"/>
    </row>
    <row r="1252" spans="1:16" ht="13.2">
      <c r="A1252" s="90"/>
      <c r="B1252" s="92"/>
      <c r="C1252" s="90"/>
      <c r="D1252" s="90"/>
      <c r="E1252" s="90"/>
      <c r="F1252" s="90"/>
      <c r="G1252" s="90"/>
      <c r="H1252" s="90"/>
      <c r="I1252" s="90"/>
      <c r="J1252" s="90"/>
      <c r="K1252" s="90"/>
      <c r="L1252" s="90"/>
      <c r="M1252" s="90"/>
      <c r="N1252" s="90"/>
      <c r="O1252" s="90"/>
      <c r="P1252" s="90"/>
    </row>
    <row r="1253" spans="1:16" ht="13.2">
      <c r="A1253" s="90"/>
      <c r="B1253" s="92"/>
      <c r="C1253" s="90"/>
      <c r="D1253" s="90"/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</row>
    <row r="1254" spans="1:16" ht="13.2">
      <c r="A1254" s="90"/>
      <c r="B1254" s="92"/>
      <c r="C1254" s="90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</row>
    <row r="1255" spans="1:16" ht="13.2">
      <c r="A1255" s="90"/>
      <c r="B1255" s="92"/>
      <c r="C1255" s="90"/>
      <c r="D1255" s="90"/>
      <c r="E1255" s="90"/>
      <c r="F1255" s="90"/>
      <c r="G1255" s="90"/>
      <c r="H1255" s="90"/>
      <c r="I1255" s="90"/>
      <c r="J1255" s="90"/>
      <c r="K1255" s="90"/>
      <c r="L1255" s="90"/>
      <c r="M1255" s="90"/>
      <c r="N1255" s="90"/>
      <c r="O1255" s="90"/>
      <c r="P1255" s="90"/>
    </row>
    <row r="1256" spans="1:16" ht="13.2">
      <c r="A1256" s="90"/>
      <c r="B1256" s="92"/>
      <c r="C1256" s="90"/>
      <c r="D1256" s="90"/>
      <c r="E1256" s="90"/>
      <c r="F1256" s="90"/>
      <c r="G1256" s="90"/>
      <c r="H1256" s="90"/>
      <c r="I1256" s="90"/>
      <c r="J1256" s="90"/>
      <c r="K1256" s="90"/>
      <c r="L1256" s="90"/>
      <c r="M1256" s="90"/>
      <c r="N1256" s="90"/>
      <c r="O1256" s="90"/>
      <c r="P1256" s="90"/>
    </row>
    <row r="1257" spans="1:16" ht="13.2">
      <c r="A1257" s="90"/>
      <c r="B1257" s="92"/>
      <c r="C1257" s="90"/>
      <c r="D1257" s="90"/>
      <c r="E1257" s="90"/>
      <c r="F1257" s="90"/>
      <c r="G1257" s="90"/>
      <c r="H1257" s="90"/>
      <c r="I1257" s="90"/>
      <c r="J1257" s="90"/>
      <c r="K1257" s="90"/>
      <c r="L1257" s="90"/>
      <c r="M1257" s="90"/>
      <c r="N1257" s="90"/>
      <c r="O1257" s="90"/>
      <c r="P1257" s="90"/>
    </row>
    <row r="1258" spans="1:16" ht="13.2">
      <c r="A1258" s="90"/>
      <c r="B1258" s="92"/>
      <c r="C1258" s="90"/>
      <c r="D1258" s="90"/>
      <c r="E1258" s="90"/>
      <c r="F1258" s="90"/>
      <c r="G1258" s="90"/>
      <c r="H1258" s="90"/>
      <c r="I1258" s="90"/>
      <c r="J1258" s="90"/>
      <c r="K1258" s="90"/>
      <c r="L1258" s="90"/>
      <c r="M1258" s="90"/>
      <c r="N1258" s="90"/>
      <c r="O1258" s="90"/>
      <c r="P1258" s="90"/>
    </row>
    <row r="1259" spans="1:16" ht="13.2">
      <c r="A1259" s="90"/>
      <c r="B1259" s="92"/>
      <c r="C1259" s="90"/>
      <c r="D1259" s="90"/>
      <c r="E1259" s="90"/>
      <c r="F1259" s="90"/>
      <c r="G1259" s="90"/>
      <c r="H1259" s="90"/>
      <c r="I1259" s="90"/>
      <c r="J1259" s="90"/>
      <c r="K1259" s="90"/>
      <c r="L1259" s="90"/>
      <c r="M1259" s="90"/>
      <c r="N1259" s="90"/>
      <c r="O1259" s="90"/>
      <c r="P1259" s="90"/>
    </row>
    <row r="1260" spans="1:16" ht="13.2">
      <c r="A1260" s="90"/>
      <c r="B1260" s="92"/>
      <c r="C1260" s="90"/>
      <c r="D1260" s="90"/>
      <c r="E1260" s="90"/>
      <c r="F1260" s="90"/>
      <c r="G1260" s="90"/>
      <c r="H1260" s="90"/>
      <c r="I1260" s="90"/>
      <c r="J1260" s="90"/>
      <c r="K1260" s="90"/>
      <c r="L1260" s="90"/>
      <c r="M1260" s="90"/>
      <c r="N1260" s="90"/>
      <c r="O1260" s="90"/>
      <c r="P1260" s="90"/>
    </row>
    <row r="1261" spans="1:16" ht="13.2">
      <c r="A1261" s="90"/>
      <c r="B1261" s="92"/>
      <c r="C1261" s="90"/>
      <c r="D1261" s="90"/>
      <c r="E1261" s="90"/>
      <c r="F1261" s="90"/>
      <c r="G1261" s="90"/>
      <c r="H1261" s="90"/>
      <c r="I1261" s="90"/>
      <c r="J1261" s="90"/>
      <c r="K1261" s="90"/>
      <c r="L1261" s="90"/>
      <c r="M1261" s="90"/>
      <c r="N1261" s="90"/>
      <c r="O1261" s="90"/>
      <c r="P1261" s="90"/>
    </row>
    <row r="1262" spans="1:16" ht="13.2">
      <c r="A1262" s="90"/>
      <c r="B1262" s="92"/>
      <c r="C1262" s="90"/>
      <c r="D1262" s="90"/>
      <c r="E1262" s="90"/>
      <c r="F1262" s="90"/>
      <c r="G1262" s="90"/>
      <c r="H1262" s="90"/>
      <c r="I1262" s="90"/>
      <c r="J1262" s="90"/>
      <c r="K1262" s="90"/>
      <c r="L1262" s="90"/>
      <c r="M1262" s="90"/>
      <c r="N1262" s="90"/>
      <c r="O1262" s="90"/>
      <c r="P1262" s="90"/>
    </row>
    <row r="1263" spans="1:16" ht="13.2">
      <c r="A1263" s="90"/>
      <c r="B1263" s="92"/>
      <c r="C1263" s="90"/>
      <c r="D1263" s="90"/>
      <c r="E1263" s="90"/>
      <c r="F1263" s="90"/>
      <c r="G1263" s="90"/>
      <c r="H1263" s="90"/>
      <c r="I1263" s="90"/>
      <c r="J1263" s="90"/>
      <c r="K1263" s="90"/>
      <c r="L1263" s="90"/>
      <c r="M1263" s="90"/>
      <c r="N1263" s="90"/>
      <c r="O1263" s="90"/>
      <c r="P1263" s="90"/>
    </row>
    <row r="1264" spans="1:16" ht="13.2">
      <c r="A1264" s="90"/>
      <c r="B1264" s="92"/>
      <c r="C1264" s="90"/>
      <c r="D1264" s="90"/>
      <c r="E1264" s="90"/>
      <c r="F1264" s="90"/>
      <c r="G1264" s="90"/>
      <c r="H1264" s="90"/>
      <c r="I1264" s="90"/>
      <c r="J1264" s="90"/>
      <c r="K1264" s="90"/>
      <c r="L1264" s="90"/>
      <c r="M1264" s="90"/>
      <c r="N1264" s="90"/>
      <c r="O1264" s="90"/>
      <c r="P1264" s="90"/>
    </row>
    <row r="1265" spans="1:16" ht="13.2">
      <c r="A1265" s="90"/>
      <c r="B1265" s="92"/>
      <c r="C1265" s="90"/>
      <c r="D1265" s="90"/>
      <c r="E1265" s="90"/>
      <c r="F1265" s="90"/>
      <c r="G1265" s="90"/>
      <c r="H1265" s="90"/>
      <c r="I1265" s="90"/>
      <c r="J1265" s="90"/>
      <c r="K1265" s="90"/>
      <c r="L1265" s="90"/>
      <c r="M1265" s="90"/>
      <c r="N1265" s="90"/>
      <c r="O1265" s="90"/>
      <c r="P1265" s="90"/>
    </row>
    <row r="1266" spans="1:16" ht="13.2">
      <c r="A1266" s="90"/>
      <c r="B1266" s="92"/>
      <c r="C1266" s="90"/>
      <c r="D1266" s="90"/>
      <c r="E1266" s="90"/>
      <c r="F1266" s="90"/>
      <c r="G1266" s="90"/>
      <c r="H1266" s="90"/>
      <c r="I1266" s="90"/>
      <c r="J1266" s="90"/>
      <c r="K1266" s="90"/>
      <c r="L1266" s="90"/>
      <c r="M1266" s="90"/>
      <c r="N1266" s="90"/>
      <c r="O1266" s="90"/>
      <c r="P1266" s="90"/>
    </row>
    <row r="1267" spans="1:16" ht="13.2">
      <c r="A1267" s="90"/>
      <c r="B1267" s="92"/>
      <c r="C1267" s="90"/>
      <c r="D1267" s="90"/>
      <c r="E1267" s="90"/>
      <c r="F1267" s="90"/>
      <c r="G1267" s="90"/>
      <c r="H1267" s="90"/>
      <c r="I1267" s="90"/>
      <c r="J1267" s="90"/>
      <c r="K1267" s="90"/>
      <c r="L1267" s="90"/>
      <c r="M1267" s="90"/>
      <c r="N1267" s="90"/>
      <c r="O1267" s="90"/>
      <c r="P1267" s="90"/>
    </row>
    <row r="1268" spans="1:16" ht="13.2">
      <c r="A1268" s="90"/>
      <c r="B1268" s="92"/>
      <c r="C1268" s="90"/>
      <c r="D1268" s="90"/>
      <c r="E1268" s="90"/>
      <c r="F1268" s="90"/>
      <c r="G1268" s="90"/>
      <c r="H1268" s="90"/>
      <c r="I1268" s="90"/>
      <c r="J1268" s="90"/>
      <c r="K1268" s="90"/>
      <c r="L1268" s="90"/>
      <c r="M1268" s="90"/>
      <c r="N1268" s="90"/>
      <c r="O1268" s="90"/>
      <c r="P1268" s="90"/>
    </row>
    <row r="1269" spans="1:16" ht="13.2">
      <c r="A1269" s="90"/>
      <c r="B1269" s="92"/>
      <c r="C1269" s="90"/>
      <c r="D1269" s="90"/>
      <c r="E1269" s="90"/>
      <c r="F1269" s="90"/>
      <c r="G1269" s="90"/>
      <c r="H1269" s="90"/>
      <c r="I1269" s="90"/>
      <c r="J1269" s="90"/>
      <c r="K1269" s="90"/>
      <c r="L1269" s="90"/>
      <c r="M1269" s="90"/>
      <c r="N1269" s="90"/>
      <c r="O1269" s="90"/>
      <c r="P1269" s="90"/>
    </row>
    <row r="1270" spans="1:16" ht="13.2">
      <c r="A1270" s="90"/>
      <c r="B1270" s="92"/>
      <c r="C1270" s="90"/>
      <c r="D1270" s="90"/>
      <c r="E1270" s="90"/>
      <c r="F1270" s="90"/>
      <c r="G1270" s="90"/>
      <c r="H1270" s="90"/>
      <c r="I1270" s="90"/>
      <c r="J1270" s="90"/>
      <c r="K1270" s="90"/>
      <c r="L1270" s="90"/>
      <c r="M1270" s="90"/>
      <c r="N1270" s="90"/>
      <c r="O1270" s="90"/>
      <c r="P1270" s="90"/>
    </row>
    <row r="1271" spans="1:16" ht="13.2">
      <c r="A1271" s="90"/>
      <c r="B1271" s="92"/>
      <c r="C1271" s="90"/>
      <c r="D1271" s="90"/>
      <c r="E1271" s="90"/>
      <c r="F1271" s="90"/>
      <c r="G1271" s="90"/>
      <c r="H1271" s="90"/>
      <c r="I1271" s="90"/>
      <c r="J1271" s="90"/>
      <c r="K1271" s="90"/>
      <c r="L1271" s="90"/>
      <c r="M1271" s="90"/>
      <c r="N1271" s="90"/>
      <c r="O1271" s="90"/>
      <c r="P1271" s="90"/>
    </row>
    <row r="1272" spans="1:16" ht="13.2">
      <c r="A1272" s="90"/>
      <c r="B1272" s="92"/>
      <c r="C1272" s="90"/>
      <c r="D1272" s="90"/>
      <c r="E1272" s="90"/>
      <c r="F1272" s="90"/>
      <c r="G1272" s="90"/>
      <c r="H1272" s="90"/>
      <c r="I1272" s="90"/>
      <c r="J1272" s="90"/>
      <c r="K1272" s="90"/>
      <c r="L1272" s="90"/>
      <c r="M1272" s="90"/>
      <c r="N1272" s="90"/>
      <c r="O1272" s="90"/>
      <c r="P1272" s="90"/>
    </row>
    <row r="1273" spans="1:16" ht="13.2">
      <c r="A1273" s="90"/>
      <c r="B1273" s="92"/>
      <c r="C1273" s="90"/>
      <c r="D1273" s="90"/>
      <c r="E1273" s="90"/>
      <c r="F1273" s="90"/>
      <c r="G1273" s="90"/>
      <c r="H1273" s="90"/>
      <c r="I1273" s="90"/>
      <c r="J1273" s="90"/>
      <c r="K1273" s="90"/>
      <c r="L1273" s="90"/>
      <c r="M1273" s="90"/>
      <c r="N1273" s="90"/>
      <c r="O1273" s="90"/>
      <c r="P1273" s="90"/>
    </row>
    <row r="1274" spans="1:16" ht="13.2">
      <c r="A1274" s="90"/>
      <c r="B1274" s="92"/>
      <c r="C1274" s="90"/>
      <c r="D1274" s="90"/>
      <c r="E1274" s="90"/>
      <c r="F1274" s="90"/>
      <c r="G1274" s="90"/>
      <c r="H1274" s="90"/>
      <c r="I1274" s="90"/>
      <c r="J1274" s="90"/>
      <c r="K1274" s="90"/>
      <c r="L1274" s="90"/>
      <c r="M1274" s="90"/>
      <c r="N1274" s="90"/>
      <c r="O1274" s="90"/>
      <c r="P1274" s="90"/>
    </row>
    <row r="1275" spans="1:16" ht="13.2">
      <c r="A1275" s="90"/>
      <c r="B1275" s="92"/>
      <c r="C1275" s="90"/>
      <c r="D1275" s="90"/>
      <c r="E1275" s="90"/>
      <c r="F1275" s="90"/>
      <c r="G1275" s="90"/>
      <c r="H1275" s="90"/>
      <c r="I1275" s="90"/>
      <c r="J1275" s="90"/>
      <c r="K1275" s="90"/>
      <c r="L1275" s="90"/>
      <c r="M1275" s="90"/>
      <c r="N1275" s="90"/>
      <c r="O1275" s="90"/>
      <c r="P1275" s="90"/>
    </row>
    <row r="1276" spans="1:16" ht="13.2">
      <c r="A1276" s="90"/>
      <c r="B1276" s="92"/>
      <c r="C1276" s="90"/>
      <c r="D1276" s="90"/>
      <c r="E1276" s="90"/>
      <c r="F1276" s="90"/>
      <c r="G1276" s="90"/>
      <c r="H1276" s="90"/>
      <c r="I1276" s="90"/>
      <c r="J1276" s="90"/>
      <c r="K1276" s="90"/>
      <c r="L1276" s="90"/>
      <c r="M1276" s="90"/>
      <c r="N1276" s="90"/>
      <c r="O1276" s="90"/>
      <c r="P1276" s="90"/>
    </row>
    <row r="1277" spans="1:16" ht="13.2">
      <c r="A1277" s="90"/>
      <c r="B1277" s="92"/>
      <c r="C1277" s="90"/>
      <c r="D1277" s="90"/>
      <c r="E1277" s="90"/>
      <c r="F1277" s="90"/>
      <c r="G1277" s="90"/>
      <c r="H1277" s="90"/>
      <c r="I1277" s="90"/>
      <c r="J1277" s="90"/>
      <c r="K1277" s="90"/>
      <c r="L1277" s="90"/>
      <c r="M1277" s="90"/>
      <c r="N1277" s="90"/>
      <c r="O1277" s="90"/>
      <c r="P1277" s="90"/>
    </row>
    <row r="1278" spans="1:16" ht="13.2">
      <c r="A1278" s="90"/>
      <c r="B1278" s="92"/>
      <c r="C1278" s="90"/>
      <c r="D1278" s="90"/>
      <c r="E1278" s="90"/>
      <c r="F1278" s="90"/>
      <c r="G1278" s="90"/>
      <c r="H1278" s="90"/>
      <c r="I1278" s="90"/>
      <c r="J1278" s="90"/>
      <c r="K1278" s="90"/>
      <c r="L1278" s="90"/>
      <c r="M1278" s="90"/>
      <c r="N1278" s="90"/>
      <c r="O1278" s="90"/>
      <c r="P1278" s="90"/>
    </row>
    <row r="1279" spans="1:16" ht="13.2">
      <c r="A1279" s="90"/>
      <c r="B1279" s="92"/>
      <c r="C1279" s="90"/>
      <c r="D1279" s="90"/>
      <c r="E1279" s="90"/>
      <c r="F1279" s="90"/>
      <c r="G1279" s="90"/>
      <c r="H1279" s="90"/>
      <c r="I1279" s="90"/>
      <c r="J1279" s="90"/>
      <c r="K1279" s="90"/>
      <c r="L1279" s="90"/>
      <c r="M1279" s="90"/>
      <c r="N1279" s="90"/>
      <c r="O1279" s="90"/>
      <c r="P1279" s="90"/>
    </row>
    <row r="1280" spans="1:16" ht="13.2">
      <c r="A1280" s="90"/>
      <c r="B1280" s="92"/>
      <c r="C1280" s="90"/>
      <c r="D1280" s="90"/>
      <c r="E1280" s="90"/>
      <c r="F1280" s="90"/>
      <c r="G1280" s="90"/>
      <c r="H1280" s="90"/>
      <c r="I1280" s="90"/>
      <c r="J1280" s="90"/>
      <c r="K1280" s="90"/>
      <c r="L1280" s="90"/>
      <c r="M1280" s="90"/>
      <c r="N1280" s="90"/>
      <c r="O1280" s="90"/>
      <c r="P1280" s="90"/>
    </row>
    <row r="1281" spans="1:16" ht="13.2">
      <c r="A1281" s="90"/>
      <c r="B1281" s="92"/>
      <c r="C1281" s="90"/>
      <c r="D1281" s="90"/>
      <c r="E1281" s="90"/>
      <c r="F1281" s="90"/>
      <c r="G1281" s="90"/>
      <c r="H1281" s="90"/>
      <c r="I1281" s="90"/>
      <c r="J1281" s="90"/>
      <c r="K1281" s="90"/>
      <c r="L1281" s="90"/>
      <c r="M1281" s="90"/>
      <c r="N1281" s="90"/>
      <c r="O1281" s="90"/>
      <c r="P1281" s="90"/>
    </row>
    <row r="1282" spans="1:16" ht="13.2">
      <c r="A1282" s="90"/>
      <c r="B1282" s="92"/>
      <c r="C1282" s="90"/>
      <c r="D1282" s="90"/>
      <c r="E1282" s="90"/>
      <c r="F1282" s="90"/>
      <c r="G1282" s="90"/>
      <c r="H1282" s="90"/>
      <c r="I1282" s="90"/>
      <c r="J1282" s="90"/>
      <c r="K1282" s="90"/>
      <c r="L1282" s="90"/>
      <c r="M1282" s="90"/>
      <c r="N1282" s="90"/>
      <c r="O1282" s="90"/>
      <c r="P1282" s="90"/>
    </row>
    <row r="1283" spans="1:16" ht="13.2">
      <c r="A1283" s="90"/>
      <c r="B1283" s="92"/>
      <c r="C1283" s="90"/>
      <c r="D1283" s="90"/>
      <c r="E1283" s="90"/>
      <c r="F1283" s="90"/>
      <c r="G1283" s="90"/>
      <c r="H1283" s="90"/>
      <c r="I1283" s="90"/>
      <c r="J1283" s="90"/>
      <c r="K1283" s="90"/>
      <c r="L1283" s="90"/>
      <c r="M1283" s="90"/>
      <c r="N1283" s="90"/>
      <c r="O1283" s="90"/>
      <c r="P1283" s="90"/>
    </row>
    <row r="1284" spans="1:16" ht="13.2">
      <c r="A1284" s="90"/>
      <c r="B1284" s="92"/>
      <c r="C1284" s="90"/>
      <c r="D1284" s="90"/>
      <c r="E1284" s="90"/>
      <c r="F1284" s="90"/>
      <c r="G1284" s="90"/>
      <c r="H1284" s="90"/>
      <c r="I1284" s="90"/>
      <c r="J1284" s="90"/>
      <c r="K1284" s="90"/>
      <c r="L1284" s="90"/>
      <c r="M1284" s="90"/>
      <c r="N1284" s="90"/>
      <c r="O1284" s="90"/>
      <c r="P1284" s="90"/>
    </row>
    <row r="1285" spans="1:16" ht="13.2">
      <c r="A1285" s="90"/>
      <c r="B1285" s="92"/>
      <c r="C1285" s="90"/>
      <c r="D1285" s="90"/>
      <c r="E1285" s="90"/>
      <c r="F1285" s="90"/>
      <c r="G1285" s="90"/>
      <c r="H1285" s="90"/>
      <c r="I1285" s="90"/>
      <c r="J1285" s="90"/>
      <c r="K1285" s="90"/>
      <c r="L1285" s="90"/>
      <c r="M1285" s="90"/>
      <c r="N1285" s="90"/>
      <c r="O1285" s="90"/>
      <c r="P1285" s="90"/>
    </row>
    <row r="1286" spans="1:16" ht="13.2">
      <c r="A1286" s="90"/>
      <c r="B1286" s="92"/>
      <c r="C1286" s="90"/>
      <c r="D1286" s="90"/>
      <c r="E1286" s="90"/>
      <c r="F1286" s="90"/>
      <c r="G1286" s="90"/>
      <c r="H1286" s="90"/>
      <c r="I1286" s="90"/>
      <c r="J1286" s="90"/>
      <c r="K1286" s="90"/>
      <c r="L1286" s="90"/>
      <c r="M1286" s="90"/>
      <c r="N1286" s="90"/>
      <c r="O1286" s="90"/>
      <c r="P1286" s="90"/>
    </row>
    <row r="1287" spans="1:16" ht="13.2">
      <c r="A1287" s="90"/>
      <c r="B1287" s="92"/>
      <c r="C1287" s="90"/>
      <c r="D1287" s="90"/>
      <c r="E1287" s="90"/>
      <c r="F1287" s="90"/>
      <c r="G1287" s="90"/>
      <c r="H1287" s="90"/>
      <c r="I1287" s="90"/>
      <c r="J1287" s="90"/>
      <c r="K1287" s="90"/>
      <c r="L1287" s="90"/>
      <c r="M1287" s="90"/>
      <c r="N1287" s="90"/>
      <c r="O1287" s="90"/>
      <c r="P1287" s="90"/>
    </row>
    <row r="1288" spans="1:16" ht="13.2">
      <c r="A1288" s="90"/>
      <c r="B1288" s="92"/>
      <c r="C1288" s="90"/>
      <c r="D1288" s="90"/>
      <c r="E1288" s="90"/>
      <c r="F1288" s="90"/>
      <c r="G1288" s="90"/>
      <c r="H1288" s="90"/>
      <c r="I1288" s="90"/>
      <c r="J1288" s="90"/>
      <c r="K1288" s="90"/>
      <c r="L1288" s="90"/>
      <c r="M1288" s="90"/>
      <c r="N1288" s="90"/>
      <c r="O1288" s="90"/>
      <c r="P1288" s="90"/>
    </row>
    <row r="1289" spans="1:16" ht="13.2">
      <c r="A1289" s="90"/>
      <c r="B1289" s="92"/>
      <c r="C1289" s="90"/>
      <c r="D1289" s="90"/>
      <c r="E1289" s="90"/>
      <c r="F1289" s="90"/>
      <c r="G1289" s="90"/>
      <c r="H1289" s="90"/>
      <c r="I1289" s="90"/>
      <c r="J1289" s="90"/>
      <c r="K1289" s="90"/>
      <c r="L1289" s="90"/>
      <c r="M1289" s="90"/>
      <c r="N1289" s="90"/>
      <c r="O1289" s="90"/>
      <c r="P1289" s="90"/>
    </row>
    <row r="1290" spans="1:16" ht="13.2">
      <c r="A1290" s="90"/>
      <c r="B1290" s="92"/>
      <c r="C1290" s="90"/>
      <c r="D1290" s="90"/>
      <c r="E1290" s="90"/>
      <c r="F1290" s="90"/>
      <c r="G1290" s="90"/>
      <c r="H1290" s="90"/>
      <c r="I1290" s="90"/>
      <c r="J1290" s="90"/>
      <c r="K1290" s="90"/>
      <c r="L1290" s="90"/>
      <c r="M1290" s="90"/>
      <c r="N1290" s="90"/>
      <c r="O1290" s="90"/>
      <c r="P1290" s="90"/>
    </row>
    <row r="1291" spans="1:16" ht="13.2">
      <c r="A1291" s="90"/>
      <c r="B1291" s="92"/>
      <c r="C1291" s="90"/>
      <c r="D1291" s="90"/>
      <c r="E1291" s="90"/>
      <c r="F1291" s="90"/>
      <c r="G1291" s="90"/>
      <c r="H1291" s="90"/>
      <c r="I1291" s="90"/>
      <c r="J1291" s="90"/>
      <c r="K1291" s="90"/>
      <c r="L1291" s="90"/>
      <c r="M1291" s="90"/>
      <c r="N1291" s="90"/>
      <c r="O1291" s="90"/>
      <c r="P1291" s="90"/>
    </row>
    <row r="1292" spans="1:16" ht="13.2">
      <c r="A1292" s="90"/>
      <c r="B1292" s="92"/>
      <c r="C1292" s="90"/>
      <c r="D1292" s="90"/>
      <c r="E1292" s="90"/>
      <c r="F1292" s="90"/>
      <c r="G1292" s="90"/>
      <c r="H1292" s="90"/>
      <c r="I1292" s="90"/>
      <c r="J1292" s="90"/>
      <c r="K1292" s="90"/>
      <c r="L1292" s="90"/>
      <c r="M1292" s="90"/>
      <c r="N1292" s="90"/>
      <c r="O1292" s="90"/>
      <c r="P1292" s="90"/>
    </row>
    <row r="1293" spans="1:16" ht="13.2">
      <c r="A1293" s="90"/>
      <c r="B1293" s="92"/>
      <c r="C1293" s="90"/>
      <c r="D1293" s="90"/>
      <c r="E1293" s="90"/>
      <c r="F1293" s="90"/>
      <c r="G1293" s="90"/>
      <c r="H1293" s="90"/>
      <c r="I1293" s="90"/>
      <c r="J1293" s="90"/>
      <c r="K1293" s="90"/>
      <c r="L1293" s="90"/>
      <c r="M1293" s="90"/>
      <c r="N1293" s="90"/>
      <c r="O1293" s="90"/>
      <c r="P1293" s="90"/>
    </row>
    <row r="1294" spans="1:16" ht="13.2">
      <c r="A1294" s="90"/>
      <c r="B1294" s="92"/>
      <c r="C1294" s="90"/>
      <c r="D1294" s="90"/>
      <c r="E1294" s="90"/>
      <c r="F1294" s="90"/>
      <c r="G1294" s="90"/>
      <c r="H1294" s="90"/>
      <c r="I1294" s="90"/>
      <c r="J1294" s="90"/>
      <c r="K1294" s="90"/>
      <c r="L1294" s="90"/>
      <c r="M1294" s="90"/>
      <c r="N1294" s="90"/>
      <c r="O1294" s="90"/>
      <c r="P1294" s="90"/>
    </row>
    <row r="1295" spans="1:16" ht="13.2">
      <c r="A1295" s="90"/>
      <c r="B1295" s="92"/>
      <c r="C1295" s="90"/>
      <c r="D1295" s="90"/>
      <c r="E1295" s="90"/>
      <c r="F1295" s="90"/>
      <c r="G1295" s="90"/>
      <c r="H1295" s="90"/>
      <c r="I1295" s="90"/>
      <c r="J1295" s="90"/>
      <c r="K1295" s="90"/>
      <c r="L1295" s="90"/>
      <c r="M1295" s="90"/>
      <c r="N1295" s="90"/>
      <c r="O1295" s="90"/>
      <c r="P1295" s="90"/>
    </row>
    <row r="1296" spans="1:16" ht="13.2">
      <c r="A1296" s="90"/>
      <c r="B1296" s="92"/>
      <c r="C1296" s="90"/>
      <c r="D1296" s="90"/>
      <c r="E1296" s="90"/>
      <c r="F1296" s="90"/>
      <c r="G1296" s="90"/>
      <c r="H1296" s="90"/>
      <c r="I1296" s="90"/>
      <c r="J1296" s="90"/>
      <c r="K1296" s="90"/>
      <c r="L1296" s="90"/>
      <c r="M1296" s="90"/>
      <c r="N1296" s="90"/>
      <c r="O1296" s="90"/>
      <c r="P1296" s="90"/>
    </row>
    <row r="1297" spans="1:16" ht="13.2">
      <c r="A1297" s="90"/>
      <c r="B1297" s="92"/>
      <c r="C1297" s="90"/>
      <c r="D1297" s="90"/>
      <c r="E1297" s="90"/>
      <c r="F1297" s="90"/>
      <c r="G1297" s="90"/>
      <c r="H1297" s="90"/>
      <c r="I1297" s="90"/>
      <c r="J1297" s="90"/>
      <c r="K1297" s="90"/>
      <c r="L1297" s="90"/>
      <c r="M1297" s="90"/>
      <c r="N1297" s="90"/>
      <c r="O1297" s="90"/>
      <c r="P1297" s="90"/>
    </row>
    <row r="1298" spans="1:16" ht="13.2">
      <c r="A1298" s="90"/>
      <c r="B1298" s="92"/>
      <c r="C1298" s="90"/>
      <c r="D1298" s="90"/>
      <c r="E1298" s="90"/>
      <c r="F1298" s="90"/>
      <c r="G1298" s="90"/>
      <c r="H1298" s="90"/>
      <c r="I1298" s="90"/>
      <c r="J1298" s="90"/>
      <c r="K1298" s="90"/>
      <c r="L1298" s="90"/>
      <c r="M1298" s="90"/>
      <c r="N1298" s="90"/>
      <c r="O1298" s="90"/>
      <c r="P1298" s="90"/>
    </row>
    <row r="1299" spans="1:16" ht="13.2">
      <c r="A1299" s="90"/>
      <c r="B1299" s="92"/>
      <c r="C1299" s="90"/>
      <c r="D1299" s="90"/>
      <c r="E1299" s="90"/>
      <c r="F1299" s="90"/>
      <c r="G1299" s="90"/>
      <c r="H1299" s="90"/>
      <c r="I1299" s="90"/>
      <c r="J1299" s="90"/>
      <c r="K1299" s="90"/>
      <c r="L1299" s="90"/>
      <c r="M1299" s="90"/>
      <c r="N1299" s="90"/>
      <c r="O1299" s="90"/>
      <c r="P1299" s="90"/>
    </row>
    <row r="1300" spans="1:16" ht="13.2">
      <c r="A1300" s="90"/>
      <c r="B1300" s="92"/>
      <c r="C1300" s="90"/>
      <c r="D1300" s="90"/>
      <c r="E1300" s="90"/>
      <c r="F1300" s="90"/>
      <c r="G1300" s="90"/>
      <c r="H1300" s="90"/>
      <c r="I1300" s="90"/>
      <c r="J1300" s="90"/>
      <c r="K1300" s="90"/>
      <c r="L1300" s="90"/>
      <c r="M1300" s="90"/>
      <c r="N1300" s="90"/>
      <c r="O1300" s="90"/>
      <c r="P1300" s="90"/>
    </row>
    <row r="1301" spans="1:16" ht="13.2">
      <c r="A1301" s="90"/>
      <c r="B1301" s="92"/>
      <c r="C1301" s="90"/>
      <c r="D1301" s="90"/>
      <c r="E1301" s="90"/>
      <c r="F1301" s="90"/>
      <c r="G1301" s="90"/>
      <c r="H1301" s="90"/>
      <c r="I1301" s="90"/>
      <c r="J1301" s="90"/>
      <c r="K1301" s="90"/>
      <c r="L1301" s="90"/>
      <c r="M1301" s="90"/>
      <c r="N1301" s="90"/>
      <c r="O1301" s="90"/>
      <c r="P1301" s="90"/>
    </row>
    <row r="1302" spans="1:16" ht="13.2">
      <c r="A1302" s="90"/>
      <c r="B1302" s="92"/>
      <c r="C1302" s="90"/>
      <c r="D1302" s="90"/>
      <c r="E1302" s="90"/>
      <c r="F1302" s="90"/>
      <c r="G1302" s="90"/>
      <c r="H1302" s="90"/>
      <c r="I1302" s="90"/>
      <c r="J1302" s="90"/>
      <c r="K1302" s="90"/>
      <c r="L1302" s="90"/>
      <c r="M1302" s="90"/>
      <c r="N1302" s="90"/>
      <c r="O1302" s="90"/>
      <c r="P1302" s="90"/>
    </row>
    <row r="1303" spans="1:16" ht="13.2">
      <c r="A1303" s="90"/>
      <c r="B1303" s="92"/>
      <c r="C1303" s="90"/>
      <c r="D1303" s="90"/>
      <c r="E1303" s="90"/>
      <c r="F1303" s="90"/>
      <c r="G1303" s="90"/>
      <c r="H1303" s="90"/>
      <c r="I1303" s="90"/>
      <c r="J1303" s="90"/>
      <c r="K1303" s="90"/>
      <c r="L1303" s="90"/>
      <c r="M1303" s="90"/>
      <c r="N1303" s="90"/>
      <c r="O1303" s="90"/>
      <c r="P1303" s="90"/>
    </row>
    <row r="1304" spans="1:16" ht="13.2">
      <c r="A1304" s="90"/>
      <c r="B1304" s="92"/>
      <c r="C1304" s="90"/>
      <c r="D1304" s="90"/>
      <c r="E1304" s="90"/>
      <c r="F1304" s="90"/>
      <c r="G1304" s="90"/>
      <c r="H1304" s="90"/>
      <c r="I1304" s="90"/>
      <c r="J1304" s="90"/>
      <c r="K1304" s="90"/>
      <c r="L1304" s="90"/>
      <c r="M1304" s="90"/>
      <c r="N1304" s="90"/>
      <c r="O1304" s="90"/>
      <c r="P1304" s="90"/>
    </row>
    <row r="1305" spans="1:16" ht="13.2">
      <c r="A1305" s="90"/>
      <c r="B1305" s="92"/>
      <c r="C1305" s="90"/>
      <c r="D1305" s="90"/>
      <c r="E1305" s="90"/>
      <c r="F1305" s="90"/>
      <c r="G1305" s="90"/>
      <c r="H1305" s="90"/>
      <c r="I1305" s="90"/>
      <c r="J1305" s="90"/>
      <c r="K1305" s="90"/>
      <c r="L1305" s="90"/>
      <c r="M1305" s="90"/>
      <c r="N1305" s="90"/>
      <c r="O1305" s="90"/>
      <c r="P1305" s="90"/>
    </row>
    <row r="1306" spans="1:16" ht="13.2">
      <c r="A1306" s="90"/>
      <c r="B1306" s="92"/>
      <c r="C1306" s="90"/>
      <c r="D1306" s="90"/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</row>
    <row r="1307" spans="1:16" ht="13.2">
      <c r="A1307" s="90"/>
      <c r="B1307" s="92"/>
      <c r="C1307" s="90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</row>
    <row r="1308" spans="1:16" ht="13.2">
      <c r="A1308" s="90"/>
      <c r="B1308" s="92"/>
      <c r="C1308" s="90"/>
      <c r="D1308" s="90"/>
      <c r="E1308" s="90"/>
      <c r="F1308" s="90"/>
      <c r="G1308" s="90"/>
      <c r="H1308" s="90"/>
      <c r="I1308" s="90"/>
      <c r="J1308" s="90"/>
      <c r="K1308" s="90"/>
      <c r="L1308" s="90"/>
      <c r="M1308" s="90"/>
      <c r="N1308" s="90"/>
      <c r="O1308" s="90"/>
      <c r="P1308" s="90"/>
    </row>
    <row r="1309" spans="1:16" ht="13.2">
      <c r="A1309" s="90"/>
      <c r="B1309" s="92"/>
      <c r="C1309" s="90"/>
      <c r="D1309" s="90"/>
      <c r="E1309" s="90"/>
      <c r="F1309" s="90"/>
      <c r="G1309" s="90"/>
      <c r="H1309" s="90"/>
      <c r="I1309" s="90"/>
      <c r="J1309" s="90"/>
      <c r="K1309" s="90"/>
      <c r="L1309" s="90"/>
      <c r="M1309" s="90"/>
      <c r="N1309" s="90"/>
      <c r="O1309" s="90"/>
      <c r="P1309" s="90"/>
    </row>
    <row r="1310" spans="1:16" ht="13.2">
      <c r="A1310" s="90"/>
      <c r="B1310" s="92"/>
      <c r="C1310" s="90"/>
      <c r="D1310" s="90"/>
      <c r="E1310" s="90"/>
      <c r="F1310" s="90"/>
      <c r="G1310" s="90"/>
      <c r="H1310" s="90"/>
      <c r="I1310" s="90"/>
      <c r="J1310" s="90"/>
      <c r="K1310" s="90"/>
      <c r="L1310" s="90"/>
      <c r="M1310" s="90"/>
      <c r="N1310" s="90"/>
      <c r="O1310" s="90"/>
      <c r="P1310" s="90"/>
    </row>
    <row r="1311" spans="1:16" ht="13.2">
      <c r="A1311" s="90"/>
      <c r="B1311" s="92"/>
      <c r="C1311" s="90"/>
      <c r="D1311" s="90"/>
      <c r="E1311" s="90"/>
      <c r="F1311" s="90"/>
      <c r="G1311" s="90"/>
      <c r="H1311" s="90"/>
      <c r="I1311" s="90"/>
      <c r="J1311" s="90"/>
      <c r="K1311" s="90"/>
      <c r="L1311" s="90"/>
      <c r="M1311" s="90"/>
      <c r="N1311" s="90"/>
      <c r="O1311" s="90"/>
      <c r="P1311" s="90"/>
    </row>
    <row r="1312" spans="1:16" ht="13.2">
      <c r="A1312" s="90"/>
      <c r="B1312" s="92"/>
      <c r="C1312" s="90"/>
      <c r="D1312" s="90"/>
      <c r="E1312" s="90"/>
      <c r="F1312" s="90"/>
      <c r="G1312" s="90"/>
      <c r="H1312" s="90"/>
      <c r="I1312" s="90"/>
      <c r="J1312" s="90"/>
      <c r="K1312" s="90"/>
      <c r="L1312" s="90"/>
      <c r="M1312" s="90"/>
      <c r="N1312" s="90"/>
      <c r="O1312" s="90"/>
      <c r="P1312" s="90"/>
    </row>
    <row r="1313" spans="1:16" ht="13.2">
      <c r="A1313" s="90"/>
      <c r="B1313" s="92"/>
      <c r="C1313" s="90"/>
      <c r="D1313" s="90"/>
      <c r="E1313" s="90"/>
      <c r="F1313" s="90"/>
      <c r="G1313" s="90"/>
      <c r="H1313" s="90"/>
      <c r="I1313" s="90"/>
      <c r="J1313" s="90"/>
      <c r="K1313" s="90"/>
      <c r="L1313" s="90"/>
      <c r="M1313" s="90"/>
      <c r="N1313" s="90"/>
      <c r="O1313" s="90"/>
      <c r="P1313" s="90"/>
    </row>
    <row r="1314" spans="1:16" ht="13.2">
      <c r="A1314" s="90"/>
      <c r="B1314" s="92"/>
      <c r="C1314" s="90"/>
      <c r="D1314" s="90"/>
      <c r="E1314" s="90"/>
      <c r="F1314" s="90"/>
      <c r="G1314" s="90"/>
      <c r="H1314" s="90"/>
      <c r="I1314" s="90"/>
      <c r="J1314" s="90"/>
      <c r="K1314" s="90"/>
      <c r="L1314" s="90"/>
      <c r="M1314" s="90"/>
      <c r="N1314" s="90"/>
      <c r="O1314" s="90"/>
      <c r="P1314" s="90"/>
    </row>
    <row r="1315" spans="1:16" ht="13.2">
      <c r="A1315" s="90"/>
      <c r="B1315" s="92"/>
      <c r="C1315" s="90"/>
      <c r="D1315" s="90"/>
      <c r="E1315" s="90"/>
      <c r="F1315" s="90"/>
      <c r="G1315" s="90"/>
      <c r="H1315" s="90"/>
      <c r="I1315" s="90"/>
      <c r="J1315" s="90"/>
      <c r="K1315" s="90"/>
      <c r="L1315" s="90"/>
      <c r="M1315" s="90"/>
      <c r="N1315" s="90"/>
      <c r="O1315" s="90"/>
      <c r="P1315" s="90"/>
    </row>
    <row r="1316" spans="1:16" ht="13.2">
      <c r="A1316" s="90"/>
      <c r="B1316" s="92"/>
      <c r="C1316" s="90"/>
      <c r="D1316" s="90"/>
      <c r="E1316" s="90"/>
      <c r="F1316" s="90"/>
      <c r="G1316" s="90"/>
      <c r="H1316" s="90"/>
      <c r="I1316" s="90"/>
      <c r="J1316" s="90"/>
      <c r="K1316" s="90"/>
      <c r="L1316" s="90"/>
      <c r="M1316" s="90"/>
      <c r="N1316" s="90"/>
      <c r="O1316" s="90"/>
      <c r="P1316" s="90"/>
    </row>
    <row r="1317" spans="1:16" ht="13.2">
      <c r="A1317" s="90"/>
      <c r="B1317" s="92"/>
      <c r="C1317" s="90"/>
      <c r="D1317" s="90"/>
      <c r="E1317" s="90"/>
      <c r="F1317" s="90"/>
      <c r="G1317" s="90"/>
      <c r="H1317" s="90"/>
      <c r="I1317" s="90"/>
      <c r="J1317" s="90"/>
      <c r="K1317" s="90"/>
      <c r="L1317" s="90"/>
      <c r="M1317" s="90"/>
      <c r="N1317" s="90"/>
      <c r="O1317" s="90"/>
      <c r="P1317" s="90"/>
    </row>
    <row r="1318" spans="1:16" ht="13.2">
      <c r="A1318" s="90"/>
      <c r="B1318" s="92"/>
      <c r="C1318" s="90"/>
      <c r="D1318" s="90"/>
      <c r="E1318" s="90"/>
      <c r="F1318" s="90"/>
      <c r="G1318" s="90"/>
      <c r="H1318" s="90"/>
      <c r="I1318" s="90"/>
      <c r="J1318" s="90"/>
      <c r="K1318" s="90"/>
      <c r="L1318" s="90"/>
      <c r="M1318" s="90"/>
      <c r="N1318" s="90"/>
      <c r="O1318" s="90"/>
      <c r="P1318" s="90"/>
    </row>
    <row r="1319" spans="1:16" ht="13.2">
      <c r="A1319" s="90"/>
      <c r="B1319" s="92"/>
      <c r="C1319" s="90"/>
      <c r="D1319" s="90"/>
      <c r="E1319" s="90"/>
      <c r="F1319" s="90"/>
      <c r="G1319" s="90"/>
      <c r="H1319" s="90"/>
      <c r="I1319" s="90"/>
      <c r="J1319" s="90"/>
      <c r="K1319" s="90"/>
      <c r="L1319" s="90"/>
      <c r="M1319" s="90"/>
      <c r="N1319" s="90"/>
      <c r="O1319" s="90"/>
      <c r="P1319" s="90"/>
    </row>
    <row r="1320" spans="1:16" ht="13.2">
      <c r="A1320" s="90"/>
      <c r="B1320" s="92"/>
      <c r="C1320" s="90"/>
      <c r="D1320" s="90"/>
      <c r="E1320" s="90"/>
      <c r="F1320" s="90"/>
      <c r="G1320" s="90"/>
      <c r="H1320" s="90"/>
      <c r="I1320" s="90"/>
      <c r="J1320" s="90"/>
      <c r="K1320" s="90"/>
      <c r="L1320" s="90"/>
      <c r="M1320" s="90"/>
      <c r="N1320" s="90"/>
      <c r="O1320" s="90"/>
      <c r="P1320" s="90"/>
    </row>
    <row r="1321" spans="1:16" ht="13.2">
      <c r="A1321" s="90"/>
      <c r="B1321" s="92"/>
      <c r="C1321" s="90"/>
      <c r="D1321" s="90"/>
      <c r="E1321" s="90"/>
      <c r="F1321" s="90"/>
      <c r="G1321" s="90"/>
      <c r="H1321" s="90"/>
      <c r="I1321" s="90"/>
      <c r="J1321" s="90"/>
      <c r="K1321" s="90"/>
      <c r="L1321" s="90"/>
      <c r="M1321" s="90"/>
      <c r="N1321" s="90"/>
      <c r="O1321" s="90"/>
      <c r="P1321" s="90"/>
    </row>
    <row r="1322" spans="1:16" ht="13.2">
      <c r="A1322" s="90"/>
      <c r="B1322" s="92"/>
      <c r="C1322" s="90"/>
      <c r="D1322" s="90"/>
      <c r="E1322" s="90"/>
      <c r="F1322" s="90"/>
      <c r="G1322" s="90"/>
      <c r="H1322" s="90"/>
      <c r="I1322" s="90"/>
      <c r="J1322" s="90"/>
      <c r="K1322" s="90"/>
      <c r="L1322" s="90"/>
      <c r="M1322" s="90"/>
      <c r="N1322" s="90"/>
      <c r="O1322" s="90"/>
      <c r="P1322" s="90"/>
    </row>
    <row r="1323" spans="1:16" ht="13.2">
      <c r="A1323" s="90"/>
      <c r="B1323" s="92"/>
      <c r="C1323" s="90"/>
      <c r="D1323" s="90"/>
      <c r="E1323" s="90"/>
      <c r="F1323" s="90"/>
      <c r="G1323" s="90"/>
      <c r="H1323" s="90"/>
      <c r="I1323" s="90"/>
      <c r="J1323" s="90"/>
      <c r="K1323" s="90"/>
      <c r="L1323" s="90"/>
      <c r="M1323" s="90"/>
      <c r="N1323" s="90"/>
      <c r="O1323" s="90"/>
      <c r="P1323" s="90"/>
    </row>
    <row r="1324" spans="1:16" ht="13.2">
      <c r="A1324" s="90"/>
      <c r="B1324" s="92"/>
      <c r="C1324" s="90"/>
      <c r="D1324" s="90"/>
      <c r="E1324" s="90"/>
      <c r="F1324" s="90"/>
      <c r="G1324" s="90"/>
      <c r="H1324" s="90"/>
      <c r="I1324" s="90"/>
      <c r="J1324" s="90"/>
      <c r="K1324" s="90"/>
      <c r="L1324" s="90"/>
      <c r="M1324" s="90"/>
      <c r="N1324" s="90"/>
      <c r="O1324" s="90"/>
      <c r="P1324" s="90"/>
    </row>
    <row r="1325" spans="1:16" ht="13.2">
      <c r="A1325" s="90"/>
      <c r="B1325" s="92"/>
      <c r="C1325" s="90"/>
      <c r="D1325" s="90"/>
      <c r="E1325" s="90"/>
      <c r="F1325" s="90"/>
      <c r="G1325" s="90"/>
      <c r="H1325" s="90"/>
      <c r="I1325" s="90"/>
      <c r="J1325" s="90"/>
      <c r="K1325" s="90"/>
      <c r="L1325" s="90"/>
      <c r="M1325" s="90"/>
      <c r="N1325" s="90"/>
      <c r="O1325" s="90"/>
      <c r="P1325" s="90"/>
    </row>
    <row r="1326" spans="1:16" ht="13.2">
      <c r="A1326" s="90"/>
      <c r="B1326" s="92"/>
      <c r="C1326" s="90"/>
      <c r="D1326" s="90"/>
      <c r="E1326" s="90"/>
      <c r="F1326" s="90"/>
      <c r="G1326" s="90"/>
      <c r="H1326" s="90"/>
      <c r="I1326" s="90"/>
      <c r="J1326" s="90"/>
      <c r="K1326" s="90"/>
      <c r="L1326" s="90"/>
      <c r="M1326" s="90"/>
      <c r="N1326" s="90"/>
      <c r="O1326" s="90"/>
      <c r="P1326" s="90"/>
    </row>
    <row r="1327" spans="1:16" ht="13.2">
      <c r="A1327" s="90"/>
      <c r="B1327" s="92"/>
      <c r="C1327" s="90"/>
      <c r="D1327" s="90"/>
      <c r="E1327" s="90"/>
      <c r="F1327" s="90"/>
      <c r="G1327" s="90"/>
      <c r="H1327" s="90"/>
      <c r="I1327" s="90"/>
      <c r="J1327" s="90"/>
      <c r="K1327" s="90"/>
      <c r="L1327" s="90"/>
      <c r="M1327" s="90"/>
      <c r="N1327" s="90"/>
      <c r="O1327" s="90"/>
      <c r="P1327" s="90"/>
    </row>
    <row r="1328" spans="1:16" ht="13.2">
      <c r="A1328" s="90"/>
      <c r="B1328" s="92"/>
      <c r="C1328" s="90"/>
      <c r="D1328" s="90"/>
      <c r="E1328" s="90"/>
      <c r="F1328" s="90"/>
      <c r="G1328" s="90"/>
      <c r="H1328" s="90"/>
      <c r="I1328" s="90"/>
      <c r="J1328" s="90"/>
      <c r="K1328" s="90"/>
      <c r="L1328" s="90"/>
      <c r="M1328" s="90"/>
      <c r="N1328" s="90"/>
      <c r="O1328" s="90"/>
      <c r="P1328" s="90"/>
    </row>
    <row r="1329" spans="1:16" ht="13.2">
      <c r="A1329" s="90"/>
      <c r="B1329" s="92"/>
      <c r="C1329" s="90"/>
      <c r="D1329" s="90"/>
      <c r="E1329" s="90"/>
      <c r="F1329" s="90"/>
      <c r="G1329" s="90"/>
      <c r="H1329" s="90"/>
      <c r="I1329" s="90"/>
      <c r="J1329" s="90"/>
      <c r="K1329" s="90"/>
      <c r="L1329" s="90"/>
      <c r="M1329" s="90"/>
      <c r="N1329" s="90"/>
      <c r="O1329" s="90"/>
      <c r="P1329" s="90"/>
    </row>
    <row r="1330" spans="1:16" ht="13.2">
      <c r="A1330" s="90"/>
      <c r="B1330" s="92"/>
      <c r="C1330" s="90"/>
      <c r="D1330" s="90"/>
      <c r="E1330" s="90"/>
      <c r="F1330" s="90"/>
      <c r="G1330" s="90"/>
      <c r="H1330" s="90"/>
      <c r="I1330" s="90"/>
      <c r="J1330" s="90"/>
      <c r="K1330" s="90"/>
      <c r="L1330" s="90"/>
      <c r="M1330" s="90"/>
      <c r="N1330" s="90"/>
      <c r="O1330" s="90"/>
      <c r="P1330" s="90"/>
    </row>
    <row r="1331" spans="1:16" ht="13.2">
      <c r="A1331" s="90"/>
      <c r="B1331" s="92"/>
      <c r="C1331" s="90"/>
      <c r="D1331" s="90"/>
      <c r="E1331" s="90"/>
      <c r="F1331" s="90"/>
      <c r="G1331" s="90"/>
      <c r="H1331" s="90"/>
      <c r="I1331" s="90"/>
      <c r="J1331" s="90"/>
      <c r="K1331" s="90"/>
      <c r="L1331" s="90"/>
      <c r="M1331" s="90"/>
      <c r="N1331" s="90"/>
      <c r="O1331" s="90"/>
      <c r="P1331" s="90"/>
    </row>
    <row r="1332" spans="1:16" ht="13.2">
      <c r="A1332" s="90"/>
      <c r="B1332" s="92"/>
      <c r="C1332" s="90"/>
      <c r="D1332" s="90"/>
      <c r="E1332" s="90"/>
      <c r="F1332" s="90"/>
      <c r="G1332" s="90"/>
      <c r="H1332" s="90"/>
      <c r="I1332" s="90"/>
      <c r="J1332" s="90"/>
      <c r="K1332" s="90"/>
      <c r="L1332" s="90"/>
      <c r="M1332" s="90"/>
      <c r="N1332" s="90"/>
      <c r="O1332" s="90"/>
      <c r="P1332" s="90"/>
    </row>
    <row r="1333" spans="1:16" ht="13.2">
      <c r="A1333" s="90"/>
      <c r="B1333" s="92"/>
      <c r="C1333" s="90"/>
      <c r="D1333" s="90"/>
      <c r="E1333" s="90"/>
      <c r="F1333" s="90"/>
      <c r="G1333" s="90"/>
      <c r="H1333" s="90"/>
      <c r="I1333" s="90"/>
      <c r="J1333" s="90"/>
      <c r="K1333" s="90"/>
      <c r="L1333" s="90"/>
      <c r="M1333" s="90"/>
      <c r="N1333" s="90"/>
      <c r="O1333" s="90"/>
      <c r="P1333" s="90"/>
    </row>
    <row r="1334" spans="1:16" ht="13.2">
      <c r="A1334" s="90"/>
      <c r="B1334" s="92"/>
      <c r="C1334" s="90"/>
      <c r="D1334" s="90"/>
      <c r="E1334" s="90"/>
      <c r="F1334" s="90"/>
      <c r="G1334" s="90"/>
      <c r="H1334" s="90"/>
      <c r="I1334" s="90"/>
      <c r="J1334" s="90"/>
      <c r="K1334" s="90"/>
      <c r="L1334" s="90"/>
      <c r="M1334" s="90"/>
      <c r="N1334" s="90"/>
      <c r="O1334" s="90"/>
      <c r="P1334" s="90"/>
    </row>
    <row r="1335" spans="1:16" ht="13.2">
      <c r="A1335" s="90"/>
      <c r="B1335" s="92"/>
      <c r="C1335" s="90"/>
      <c r="D1335" s="90"/>
      <c r="E1335" s="90"/>
      <c r="F1335" s="90"/>
      <c r="G1335" s="90"/>
      <c r="H1335" s="90"/>
      <c r="I1335" s="90"/>
      <c r="J1335" s="90"/>
      <c r="K1335" s="90"/>
      <c r="L1335" s="90"/>
      <c r="M1335" s="90"/>
      <c r="N1335" s="90"/>
      <c r="O1335" s="90"/>
      <c r="P1335" s="90"/>
    </row>
    <row r="1336" spans="1:16" ht="13.2">
      <c r="A1336" s="90"/>
      <c r="B1336" s="92"/>
      <c r="C1336" s="90"/>
      <c r="D1336" s="90"/>
      <c r="E1336" s="90"/>
      <c r="F1336" s="90"/>
      <c r="G1336" s="90"/>
      <c r="H1336" s="90"/>
      <c r="I1336" s="90"/>
      <c r="J1336" s="90"/>
      <c r="K1336" s="90"/>
      <c r="L1336" s="90"/>
      <c r="M1336" s="90"/>
      <c r="N1336" s="90"/>
      <c r="O1336" s="90"/>
      <c r="P1336" s="90"/>
    </row>
    <row r="1337" spans="1:16" ht="13.2">
      <c r="A1337" s="90"/>
      <c r="B1337" s="92"/>
      <c r="C1337" s="90"/>
      <c r="D1337" s="90"/>
      <c r="E1337" s="90"/>
      <c r="F1337" s="90"/>
      <c r="G1337" s="90"/>
      <c r="H1337" s="90"/>
      <c r="I1337" s="90"/>
      <c r="J1337" s="90"/>
      <c r="K1337" s="90"/>
      <c r="L1337" s="90"/>
      <c r="M1337" s="90"/>
      <c r="N1337" s="90"/>
      <c r="O1337" s="90"/>
      <c r="P1337" s="90"/>
    </row>
    <row r="1338" spans="1:16" ht="13.2">
      <c r="A1338" s="90"/>
      <c r="B1338" s="92"/>
      <c r="C1338" s="90"/>
      <c r="D1338" s="90"/>
      <c r="E1338" s="90"/>
      <c r="F1338" s="90"/>
      <c r="G1338" s="90"/>
      <c r="H1338" s="90"/>
      <c r="I1338" s="90"/>
      <c r="J1338" s="90"/>
      <c r="K1338" s="90"/>
      <c r="L1338" s="90"/>
      <c r="M1338" s="90"/>
      <c r="N1338" s="90"/>
      <c r="O1338" s="90"/>
      <c r="P1338" s="90"/>
    </row>
    <row r="1339" spans="1:16" ht="13.2">
      <c r="A1339" s="90"/>
      <c r="B1339" s="92"/>
      <c r="C1339" s="90"/>
      <c r="D1339" s="90"/>
      <c r="E1339" s="90"/>
      <c r="F1339" s="90"/>
      <c r="G1339" s="90"/>
      <c r="H1339" s="90"/>
      <c r="I1339" s="90"/>
      <c r="J1339" s="90"/>
      <c r="K1339" s="90"/>
      <c r="L1339" s="90"/>
      <c r="M1339" s="90"/>
      <c r="N1339" s="90"/>
      <c r="O1339" s="90"/>
      <c r="P1339" s="90"/>
    </row>
    <row r="1340" spans="1:16" ht="13.2">
      <c r="A1340" s="90"/>
      <c r="B1340" s="92"/>
      <c r="C1340" s="90"/>
      <c r="D1340" s="90"/>
      <c r="E1340" s="90"/>
      <c r="F1340" s="90"/>
      <c r="G1340" s="90"/>
      <c r="H1340" s="90"/>
      <c r="I1340" s="90"/>
      <c r="J1340" s="90"/>
      <c r="K1340" s="90"/>
      <c r="L1340" s="90"/>
      <c r="M1340" s="90"/>
      <c r="N1340" s="90"/>
      <c r="O1340" s="90"/>
      <c r="P1340" s="90"/>
    </row>
    <row r="1341" spans="1:16" ht="13.2">
      <c r="A1341" s="90"/>
      <c r="B1341" s="92"/>
      <c r="C1341" s="90"/>
      <c r="D1341" s="90"/>
      <c r="E1341" s="90"/>
      <c r="F1341" s="90"/>
      <c r="G1341" s="90"/>
      <c r="H1341" s="90"/>
      <c r="I1341" s="90"/>
      <c r="J1341" s="90"/>
      <c r="K1341" s="90"/>
      <c r="L1341" s="90"/>
      <c r="M1341" s="90"/>
      <c r="N1341" s="90"/>
      <c r="O1341" s="90"/>
      <c r="P1341" s="90"/>
    </row>
    <row r="1342" spans="1:16" ht="13.2">
      <c r="A1342" s="90"/>
      <c r="B1342" s="92"/>
      <c r="C1342" s="90"/>
      <c r="D1342" s="90"/>
      <c r="E1342" s="90"/>
      <c r="F1342" s="90"/>
      <c r="G1342" s="90"/>
      <c r="H1342" s="90"/>
      <c r="I1342" s="90"/>
      <c r="J1342" s="90"/>
      <c r="K1342" s="90"/>
      <c r="L1342" s="90"/>
      <c r="M1342" s="90"/>
      <c r="N1342" s="90"/>
      <c r="O1342" s="90"/>
      <c r="P1342" s="90"/>
    </row>
    <row r="1343" spans="1:16" ht="13.2">
      <c r="A1343" s="90"/>
      <c r="B1343" s="92"/>
      <c r="C1343" s="90"/>
      <c r="D1343" s="90"/>
      <c r="E1343" s="90"/>
      <c r="F1343" s="90"/>
      <c r="G1343" s="90"/>
      <c r="H1343" s="90"/>
      <c r="I1343" s="90"/>
      <c r="J1343" s="90"/>
      <c r="K1343" s="90"/>
      <c r="L1343" s="90"/>
      <c r="M1343" s="90"/>
      <c r="N1343" s="90"/>
      <c r="O1343" s="90"/>
      <c r="P1343" s="90"/>
    </row>
    <row r="1344" spans="1:16" ht="13.2">
      <c r="A1344" s="90"/>
      <c r="B1344" s="92"/>
      <c r="C1344" s="90"/>
      <c r="D1344" s="90"/>
      <c r="E1344" s="90"/>
      <c r="F1344" s="90"/>
      <c r="G1344" s="90"/>
      <c r="H1344" s="90"/>
      <c r="I1344" s="90"/>
      <c r="J1344" s="90"/>
      <c r="K1344" s="90"/>
      <c r="L1344" s="90"/>
      <c r="M1344" s="90"/>
      <c r="N1344" s="90"/>
      <c r="O1344" s="90"/>
      <c r="P1344" s="90"/>
    </row>
    <row r="1345" spans="1:16" ht="13.2">
      <c r="A1345" s="90"/>
      <c r="B1345" s="92"/>
      <c r="C1345" s="90"/>
      <c r="D1345" s="90"/>
      <c r="E1345" s="90"/>
      <c r="F1345" s="90"/>
      <c r="G1345" s="90"/>
      <c r="H1345" s="90"/>
      <c r="I1345" s="90"/>
      <c r="J1345" s="90"/>
      <c r="K1345" s="90"/>
      <c r="L1345" s="90"/>
      <c r="M1345" s="90"/>
      <c r="N1345" s="90"/>
      <c r="O1345" s="90"/>
      <c r="P1345" s="90"/>
    </row>
    <row r="1346" spans="1:16" ht="13.2">
      <c r="A1346" s="90"/>
      <c r="B1346" s="92"/>
      <c r="C1346" s="90"/>
      <c r="D1346" s="90"/>
      <c r="E1346" s="90"/>
      <c r="F1346" s="90"/>
      <c r="G1346" s="90"/>
      <c r="H1346" s="90"/>
      <c r="I1346" s="90"/>
      <c r="J1346" s="90"/>
      <c r="K1346" s="90"/>
      <c r="L1346" s="90"/>
      <c r="M1346" s="90"/>
      <c r="N1346" s="90"/>
      <c r="O1346" s="90"/>
      <c r="P1346" s="90"/>
    </row>
    <row r="1347" spans="1:16" ht="13.2">
      <c r="A1347" s="90"/>
      <c r="B1347" s="92"/>
      <c r="C1347" s="90"/>
      <c r="D1347" s="90"/>
      <c r="E1347" s="90"/>
      <c r="F1347" s="90"/>
      <c r="G1347" s="90"/>
      <c r="H1347" s="90"/>
      <c r="I1347" s="90"/>
      <c r="J1347" s="90"/>
      <c r="K1347" s="90"/>
      <c r="L1347" s="90"/>
      <c r="M1347" s="90"/>
      <c r="N1347" s="90"/>
      <c r="O1347" s="90"/>
      <c r="P1347" s="90"/>
    </row>
    <row r="1348" spans="1:16" ht="13.2">
      <c r="A1348" s="90"/>
      <c r="B1348" s="92"/>
      <c r="C1348" s="90"/>
      <c r="D1348" s="90"/>
      <c r="E1348" s="90"/>
      <c r="F1348" s="90"/>
      <c r="G1348" s="90"/>
      <c r="H1348" s="90"/>
      <c r="I1348" s="90"/>
      <c r="J1348" s="90"/>
      <c r="K1348" s="90"/>
      <c r="L1348" s="90"/>
      <c r="M1348" s="90"/>
      <c r="N1348" s="90"/>
      <c r="O1348" s="90"/>
      <c r="P1348" s="90"/>
    </row>
    <row r="1349" spans="1:16" ht="13.2">
      <c r="A1349" s="90"/>
      <c r="B1349" s="92"/>
      <c r="C1349" s="90"/>
      <c r="D1349" s="90"/>
      <c r="E1349" s="90"/>
      <c r="F1349" s="90"/>
      <c r="G1349" s="90"/>
      <c r="H1349" s="90"/>
      <c r="I1349" s="90"/>
      <c r="J1349" s="90"/>
      <c r="K1349" s="90"/>
      <c r="L1349" s="90"/>
      <c r="M1349" s="90"/>
      <c r="N1349" s="90"/>
      <c r="O1349" s="90"/>
      <c r="P1349" s="90"/>
    </row>
    <row r="1350" spans="1:16" ht="13.2">
      <c r="A1350" s="90"/>
      <c r="B1350" s="92"/>
      <c r="C1350" s="90"/>
      <c r="D1350" s="90"/>
      <c r="E1350" s="90"/>
      <c r="F1350" s="90"/>
      <c r="G1350" s="90"/>
      <c r="H1350" s="90"/>
      <c r="I1350" s="90"/>
      <c r="J1350" s="90"/>
      <c r="K1350" s="90"/>
      <c r="L1350" s="90"/>
      <c r="M1350" s="90"/>
      <c r="N1350" s="90"/>
      <c r="O1350" s="90"/>
      <c r="P1350" s="90"/>
    </row>
    <row r="1351" spans="1:16" ht="13.2">
      <c r="A1351" s="90"/>
      <c r="B1351" s="92"/>
      <c r="C1351" s="90"/>
      <c r="D1351" s="90"/>
      <c r="E1351" s="90"/>
      <c r="F1351" s="90"/>
      <c r="G1351" s="90"/>
      <c r="H1351" s="90"/>
      <c r="I1351" s="90"/>
      <c r="J1351" s="90"/>
      <c r="K1351" s="90"/>
      <c r="L1351" s="90"/>
      <c r="M1351" s="90"/>
      <c r="N1351" s="90"/>
      <c r="O1351" s="90"/>
      <c r="P1351" s="90"/>
    </row>
    <row r="1352" spans="1:16" ht="13.2">
      <c r="A1352" s="90"/>
      <c r="B1352" s="92"/>
      <c r="C1352" s="90"/>
      <c r="D1352" s="90"/>
      <c r="E1352" s="90"/>
      <c r="F1352" s="90"/>
      <c r="G1352" s="90"/>
      <c r="H1352" s="90"/>
      <c r="I1352" s="90"/>
      <c r="J1352" s="90"/>
      <c r="K1352" s="90"/>
      <c r="L1352" s="90"/>
      <c r="M1352" s="90"/>
      <c r="N1352" s="90"/>
      <c r="O1352" s="90"/>
      <c r="P1352" s="90"/>
    </row>
    <row r="1353" spans="1:16" ht="13.2">
      <c r="A1353" s="90"/>
      <c r="B1353" s="92"/>
      <c r="C1353" s="90"/>
      <c r="D1353" s="90"/>
      <c r="E1353" s="90"/>
      <c r="F1353" s="90"/>
      <c r="G1353" s="90"/>
      <c r="H1353" s="90"/>
      <c r="I1353" s="90"/>
      <c r="J1353" s="90"/>
      <c r="K1353" s="90"/>
      <c r="L1353" s="90"/>
      <c r="M1353" s="90"/>
      <c r="N1353" s="90"/>
      <c r="O1353" s="90"/>
      <c r="P1353" s="90"/>
    </row>
    <row r="1354" spans="1:16" ht="13.2">
      <c r="A1354" s="90"/>
      <c r="B1354" s="92"/>
      <c r="C1354" s="90"/>
      <c r="D1354" s="90"/>
      <c r="E1354" s="90"/>
      <c r="F1354" s="90"/>
      <c r="G1354" s="90"/>
      <c r="H1354" s="90"/>
      <c r="I1354" s="90"/>
      <c r="J1354" s="90"/>
      <c r="K1354" s="90"/>
      <c r="L1354" s="90"/>
      <c r="M1354" s="90"/>
      <c r="N1354" s="90"/>
      <c r="O1354" s="90"/>
      <c r="P1354" s="90"/>
    </row>
    <row r="1355" spans="1:16" ht="13.2">
      <c r="A1355" s="90"/>
      <c r="B1355" s="92"/>
      <c r="C1355" s="90"/>
      <c r="D1355" s="90"/>
      <c r="E1355" s="90"/>
      <c r="F1355" s="90"/>
      <c r="G1355" s="90"/>
      <c r="H1355" s="90"/>
      <c r="I1355" s="90"/>
      <c r="J1355" s="90"/>
      <c r="K1355" s="90"/>
      <c r="L1355" s="90"/>
      <c r="M1355" s="90"/>
      <c r="N1355" s="90"/>
      <c r="O1355" s="90"/>
      <c r="P1355" s="90"/>
    </row>
    <row r="1356" spans="1:16" ht="13.2">
      <c r="A1356" s="90"/>
      <c r="B1356" s="92"/>
      <c r="C1356" s="90"/>
      <c r="D1356" s="90"/>
      <c r="E1356" s="90"/>
      <c r="F1356" s="90"/>
      <c r="G1356" s="90"/>
      <c r="H1356" s="90"/>
      <c r="I1356" s="90"/>
      <c r="J1356" s="90"/>
      <c r="K1356" s="90"/>
      <c r="L1356" s="90"/>
      <c r="M1356" s="90"/>
      <c r="N1356" s="90"/>
      <c r="O1356" s="90"/>
      <c r="P1356" s="90"/>
    </row>
    <row r="1357" spans="1:16" ht="13.2">
      <c r="A1357" s="90"/>
      <c r="B1357" s="92"/>
      <c r="C1357" s="90"/>
      <c r="D1357" s="90"/>
      <c r="E1357" s="90"/>
      <c r="F1357" s="90"/>
      <c r="G1357" s="90"/>
      <c r="H1357" s="90"/>
      <c r="I1357" s="90"/>
      <c r="J1357" s="90"/>
      <c r="K1357" s="90"/>
      <c r="L1357" s="90"/>
      <c r="M1357" s="90"/>
      <c r="N1357" s="90"/>
      <c r="O1357" s="90"/>
      <c r="P1357" s="90"/>
    </row>
    <row r="1358" spans="1:16" ht="13.2">
      <c r="A1358" s="90"/>
      <c r="B1358" s="92"/>
      <c r="C1358" s="90"/>
      <c r="D1358" s="90"/>
      <c r="E1358" s="90"/>
      <c r="F1358" s="90"/>
      <c r="G1358" s="90"/>
      <c r="H1358" s="90"/>
      <c r="I1358" s="90"/>
      <c r="J1358" s="90"/>
      <c r="K1358" s="90"/>
      <c r="L1358" s="90"/>
      <c r="M1358" s="90"/>
      <c r="N1358" s="90"/>
      <c r="O1358" s="90"/>
      <c r="P1358" s="90"/>
    </row>
    <row r="1359" spans="1:16" ht="13.2">
      <c r="A1359" s="90"/>
      <c r="B1359" s="92"/>
      <c r="C1359" s="90"/>
      <c r="D1359" s="90"/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</row>
    <row r="1360" spans="1:16" ht="13.2">
      <c r="A1360" s="90"/>
      <c r="B1360" s="92"/>
      <c r="C1360" s="90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</row>
    <row r="1361" spans="1:16" ht="13.2">
      <c r="A1361" s="90"/>
      <c r="B1361" s="92"/>
      <c r="C1361" s="90"/>
      <c r="D1361" s="90"/>
      <c r="E1361" s="90"/>
      <c r="F1361" s="90"/>
      <c r="G1361" s="90"/>
      <c r="H1361" s="90"/>
      <c r="I1361" s="90"/>
      <c r="J1361" s="90"/>
      <c r="K1361" s="90"/>
      <c r="L1361" s="90"/>
      <c r="M1361" s="90"/>
      <c r="N1361" s="90"/>
      <c r="O1361" s="90"/>
      <c r="P1361" s="90"/>
    </row>
    <row r="1362" spans="1:16" ht="13.2">
      <c r="A1362" s="90"/>
      <c r="B1362" s="92"/>
      <c r="C1362" s="90"/>
      <c r="D1362" s="90"/>
      <c r="E1362" s="90"/>
      <c r="F1362" s="90"/>
      <c r="G1362" s="90"/>
      <c r="H1362" s="90"/>
      <c r="I1362" s="90"/>
      <c r="J1362" s="90"/>
      <c r="K1362" s="90"/>
      <c r="L1362" s="90"/>
      <c r="M1362" s="90"/>
      <c r="N1362" s="90"/>
      <c r="O1362" s="90"/>
      <c r="P1362" s="90"/>
    </row>
    <row r="1363" spans="1:16" ht="13.2">
      <c r="A1363" s="90"/>
      <c r="B1363" s="92"/>
      <c r="C1363" s="90"/>
      <c r="D1363" s="90"/>
      <c r="E1363" s="90"/>
      <c r="F1363" s="90"/>
      <c r="G1363" s="90"/>
      <c r="H1363" s="90"/>
      <c r="I1363" s="90"/>
      <c r="J1363" s="90"/>
      <c r="K1363" s="90"/>
      <c r="L1363" s="90"/>
      <c r="M1363" s="90"/>
      <c r="N1363" s="90"/>
      <c r="O1363" s="90"/>
      <c r="P1363" s="90"/>
    </row>
    <row r="1364" spans="1:16" ht="13.2">
      <c r="A1364" s="90"/>
      <c r="B1364" s="92"/>
      <c r="C1364" s="90"/>
      <c r="D1364" s="90"/>
      <c r="E1364" s="90"/>
      <c r="F1364" s="90"/>
      <c r="G1364" s="90"/>
      <c r="H1364" s="90"/>
      <c r="I1364" s="90"/>
      <c r="J1364" s="90"/>
      <c r="K1364" s="90"/>
      <c r="L1364" s="90"/>
      <c r="M1364" s="90"/>
      <c r="N1364" s="90"/>
      <c r="O1364" s="90"/>
      <c r="P1364" s="90"/>
    </row>
    <row r="1365" spans="1:16" ht="13.2">
      <c r="A1365" s="90"/>
      <c r="B1365" s="92"/>
      <c r="C1365" s="90"/>
      <c r="D1365" s="90"/>
      <c r="E1365" s="90"/>
      <c r="F1365" s="90"/>
      <c r="G1365" s="90"/>
      <c r="H1365" s="90"/>
      <c r="I1365" s="90"/>
      <c r="J1365" s="90"/>
      <c r="K1365" s="90"/>
      <c r="L1365" s="90"/>
      <c r="M1365" s="90"/>
      <c r="N1365" s="90"/>
      <c r="O1365" s="90"/>
      <c r="P1365" s="90"/>
    </row>
    <row r="1366" spans="1:16" ht="13.2">
      <c r="A1366" s="90"/>
      <c r="B1366" s="92"/>
      <c r="C1366" s="90"/>
      <c r="D1366" s="90"/>
      <c r="E1366" s="90"/>
      <c r="F1366" s="90"/>
      <c r="G1366" s="90"/>
      <c r="H1366" s="90"/>
      <c r="I1366" s="90"/>
      <c r="J1366" s="90"/>
      <c r="K1366" s="90"/>
      <c r="L1366" s="90"/>
      <c r="M1366" s="90"/>
      <c r="N1366" s="90"/>
      <c r="O1366" s="90"/>
      <c r="P1366" s="90"/>
    </row>
    <row r="1367" spans="1:16" ht="13.2">
      <c r="A1367" s="90"/>
      <c r="B1367" s="92"/>
      <c r="C1367" s="90"/>
      <c r="D1367" s="90"/>
      <c r="E1367" s="90"/>
      <c r="F1367" s="90"/>
      <c r="G1367" s="90"/>
      <c r="H1367" s="90"/>
      <c r="I1367" s="90"/>
      <c r="J1367" s="90"/>
      <c r="K1367" s="90"/>
      <c r="L1367" s="90"/>
      <c r="M1367" s="90"/>
      <c r="N1367" s="90"/>
      <c r="O1367" s="90"/>
      <c r="P1367" s="90"/>
    </row>
    <row r="1368" spans="1:16" ht="13.2">
      <c r="A1368" s="90"/>
      <c r="B1368" s="92"/>
      <c r="C1368" s="90"/>
      <c r="D1368" s="90"/>
      <c r="E1368" s="90"/>
      <c r="F1368" s="90"/>
      <c r="G1368" s="90"/>
      <c r="H1368" s="90"/>
      <c r="I1368" s="90"/>
      <c r="J1368" s="90"/>
      <c r="K1368" s="90"/>
      <c r="L1368" s="90"/>
      <c r="M1368" s="90"/>
      <c r="N1368" s="90"/>
      <c r="O1368" s="90"/>
      <c r="P1368" s="90"/>
    </row>
    <row r="1369" spans="1:16" ht="13.2">
      <c r="A1369" s="90"/>
      <c r="B1369" s="92"/>
      <c r="C1369" s="90"/>
      <c r="D1369" s="90"/>
      <c r="E1369" s="90"/>
      <c r="F1369" s="90"/>
      <c r="G1369" s="90"/>
      <c r="H1369" s="90"/>
      <c r="I1369" s="90"/>
      <c r="J1369" s="90"/>
      <c r="K1369" s="90"/>
      <c r="L1369" s="90"/>
      <c r="M1369" s="90"/>
      <c r="N1369" s="90"/>
      <c r="O1369" s="90"/>
      <c r="P1369" s="90"/>
    </row>
    <row r="1370" spans="1:16" ht="13.2">
      <c r="A1370" s="90"/>
      <c r="B1370" s="92"/>
      <c r="C1370" s="90"/>
      <c r="D1370" s="90"/>
      <c r="E1370" s="90"/>
      <c r="F1370" s="90"/>
      <c r="G1370" s="90"/>
      <c r="H1370" s="90"/>
      <c r="I1370" s="90"/>
      <c r="J1370" s="90"/>
      <c r="K1370" s="90"/>
      <c r="L1370" s="90"/>
      <c r="M1370" s="90"/>
      <c r="N1370" s="90"/>
      <c r="O1370" s="90"/>
      <c r="P1370" s="90"/>
    </row>
    <row r="1371" spans="1:16" ht="13.2">
      <c r="A1371" s="90"/>
      <c r="B1371" s="92"/>
      <c r="C1371" s="90"/>
      <c r="D1371" s="90"/>
      <c r="E1371" s="90"/>
      <c r="F1371" s="90"/>
      <c r="G1371" s="90"/>
      <c r="H1371" s="90"/>
      <c r="I1371" s="90"/>
      <c r="J1371" s="90"/>
      <c r="K1371" s="90"/>
      <c r="L1371" s="90"/>
      <c r="M1371" s="90"/>
      <c r="N1371" s="90"/>
      <c r="O1371" s="90"/>
      <c r="P1371" s="90"/>
    </row>
    <row r="1372" spans="1:16" ht="13.2">
      <c r="A1372" s="90"/>
      <c r="B1372" s="92"/>
      <c r="C1372" s="90"/>
      <c r="D1372" s="90"/>
      <c r="E1372" s="90"/>
      <c r="F1372" s="90"/>
      <c r="G1372" s="90"/>
      <c r="H1372" s="90"/>
      <c r="I1372" s="90"/>
      <c r="J1372" s="90"/>
      <c r="K1372" s="90"/>
      <c r="L1372" s="90"/>
      <c r="M1372" s="90"/>
      <c r="N1372" s="90"/>
      <c r="O1372" s="90"/>
      <c r="P1372" s="90"/>
    </row>
    <row r="1373" spans="1:16" ht="13.2">
      <c r="A1373" s="90"/>
      <c r="B1373" s="92"/>
      <c r="C1373" s="90"/>
      <c r="D1373" s="90"/>
      <c r="E1373" s="90"/>
      <c r="F1373" s="90"/>
      <c r="G1373" s="90"/>
      <c r="H1373" s="90"/>
      <c r="I1373" s="90"/>
      <c r="J1373" s="90"/>
      <c r="K1373" s="90"/>
      <c r="L1373" s="90"/>
      <c r="M1373" s="90"/>
      <c r="N1373" s="90"/>
      <c r="O1373" s="90"/>
      <c r="P1373" s="90"/>
    </row>
    <row r="1374" spans="1:16" ht="13.2">
      <c r="A1374" s="90"/>
      <c r="B1374" s="92"/>
      <c r="C1374" s="90"/>
      <c r="D1374" s="90"/>
      <c r="E1374" s="90"/>
      <c r="F1374" s="90"/>
      <c r="G1374" s="90"/>
      <c r="H1374" s="90"/>
      <c r="I1374" s="90"/>
      <c r="J1374" s="90"/>
      <c r="K1374" s="90"/>
      <c r="L1374" s="90"/>
      <c r="M1374" s="90"/>
      <c r="N1374" s="90"/>
      <c r="O1374" s="90"/>
      <c r="P1374" s="90"/>
    </row>
    <row r="1375" spans="1:16" ht="13.2">
      <c r="A1375" s="90"/>
      <c r="B1375" s="92"/>
      <c r="C1375" s="90"/>
      <c r="D1375" s="90"/>
      <c r="E1375" s="90"/>
      <c r="F1375" s="90"/>
      <c r="G1375" s="90"/>
      <c r="H1375" s="90"/>
      <c r="I1375" s="90"/>
      <c r="J1375" s="90"/>
      <c r="K1375" s="90"/>
      <c r="L1375" s="90"/>
      <c r="M1375" s="90"/>
      <c r="N1375" s="90"/>
      <c r="O1375" s="90"/>
      <c r="P1375" s="90"/>
    </row>
    <row r="1376" spans="1:16" ht="13.2">
      <c r="A1376" s="90"/>
      <c r="B1376" s="92"/>
      <c r="C1376" s="90"/>
      <c r="D1376" s="90"/>
      <c r="E1376" s="90"/>
      <c r="F1376" s="90"/>
      <c r="G1376" s="90"/>
      <c r="H1376" s="90"/>
      <c r="I1376" s="90"/>
      <c r="J1376" s="90"/>
      <c r="K1376" s="90"/>
      <c r="L1376" s="90"/>
      <c r="M1376" s="90"/>
      <c r="N1376" s="90"/>
      <c r="O1376" s="90"/>
      <c r="P1376" s="90"/>
    </row>
    <row r="1377" spans="1:16" ht="13.2">
      <c r="A1377" s="90"/>
      <c r="B1377" s="92"/>
      <c r="C1377" s="90"/>
      <c r="D1377" s="90"/>
      <c r="E1377" s="90"/>
      <c r="F1377" s="90"/>
      <c r="G1377" s="90"/>
      <c r="H1377" s="90"/>
      <c r="I1377" s="90"/>
      <c r="J1377" s="90"/>
      <c r="K1377" s="90"/>
      <c r="L1377" s="90"/>
      <c r="M1377" s="90"/>
      <c r="N1377" s="90"/>
      <c r="O1377" s="90"/>
      <c r="P1377" s="90"/>
    </row>
    <row r="1378" spans="1:16" ht="13.2">
      <c r="A1378" s="90"/>
      <c r="B1378" s="92"/>
      <c r="C1378" s="90"/>
      <c r="D1378" s="90"/>
      <c r="E1378" s="90"/>
      <c r="F1378" s="90"/>
      <c r="G1378" s="90"/>
      <c r="H1378" s="90"/>
      <c r="I1378" s="90"/>
      <c r="J1378" s="90"/>
      <c r="K1378" s="90"/>
      <c r="L1378" s="90"/>
      <c r="M1378" s="90"/>
      <c r="N1378" s="90"/>
      <c r="O1378" s="90"/>
      <c r="P1378" s="90"/>
    </row>
    <row r="1379" spans="1:16" ht="13.2">
      <c r="A1379" s="90"/>
      <c r="B1379" s="92"/>
      <c r="C1379" s="90"/>
      <c r="D1379" s="90"/>
      <c r="E1379" s="90"/>
      <c r="F1379" s="90"/>
      <c r="G1379" s="90"/>
      <c r="H1379" s="90"/>
      <c r="I1379" s="90"/>
      <c r="J1379" s="90"/>
      <c r="K1379" s="90"/>
      <c r="L1379" s="90"/>
      <c r="M1379" s="90"/>
      <c r="N1379" s="90"/>
      <c r="O1379" s="90"/>
      <c r="P1379" s="90"/>
    </row>
    <row r="1380" spans="1:16" ht="13.2">
      <c r="A1380" s="90"/>
      <c r="B1380" s="92"/>
      <c r="C1380" s="90"/>
      <c r="D1380" s="90"/>
      <c r="E1380" s="90"/>
      <c r="F1380" s="90"/>
      <c r="G1380" s="90"/>
      <c r="H1380" s="90"/>
      <c r="I1380" s="90"/>
      <c r="J1380" s="90"/>
      <c r="K1380" s="90"/>
      <c r="L1380" s="90"/>
      <c r="M1380" s="90"/>
      <c r="N1380" s="90"/>
      <c r="O1380" s="90"/>
      <c r="P1380" s="90"/>
    </row>
    <row r="1381" spans="1:16" ht="13.2">
      <c r="A1381" s="90"/>
      <c r="B1381" s="92"/>
      <c r="C1381" s="90"/>
      <c r="D1381" s="90"/>
      <c r="E1381" s="90"/>
      <c r="F1381" s="90"/>
      <c r="G1381" s="90"/>
      <c r="H1381" s="90"/>
      <c r="I1381" s="90"/>
      <c r="J1381" s="90"/>
      <c r="K1381" s="90"/>
      <c r="L1381" s="90"/>
      <c r="M1381" s="90"/>
      <c r="N1381" s="90"/>
      <c r="O1381" s="90"/>
      <c r="P1381" s="90"/>
    </row>
    <row r="1382" spans="1:16" ht="13.2">
      <c r="A1382" s="90"/>
      <c r="B1382" s="92"/>
      <c r="C1382" s="90"/>
      <c r="D1382" s="90"/>
      <c r="E1382" s="90"/>
      <c r="F1382" s="90"/>
      <c r="G1382" s="90"/>
      <c r="H1382" s="90"/>
      <c r="I1382" s="90"/>
      <c r="J1382" s="90"/>
      <c r="K1382" s="90"/>
      <c r="L1382" s="90"/>
      <c r="M1382" s="90"/>
      <c r="N1382" s="90"/>
      <c r="O1382" s="90"/>
      <c r="P1382" s="90"/>
    </row>
    <row r="1383" spans="1:16" ht="13.2">
      <c r="A1383" s="90"/>
      <c r="B1383" s="92"/>
      <c r="C1383" s="90"/>
      <c r="D1383" s="90"/>
      <c r="E1383" s="90"/>
      <c r="F1383" s="90"/>
      <c r="G1383" s="90"/>
      <c r="H1383" s="90"/>
      <c r="I1383" s="90"/>
      <c r="J1383" s="90"/>
      <c r="K1383" s="90"/>
      <c r="L1383" s="90"/>
      <c r="M1383" s="90"/>
      <c r="N1383" s="90"/>
      <c r="O1383" s="90"/>
      <c r="P1383" s="90"/>
    </row>
    <row r="1384" spans="1:16" ht="13.2">
      <c r="A1384" s="90"/>
      <c r="B1384" s="92"/>
      <c r="C1384" s="90"/>
      <c r="D1384" s="90"/>
      <c r="E1384" s="90"/>
      <c r="F1384" s="90"/>
      <c r="G1384" s="90"/>
      <c r="H1384" s="90"/>
      <c r="I1384" s="90"/>
      <c r="J1384" s="90"/>
      <c r="K1384" s="90"/>
      <c r="L1384" s="90"/>
      <c r="M1384" s="90"/>
      <c r="N1384" s="90"/>
      <c r="O1384" s="90"/>
      <c r="P1384" s="90"/>
    </row>
    <row r="1385" spans="1:16" ht="13.2">
      <c r="A1385" s="90"/>
      <c r="B1385" s="92"/>
      <c r="C1385" s="90"/>
      <c r="D1385" s="90"/>
      <c r="E1385" s="90"/>
      <c r="F1385" s="90"/>
      <c r="G1385" s="90"/>
      <c r="H1385" s="90"/>
      <c r="I1385" s="90"/>
      <c r="J1385" s="90"/>
      <c r="K1385" s="90"/>
      <c r="L1385" s="90"/>
      <c r="M1385" s="90"/>
      <c r="N1385" s="90"/>
      <c r="O1385" s="90"/>
      <c r="P1385" s="90"/>
    </row>
    <row r="1386" spans="1:16" ht="13.2">
      <c r="A1386" s="90"/>
      <c r="B1386" s="92"/>
      <c r="C1386" s="90"/>
      <c r="D1386" s="90"/>
      <c r="E1386" s="90"/>
      <c r="F1386" s="90"/>
      <c r="G1386" s="90"/>
      <c r="H1386" s="90"/>
      <c r="I1386" s="90"/>
      <c r="J1386" s="90"/>
      <c r="K1386" s="90"/>
      <c r="L1386" s="90"/>
      <c r="M1386" s="90"/>
      <c r="N1386" s="90"/>
      <c r="O1386" s="90"/>
      <c r="P1386" s="90"/>
    </row>
    <row r="1387" spans="1:16" ht="13.2">
      <c r="A1387" s="90"/>
      <c r="B1387" s="92"/>
      <c r="C1387" s="90"/>
      <c r="D1387" s="90"/>
      <c r="E1387" s="90"/>
      <c r="F1387" s="90"/>
      <c r="G1387" s="90"/>
      <c r="H1387" s="90"/>
      <c r="I1387" s="90"/>
      <c r="J1387" s="90"/>
      <c r="K1387" s="90"/>
      <c r="L1387" s="90"/>
      <c r="M1387" s="90"/>
      <c r="N1387" s="90"/>
      <c r="O1387" s="90"/>
      <c r="P1387" s="90"/>
    </row>
    <row r="1388" spans="1:16" ht="13.2">
      <c r="A1388" s="90"/>
      <c r="B1388" s="92"/>
      <c r="C1388" s="90"/>
      <c r="D1388" s="90"/>
      <c r="E1388" s="90"/>
      <c r="F1388" s="90"/>
      <c r="G1388" s="90"/>
      <c r="H1388" s="90"/>
      <c r="I1388" s="90"/>
      <c r="J1388" s="90"/>
      <c r="K1388" s="90"/>
      <c r="L1388" s="90"/>
      <c r="M1388" s="90"/>
      <c r="N1388" s="90"/>
      <c r="O1388" s="90"/>
      <c r="P1388" s="90"/>
    </row>
    <row r="1389" spans="1:16" ht="13.2">
      <c r="A1389" s="90"/>
      <c r="B1389" s="92"/>
      <c r="C1389" s="90"/>
      <c r="D1389" s="90"/>
      <c r="E1389" s="90"/>
      <c r="F1389" s="90"/>
      <c r="G1389" s="90"/>
      <c r="H1389" s="90"/>
      <c r="I1389" s="90"/>
      <c r="J1389" s="90"/>
      <c r="K1389" s="90"/>
      <c r="L1389" s="90"/>
      <c r="M1389" s="90"/>
      <c r="N1389" s="90"/>
      <c r="O1389" s="90"/>
      <c r="P1389" s="90"/>
    </row>
    <row r="1390" spans="1:16" ht="13.2">
      <c r="A1390" s="90"/>
      <c r="B1390" s="92"/>
      <c r="C1390" s="90"/>
      <c r="D1390" s="90"/>
      <c r="E1390" s="90"/>
      <c r="F1390" s="90"/>
      <c r="G1390" s="90"/>
      <c r="H1390" s="90"/>
      <c r="I1390" s="90"/>
      <c r="J1390" s="90"/>
      <c r="K1390" s="90"/>
      <c r="L1390" s="90"/>
      <c r="M1390" s="90"/>
      <c r="N1390" s="90"/>
      <c r="O1390" s="90"/>
      <c r="P1390" s="90"/>
    </row>
    <row r="1391" spans="1:16" ht="13.2">
      <c r="A1391" s="90"/>
      <c r="B1391" s="92"/>
      <c r="C1391" s="90"/>
      <c r="D1391" s="90"/>
      <c r="E1391" s="90"/>
      <c r="F1391" s="90"/>
      <c r="G1391" s="90"/>
      <c r="H1391" s="90"/>
      <c r="I1391" s="90"/>
      <c r="J1391" s="90"/>
      <c r="K1391" s="90"/>
      <c r="L1391" s="90"/>
      <c r="M1391" s="90"/>
      <c r="N1391" s="90"/>
      <c r="O1391" s="90"/>
      <c r="P1391" s="90"/>
    </row>
    <row r="1392" spans="1:16" ht="13.2">
      <c r="A1392" s="90"/>
      <c r="B1392" s="92"/>
      <c r="C1392" s="90"/>
      <c r="D1392" s="90"/>
      <c r="E1392" s="90"/>
      <c r="F1392" s="90"/>
      <c r="G1392" s="90"/>
      <c r="H1392" s="90"/>
      <c r="I1392" s="90"/>
      <c r="J1392" s="90"/>
      <c r="K1392" s="90"/>
      <c r="L1392" s="90"/>
      <c r="M1392" s="90"/>
      <c r="N1392" s="90"/>
      <c r="O1392" s="90"/>
      <c r="P1392" s="90"/>
    </row>
    <row r="1393" spans="1:16" ht="13.2">
      <c r="A1393" s="90"/>
      <c r="B1393" s="92"/>
      <c r="C1393" s="90"/>
      <c r="D1393" s="90"/>
      <c r="E1393" s="90"/>
      <c r="F1393" s="90"/>
      <c r="G1393" s="90"/>
      <c r="H1393" s="90"/>
      <c r="I1393" s="90"/>
      <c r="J1393" s="90"/>
      <c r="K1393" s="90"/>
      <c r="L1393" s="90"/>
      <c r="M1393" s="90"/>
      <c r="N1393" s="90"/>
      <c r="O1393" s="90"/>
      <c r="P1393" s="90"/>
    </row>
    <row r="1394" spans="1:16" ht="13.2">
      <c r="A1394" s="90"/>
      <c r="B1394" s="92"/>
      <c r="C1394" s="90"/>
      <c r="D1394" s="90"/>
      <c r="E1394" s="90"/>
      <c r="F1394" s="90"/>
      <c r="G1394" s="90"/>
      <c r="H1394" s="90"/>
      <c r="I1394" s="90"/>
      <c r="J1394" s="90"/>
      <c r="K1394" s="90"/>
      <c r="L1394" s="90"/>
      <c r="M1394" s="90"/>
      <c r="N1394" s="90"/>
      <c r="O1394" s="90"/>
      <c r="P1394" s="90"/>
    </row>
    <row r="1395" spans="1:16" ht="13.2">
      <c r="A1395" s="90"/>
      <c r="B1395" s="92"/>
      <c r="C1395" s="90"/>
      <c r="D1395" s="90"/>
      <c r="E1395" s="90"/>
      <c r="F1395" s="90"/>
      <c r="G1395" s="90"/>
      <c r="H1395" s="90"/>
      <c r="I1395" s="90"/>
      <c r="J1395" s="90"/>
      <c r="K1395" s="90"/>
      <c r="L1395" s="90"/>
      <c r="M1395" s="90"/>
      <c r="N1395" s="90"/>
      <c r="O1395" s="90"/>
      <c r="P1395" s="90"/>
    </row>
    <row r="1396" spans="1:16" ht="13.2">
      <c r="A1396" s="90"/>
      <c r="B1396" s="92"/>
      <c r="C1396" s="90"/>
      <c r="D1396" s="90"/>
      <c r="E1396" s="90"/>
      <c r="F1396" s="90"/>
      <c r="G1396" s="90"/>
      <c r="H1396" s="90"/>
      <c r="I1396" s="90"/>
      <c r="J1396" s="90"/>
      <c r="K1396" s="90"/>
      <c r="L1396" s="90"/>
      <c r="M1396" s="90"/>
      <c r="N1396" s="90"/>
      <c r="O1396" s="90"/>
      <c r="P1396" s="90"/>
    </row>
    <row r="1397" spans="1:16" ht="13.2">
      <c r="A1397" s="90"/>
      <c r="B1397" s="92"/>
      <c r="C1397" s="90"/>
      <c r="D1397" s="90"/>
      <c r="E1397" s="90"/>
      <c r="F1397" s="90"/>
      <c r="G1397" s="90"/>
      <c r="H1397" s="90"/>
      <c r="I1397" s="90"/>
      <c r="J1397" s="90"/>
      <c r="K1397" s="90"/>
      <c r="L1397" s="90"/>
      <c r="M1397" s="90"/>
      <c r="N1397" s="90"/>
      <c r="O1397" s="90"/>
      <c r="P1397" s="90"/>
    </row>
    <row r="1398" spans="1:16" ht="13.2">
      <c r="A1398" s="90"/>
      <c r="B1398" s="92"/>
      <c r="C1398" s="90"/>
      <c r="D1398" s="90"/>
      <c r="E1398" s="90"/>
      <c r="F1398" s="90"/>
      <c r="G1398" s="90"/>
      <c r="H1398" s="90"/>
      <c r="I1398" s="90"/>
      <c r="J1398" s="90"/>
      <c r="K1398" s="90"/>
      <c r="L1398" s="90"/>
      <c r="M1398" s="90"/>
      <c r="N1398" s="90"/>
      <c r="O1398" s="90"/>
      <c r="P1398" s="90"/>
    </row>
    <row r="1399" spans="1:16" ht="13.2">
      <c r="A1399" s="90"/>
      <c r="B1399" s="92"/>
      <c r="C1399" s="90"/>
      <c r="D1399" s="90"/>
      <c r="E1399" s="90"/>
      <c r="F1399" s="90"/>
      <c r="G1399" s="90"/>
      <c r="H1399" s="90"/>
      <c r="I1399" s="90"/>
      <c r="J1399" s="90"/>
      <c r="K1399" s="90"/>
      <c r="L1399" s="90"/>
      <c r="M1399" s="90"/>
      <c r="N1399" s="90"/>
      <c r="O1399" s="90"/>
      <c r="P1399" s="90"/>
    </row>
    <row r="1400" spans="1:16" ht="13.2">
      <c r="A1400" s="90"/>
      <c r="B1400" s="92"/>
      <c r="C1400" s="90"/>
      <c r="D1400" s="90"/>
      <c r="E1400" s="90"/>
      <c r="F1400" s="90"/>
      <c r="G1400" s="90"/>
      <c r="H1400" s="90"/>
      <c r="I1400" s="90"/>
      <c r="J1400" s="90"/>
      <c r="K1400" s="90"/>
      <c r="L1400" s="90"/>
      <c r="M1400" s="90"/>
      <c r="N1400" s="90"/>
      <c r="O1400" s="90"/>
      <c r="P1400" s="90"/>
    </row>
    <row r="1401" spans="1:16" ht="13.2">
      <c r="A1401" s="90"/>
      <c r="B1401" s="92"/>
      <c r="C1401" s="90"/>
      <c r="D1401" s="90"/>
      <c r="E1401" s="90"/>
      <c r="F1401" s="90"/>
      <c r="G1401" s="90"/>
      <c r="H1401" s="90"/>
      <c r="I1401" s="90"/>
      <c r="J1401" s="90"/>
      <c r="K1401" s="90"/>
      <c r="L1401" s="90"/>
      <c r="M1401" s="90"/>
      <c r="N1401" s="90"/>
      <c r="O1401" s="90"/>
      <c r="P1401" s="90"/>
    </row>
    <row r="1402" spans="1:16" ht="13.2">
      <c r="A1402" s="90"/>
      <c r="B1402" s="92"/>
      <c r="C1402" s="90"/>
      <c r="D1402" s="90"/>
      <c r="E1402" s="90"/>
      <c r="F1402" s="90"/>
      <c r="G1402" s="90"/>
      <c r="H1402" s="90"/>
      <c r="I1402" s="90"/>
      <c r="J1402" s="90"/>
      <c r="K1402" s="90"/>
      <c r="L1402" s="90"/>
      <c r="M1402" s="90"/>
      <c r="N1402" s="90"/>
      <c r="O1402" s="90"/>
      <c r="P1402" s="90"/>
    </row>
    <row r="1403" spans="1:16" ht="13.2">
      <c r="A1403" s="90"/>
      <c r="B1403" s="92"/>
      <c r="C1403" s="90"/>
      <c r="D1403" s="90"/>
      <c r="E1403" s="90"/>
      <c r="F1403" s="90"/>
      <c r="G1403" s="90"/>
      <c r="H1403" s="90"/>
      <c r="I1403" s="90"/>
      <c r="J1403" s="90"/>
      <c r="K1403" s="90"/>
      <c r="L1403" s="90"/>
      <c r="M1403" s="90"/>
      <c r="N1403" s="90"/>
      <c r="O1403" s="90"/>
      <c r="P1403" s="90"/>
    </row>
    <row r="1404" spans="1:16" ht="13.2">
      <c r="A1404" s="90"/>
      <c r="B1404" s="92"/>
      <c r="C1404" s="90"/>
      <c r="D1404" s="90"/>
      <c r="E1404" s="90"/>
      <c r="F1404" s="90"/>
      <c r="G1404" s="90"/>
      <c r="H1404" s="90"/>
      <c r="I1404" s="90"/>
      <c r="J1404" s="90"/>
      <c r="K1404" s="90"/>
      <c r="L1404" s="90"/>
      <c r="M1404" s="90"/>
      <c r="N1404" s="90"/>
      <c r="O1404" s="90"/>
      <c r="P1404" s="90"/>
    </row>
    <row r="1405" spans="1:16" ht="13.2">
      <c r="A1405" s="90"/>
      <c r="B1405" s="92"/>
      <c r="C1405" s="90"/>
      <c r="D1405" s="90"/>
      <c r="E1405" s="90"/>
      <c r="F1405" s="90"/>
      <c r="G1405" s="90"/>
      <c r="H1405" s="90"/>
      <c r="I1405" s="90"/>
      <c r="J1405" s="90"/>
      <c r="K1405" s="90"/>
      <c r="L1405" s="90"/>
      <c r="M1405" s="90"/>
      <c r="N1405" s="90"/>
      <c r="O1405" s="90"/>
      <c r="P1405" s="90"/>
    </row>
    <row r="1406" spans="1:16" ht="13.2">
      <c r="A1406" s="90"/>
      <c r="B1406" s="92"/>
      <c r="C1406" s="90"/>
      <c r="D1406" s="90"/>
      <c r="E1406" s="90"/>
      <c r="F1406" s="90"/>
      <c r="G1406" s="90"/>
      <c r="H1406" s="90"/>
      <c r="I1406" s="90"/>
      <c r="J1406" s="90"/>
      <c r="K1406" s="90"/>
      <c r="L1406" s="90"/>
      <c r="M1406" s="90"/>
      <c r="N1406" s="90"/>
      <c r="O1406" s="90"/>
      <c r="P1406" s="90"/>
    </row>
    <row r="1407" spans="1:16" ht="13.2">
      <c r="A1407" s="90"/>
      <c r="B1407" s="92"/>
      <c r="C1407" s="90"/>
      <c r="D1407" s="90"/>
      <c r="E1407" s="90"/>
      <c r="F1407" s="90"/>
      <c r="G1407" s="90"/>
      <c r="H1407" s="90"/>
      <c r="I1407" s="90"/>
      <c r="J1407" s="90"/>
      <c r="K1407" s="90"/>
      <c r="L1407" s="90"/>
      <c r="M1407" s="90"/>
      <c r="N1407" s="90"/>
      <c r="O1407" s="90"/>
      <c r="P1407" s="90"/>
    </row>
    <row r="1408" spans="1:16" ht="13.2">
      <c r="A1408" s="90"/>
      <c r="B1408" s="92"/>
      <c r="C1408" s="90"/>
      <c r="D1408" s="90"/>
      <c r="E1408" s="90"/>
      <c r="F1408" s="90"/>
      <c r="G1408" s="90"/>
      <c r="H1408" s="90"/>
      <c r="I1408" s="90"/>
      <c r="J1408" s="90"/>
      <c r="K1408" s="90"/>
      <c r="L1408" s="90"/>
      <c r="M1408" s="90"/>
      <c r="N1408" s="90"/>
      <c r="O1408" s="90"/>
      <c r="P1408" s="90"/>
    </row>
    <row r="1409" spans="1:16" ht="13.2">
      <c r="A1409" s="90"/>
      <c r="B1409" s="92"/>
      <c r="C1409" s="90"/>
      <c r="D1409" s="90"/>
      <c r="E1409" s="90"/>
      <c r="F1409" s="90"/>
      <c r="G1409" s="90"/>
      <c r="H1409" s="90"/>
      <c r="I1409" s="90"/>
      <c r="J1409" s="90"/>
      <c r="K1409" s="90"/>
      <c r="L1409" s="90"/>
      <c r="M1409" s="90"/>
      <c r="N1409" s="90"/>
      <c r="O1409" s="90"/>
      <c r="P1409" s="90"/>
    </row>
    <row r="1410" spans="1:16" ht="13.2">
      <c r="A1410" s="90"/>
      <c r="B1410" s="92"/>
      <c r="C1410" s="90"/>
      <c r="D1410" s="90"/>
      <c r="E1410" s="90"/>
      <c r="F1410" s="90"/>
      <c r="G1410" s="90"/>
      <c r="H1410" s="90"/>
      <c r="I1410" s="90"/>
      <c r="J1410" s="90"/>
      <c r="K1410" s="90"/>
      <c r="L1410" s="90"/>
      <c r="M1410" s="90"/>
      <c r="N1410" s="90"/>
      <c r="O1410" s="90"/>
      <c r="P1410" s="90"/>
    </row>
    <row r="1411" spans="1:16" ht="13.2">
      <c r="A1411" s="90"/>
      <c r="B1411" s="92"/>
      <c r="C1411" s="90"/>
      <c r="D1411" s="90"/>
      <c r="E1411" s="90"/>
      <c r="F1411" s="90"/>
      <c r="G1411" s="90"/>
      <c r="H1411" s="90"/>
      <c r="I1411" s="90"/>
      <c r="J1411" s="90"/>
      <c r="K1411" s="90"/>
      <c r="L1411" s="90"/>
      <c r="M1411" s="90"/>
      <c r="N1411" s="90"/>
      <c r="O1411" s="90"/>
      <c r="P1411" s="90"/>
    </row>
    <row r="1412" spans="1:16" ht="13.2">
      <c r="A1412" s="90"/>
      <c r="B1412" s="92"/>
      <c r="C1412" s="90"/>
      <c r="D1412" s="90"/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</row>
    <row r="1413" spans="1:16" ht="13.2">
      <c r="A1413" s="90"/>
      <c r="B1413" s="92"/>
      <c r="C1413" s="90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</row>
    <row r="1414" spans="1:16" ht="13.2">
      <c r="A1414" s="90"/>
      <c r="B1414" s="92"/>
      <c r="C1414" s="90"/>
      <c r="D1414" s="90"/>
      <c r="E1414" s="90"/>
      <c r="F1414" s="90"/>
      <c r="G1414" s="90"/>
      <c r="H1414" s="90"/>
      <c r="I1414" s="90"/>
      <c r="J1414" s="90"/>
      <c r="K1414" s="90"/>
      <c r="L1414" s="90"/>
      <c r="M1414" s="90"/>
      <c r="N1414" s="90"/>
      <c r="O1414" s="90"/>
      <c r="P1414" s="90"/>
    </row>
    <row r="1415" spans="1:16" ht="13.2">
      <c r="A1415" s="90"/>
      <c r="B1415" s="92"/>
      <c r="C1415" s="90"/>
      <c r="D1415" s="90"/>
      <c r="E1415" s="90"/>
      <c r="F1415" s="90"/>
      <c r="G1415" s="90"/>
      <c r="H1415" s="90"/>
      <c r="I1415" s="90"/>
      <c r="J1415" s="90"/>
      <c r="K1415" s="90"/>
      <c r="L1415" s="90"/>
      <c r="M1415" s="90"/>
      <c r="N1415" s="90"/>
      <c r="O1415" s="90"/>
      <c r="P1415" s="90"/>
    </row>
    <row r="1416" spans="1:16" ht="13.2">
      <c r="A1416" s="90"/>
      <c r="B1416" s="92"/>
      <c r="C1416" s="90"/>
      <c r="D1416" s="90"/>
      <c r="E1416" s="90"/>
      <c r="F1416" s="90"/>
      <c r="G1416" s="90"/>
      <c r="H1416" s="90"/>
      <c r="I1416" s="90"/>
      <c r="J1416" s="90"/>
      <c r="K1416" s="90"/>
      <c r="L1416" s="90"/>
      <c r="M1416" s="90"/>
      <c r="N1416" s="90"/>
      <c r="O1416" s="90"/>
      <c r="P1416" s="90"/>
    </row>
    <row r="1417" spans="1:16" ht="13.2">
      <c r="A1417" s="90"/>
      <c r="B1417" s="92"/>
      <c r="C1417" s="90"/>
      <c r="D1417" s="90"/>
      <c r="E1417" s="90"/>
      <c r="F1417" s="90"/>
      <c r="G1417" s="90"/>
      <c r="H1417" s="90"/>
      <c r="I1417" s="90"/>
      <c r="J1417" s="90"/>
      <c r="K1417" s="90"/>
      <c r="L1417" s="90"/>
      <c r="M1417" s="90"/>
      <c r="N1417" s="90"/>
      <c r="O1417" s="90"/>
      <c r="P1417" s="90"/>
    </row>
    <row r="1418" spans="1:16" ht="13.2">
      <c r="A1418" s="90"/>
      <c r="B1418" s="92"/>
      <c r="C1418" s="90"/>
      <c r="D1418" s="90"/>
      <c r="E1418" s="90"/>
      <c r="F1418" s="90"/>
      <c r="G1418" s="90"/>
      <c r="H1418" s="90"/>
      <c r="I1418" s="90"/>
      <c r="J1418" s="90"/>
      <c r="K1418" s="90"/>
      <c r="L1418" s="90"/>
      <c r="M1418" s="90"/>
      <c r="N1418" s="90"/>
      <c r="O1418" s="90"/>
      <c r="P1418" s="90"/>
    </row>
    <row r="1419" spans="1:16" ht="13.2">
      <c r="A1419" s="90"/>
      <c r="B1419" s="92"/>
      <c r="C1419" s="90"/>
      <c r="D1419" s="90"/>
      <c r="E1419" s="90"/>
      <c r="F1419" s="90"/>
      <c r="G1419" s="90"/>
      <c r="H1419" s="90"/>
      <c r="I1419" s="90"/>
      <c r="J1419" s="90"/>
      <c r="K1419" s="90"/>
      <c r="L1419" s="90"/>
      <c r="M1419" s="90"/>
      <c r="N1419" s="90"/>
      <c r="O1419" s="90"/>
      <c r="P1419" s="90"/>
    </row>
    <row r="1420" spans="1:16" ht="13.2">
      <c r="A1420" s="90"/>
      <c r="B1420" s="92"/>
      <c r="C1420" s="90"/>
      <c r="D1420" s="90"/>
      <c r="E1420" s="90"/>
      <c r="F1420" s="90"/>
      <c r="G1420" s="90"/>
      <c r="H1420" s="90"/>
      <c r="I1420" s="90"/>
      <c r="J1420" s="90"/>
      <c r="K1420" s="90"/>
      <c r="L1420" s="90"/>
      <c r="M1420" s="90"/>
      <c r="N1420" s="90"/>
      <c r="O1420" s="90"/>
      <c r="P1420" s="90"/>
    </row>
    <row r="1421" spans="1:16" ht="13.2">
      <c r="A1421" s="90"/>
      <c r="B1421" s="92"/>
      <c r="C1421" s="90"/>
      <c r="D1421" s="90"/>
      <c r="E1421" s="90"/>
      <c r="F1421" s="90"/>
      <c r="G1421" s="90"/>
      <c r="H1421" s="90"/>
      <c r="I1421" s="90"/>
      <c r="J1421" s="90"/>
      <c r="K1421" s="90"/>
      <c r="L1421" s="90"/>
      <c r="M1421" s="90"/>
      <c r="N1421" s="90"/>
      <c r="O1421" s="90"/>
      <c r="P1421" s="90"/>
    </row>
    <row r="1422" spans="1:16" ht="13.2">
      <c r="A1422" s="90"/>
      <c r="B1422" s="92"/>
      <c r="C1422" s="90"/>
      <c r="D1422" s="90"/>
      <c r="E1422" s="90"/>
      <c r="F1422" s="90"/>
      <c r="G1422" s="90"/>
      <c r="H1422" s="90"/>
      <c r="I1422" s="90"/>
      <c r="J1422" s="90"/>
      <c r="K1422" s="90"/>
      <c r="L1422" s="90"/>
      <c r="M1422" s="90"/>
      <c r="N1422" s="90"/>
      <c r="O1422" s="90"/>
      <c r="P1422" s="90"/>
    </row>
    <row r="1423" spans="1:16" ht="13.2">
      <c r="A1423" s="90"/>
      <c r="B1423" s="92"/>
      <c r="C1423" s="90"/>
      <c r="D1423" s="90"/>
      <c r="E1423" s="90"/>
      <c r="F1423" s="90"/>
      <c r="G1423" s="90"/>
      <c r="H1423" s="90"/>
      <c r="I1423" s="90"/>
      <c r="J1423" s="90"/>
      <c r="K1423" s="90"/>
      <c r="L1423" s="90"/>
      <c r="M1423" s="90"/>
      <c r="N1423" s="90"/>
      <c r="O1423" s="90"/>
      <c r="P1423" s="90"/>
    </row>
    <row r="1424" spans="1:16" ht="13.2">
      <c r="A1424" s="90"/>
      <c r="B1424" s="92"/>
      <c r="C1424" s="90"/>
      <c r="D1424" s="90"/>
      <c r="E1424" s="90"/>
      <c r="F1424" s="90"/>
      <c r="G1424" s="90"/>
      <c r="H1424" s="90"/>
      <c r="I1424" s="90"/>
      <c r="J1424" s="90"/>
      <c r="K1424" s="90"/>
      <c r="L1424" s="90"/>
      <c r="M1424" s="90"/>
      <c r="N1424" s="90"/>
      <c r="O1424" s="90"/>
      <c r="P1424" s="90"/>
    </row>
    <row r="1425" spans="1:16" ht="13.2">
      <c r="A1425" s="90"/>
      <c r="B1425" s="92"/>
      <c r="C1425" s="90"/>
      <c r="D1425" s="90"/>
      <c r="E1425" s="90"/>
      <c r="F1425" s="90"/>
      <c r="G1425" s="90"/>
      <c r="H1425" s="90"/>
      <c r="I1425" s="90"/>
      <c r="J1425" s="90"/>
      <c r="K1425" s="90"/>
      <c r="L1425" s="90"/>
      <c r="M1425" s="90"/>
      <c r="N1425" s="90"/>
      <c r="O1425" s="90"/>
      <c r="P1425" s="90"/>
    </row>
    <row r="1426" spans="1:16" ht="13.2">
      <c r="A1426" s="90"/>
      <c r="B1426" s="92"/>
      <c r="C1426" s="90"/>
      <c r="D1426" s="90"/>
      <c r="E1426" s="90"/>
      <c r="F1426" s="90"/>
      <c r="G1426" s="90"/>
      <c r="H1426" s="90"/>
      <c r="I1426" s="90"/>
      <c r="J1426" s="90"/>
      <c r="K1426" s="90"/>
      <c r="L1426" s="90"/>
      <c r="M1426" s="90"/>
      <c r="N1426" s="90"/>
      <c r="O1426" s="90"/>
      <c r="P1426" s="90"/>
    </row>
    <row r="1427" spans="1:16" ht="13.2">
      <c r="A1427" s="90"/>
      <c r="B1427" s="92"/>
      <c r="C1427" s="90"/>
      <c r="D1427" s="90"/>
      <c r="E1427" s="90"/>
      <c r="F1427" s="90"/>
      <c r="G1427" s="90"/>
      <c r="H1427" s="90"/>
      <c r="I1427" s="90"/>
      <c r="J1427" s="90"/>
      <c r="K1427" s="90"/>
      <c r="L1427" s="90"/>
      <c r="M1427" s="90"/>
      <c r="N1427" s="90"/>
      <c r="O1427" s="90"/>
      <c r="P1427" s="90"/>
    </row>
    <row r="1428" spans="1:16" ht="13.2">
      <c r="A1428" s="90"/>
      <c r="B1428" s="92"/>
      <c r="C1428" s="90"/>
      <c r="D1428" s="90"/>
      <c r="E1428" s="90"/>
      <c r="F1428" s="90"/>
      <c r="G1428" s="90"/>
      <c r="H1428" s="90"/>
      <c r="I1428" s="90"/>
      <c r="J1428" s="90"/>
      <c r="K1428" s="90"/>
      <c r="L1428" s="90"/>
      <c r="M1428" s="90"/>
      <c r="N1428" s="90"/>
      <c r="O1428" s="90"/>
      <c r="P1428" s="90"/>
    </row>
    <row r="1429" spans="1:16" ht="13.2">
      <c r="A1429" s="90"/>
      <c r="B1429" s="92"/>
      <c r="C1429" s="90"/>
      <c r="D1429" s="90"/>
      <c r="E1429" s="90"/>
      <c r="F1429" s="90"/>
      <c r="G1429" s="90"/>
      <c r="H1429" s="90"/>
      <c r="I1429" s="90"/>
      <c r="J1429" s="90"/>
      <c r="K1429" s="90"/>
      <c r="L1429" s="90"/>
      <c r="M1429" s="90"/>
      <c r="N1429" s="90"/>
      <c r="O1429" s="90"/>
      <c r="P1429" s="90"/>
    </row>
    <row r="1430" spans="1:16" ht="13.2">
      <c r="A1430" s="90"/>
      <c r="B1430" s="92"/>
      <c r="C1430" s="90"/>
      <c r="D1430" s="90"/>
      <c r="E1430" s="90"/>
      <c r="F1430" s="90"/>
      <c r="G1430" s="90"/>
      <c r="H1430" s="90"/>
      <c r="I1430" s="90"/>
      <c r="J1430" s="90"/>
      <c r="K1430" s="90"/>
      <c r="L1430" s="90"/>
      <c r="M1430" s="90"/>
      <c r="N1430" s="90"/>
      <c r="O1430" s="90"/>
      <c r="P1430" s="90"/>
    </row>
    <row r="1431" spans="1:16" ht="13.2">
      <c r="A1431" s="90"/>
      <c r="B1431" s="92"/>
      <c r="C1431" s="90"/>
      <c r="D1431" s="90"/>
      <c r="E1431" s="90"/>
      <c r="F1431" s="90"/>
      <c r="G1431" s="90"/>
      <c r="H1431" s="90"/>
      <c r="I1431" s="90"/>
      <c r="J1431" s="90"/>
      <c r="K1431" s="90"/>
      <c r="L1431" s="90"/>
      <c r="M1431" s="90"/>
      <c r="N1431" s="90"/>
      <c r="O1431" s="90"/>
      <c r="P1431" s="90"/>
    </row>
    <row r="1432" spans="1:16" ht="13.2">
      <c r="A1432" s="90"/>
      <c r="B1432" s="92"/>
      <c r="C1432" s="90"/>
      <c r="D1432" s="90"/>
      <c r="E1432" s="90"/>
      <c r="F1432" s="90"/>
      <c r="G1432" s="90"/>
      <c r="H1432" s="90"/>
      <c r="I1432" s="90"/>
      <c r="J1432" s="90"/>
      <c r="K1432" s="90"/>
      <c r="L1432" s="90"/>
      <c r="M1432" s="90"/>
      <c r="N1432" s="90"/>
      <c r="O1432" s="90"/>
      <c r="P1432" s="90"/>
    </row>
    <row r="1433" spans="1:16" ht="13.2">
      <c r="A1433" s="90"/>
      <c r="B1433" s="92"/>
      <c r="C1433" s="90"/>
      <c r="D1433" s="90"/>
      <c r="E1433" s="90"/>
      <c r="F1433" s="90"/>
      <c r="G1433" s="90"/>
      <c r="H1433" s="90"/>
      <c r="I1433" s="90"/>
      <c r="J1433" s="90"/>
      <c r="K1433" s="90"/>
      <c r="L1433" s="90"/>
      <c r="M1433" s="90"/>
      <c r="N1433" s="90"/>
      <c r="O1433" s="90"/>
      <c r="P1433" s="90"/>
    </row>
    <row r="1434" spans="1:16" ht="13.2">
      <c r="A1434" s="90"/>
      <c r="B1434" s="92"/>
      <c r="C1434" s="90"/>
      <c r="D1434" s="90"/>
      <c r="E1434" s="90"/>
      <c r="F1434" s="90"/>
      <c r="G1434" s="90"/>
      <c r="H1434" s="90"/>
      <c r="I1434" s="90"/>
      <c r="J1434" s="90"/>
      <c r="K1434" s="90"/>
      <c r="L1434" s="90"/>
      <c r="M1434" s="90"/>
      <c r="N1434" s="90"/>
      <c r="O1434" s="90"/>
      <c r="P1434" s="90"/>
    </row>
    <row r="1435" spans="1:16" ht="13.2">
      <c r="A1435" s="90"/>
      <c r="B1435" s="92"/>
      <c r="C1435" s="90"/>
      <c r="D1435" s="90"/>
      <c r="E1435" s="90"/>
      <c r="F1435" s="90"/>
      <c r="G1435" s="90"/>
      <c r="H1435" s="90"/>
      <c r="I1435" s="90"/>
      <c r="J1435" s="90"/>
      <c r="K1435" s="90"/>
      <c r="L1435" s="90"/>
      <c r="M1435" s="90"/>
      <c r="N1435" s="90"/>
      <c r="O1435" s="90"/>
      <c r="P1435" s="90"/>
    </row>
    <row r="1436" spans="1:16" ht="13.2">
      <c r="A1436" s="90"/>
      <c r="B1436" s="92"/>
      <c r="C1436" s="90"/>
      <c r="D1436" s="90"/>
      <c r="E1436" s="90"/>
      <c r="F1436" s="90"/>
      <c r="G1436" s="90"/>
      <c r="H1436" s="90"/>
      <c r="I1436" s="90"/>
      <c r="J1436" s="90"/>
      <c r="K1436" s="90"/>
      <c r="L1436" s="90"/>
      <c r="M1436" s="90"/>
      <c r="N1436" s="90"/>
      <c r="O1436" s="90"/>
      <c r="P1436" s="90"/>
    </row>
    <row r="1437" spans="1:16" ht="13.2">
      <c r="A1437" s="90"/>
      <c r="B1437" s="92"/>
      <c r="C1437" s="90"/>
      <c r="D1437" s="90"/>
      <c r="E1437" s="90"/>
      <c r="F1437" s="90"/>
      <c r="G1437" s="90"/>
      <c r="H1437" s="90"/>
      <c r="I1437" s="90"/>
      <c r="J1437" s="90"/>
      <c r="K1437" s="90"/>
      <c r="L1437" s="90"/>
      <c r="M1437" s="90"/>
      <c r="N1437" s="90"/>
      <c r="O1437" s="90"/>
      <c r="P1437" s="90"/>
    </row>
    <row r="1438" spans="1:16" ht="13.2">
      <c r="A1438" s="90"/>
      <c r="B1438" s="92"/>
      <c r="C1438" s="90"/>
      <c r="D1438" s="90"/>
      <c r="E1438" s="90"/>
      <c r="F1438" s="90"/>
      <c r="G1438" s="90"/>
      <c r="H1438" s="90"/>
      <c r="I1438" s="90"/>
      <c r="J1438" s="90"/>
      <c r="K1438" s="90"/>
      <c r="L1438" s="90"/>
      <c r="M1438" s="90"/>
      <c r="N1438" s="90"/>
      <c r="O1438" s="90"/>
      <c r="P1438" s="90"/>
    </row>
    <row r="1439" spans="1:16" ht="13.2">
      <c r="A1439" s="90"/>
      <c r="B1439" s="92"/>
      <c r="C1439" s="90"/>
      <c r="D1439" s="90"/>
      <c r="E1439" s="90"/>
      <c r="F1439" s="90"/>
      <c r="G1439" s="90"/>
      <c r="H1439" s="90"/>
      <c r="I1439" s="90"/>
      <c r="J1439" s="90"/>
      <c r="K1439" s="90"/>
      <c r="L1439" s="90"/>
      <c r="M1439" s="90"/>
      <c r="N1439" s="90"/>
      <c r="O1439" s="90"/>
      <c r="P1439" s="90"/>
    </row>
    <row r="1440" spans="1:16" ht="13.2">
      <c r="A1440" s="90"/>
      <c r="B1440" s="92"/>
      <c r="C1440" s="90"/>
      <c r="D1440" s="90"/>
      <c r="E1440" s="90"/>
      <c r="F1440" s="90"/>
      <c r="G1440" s="90"/>
      <c r="H1440" s="90"/>
      <c r="I1440" s="90"/>
      <c r="J1440" s="90"/>
      <c r="K1440" s="90"/>
      <c r="L1440" s="90"/>
      <c r="M1440" s="90"/>
      <c r="N1440" s="90"/>
      <c r="O1440" s="90"/>
      <c r="P1440" s="90"/>
    </row>
    <row r="1441" spans="1:16" ht="13.2">
      <c r="A1441" s="90"/>
      <c r="B1441" s="92"/>
      <c r="C1441" s="90"/>
      <c r="D1441" s="90"/>
      <c r="E1441" s="90"/>
      <c r="F1441" s="90"/>
      <c r="G1441" s="90"/>
      <c r="H1441" s="90"/>
      <c r="I1441" s="90"/>
      <c r="J1441" s="90"/>
      <c r="K1441" s="90"/>
      <c r="L1441" s="90"/>
      <c r="M1441" s="90"/>
      <c r="N1441" s="90"/>
      <c r="O1441" s="90"/>
      <c r="P1441" s="90"/>
    </row>
    <row r="1442" spans="1:16" ht="13.2">
      <c r="A1442" s="90"/>
      <c r="B1442" s="92"/>
      <c r="C1442" s="90"/>
      <c r="D1442" s="90"/>
      <c r="E1442" s="90"/>
      <c r="F1442" s="90"/>
      <c r="G1442" s="90"/>
      <c r="H1442" s="90"/>
      <c r="I1442" s="90"/>
      <c r="J1442" s="90"/>
      <c r="K1442" s="90"/>
      <c r="L1442" s="90"/>
      <c r="M1442" s="90"/>
      <c r="N1442" s="90"/>
      <c r="O1442" s="90"/>
      <c r="P1442" s="90"/>
    </row>
    <row r="1443" spans="1:16" ht="13.2">
      <c r="A1443" s="90"/>
      <c r="B1443" s="92"/>
      <c r="C1443" s="90"/>
      <c r="D1443" s="90"/>
      <c r="E1443" s="90"/>
      <c r="F1443" s="90"/>
      <c r="G1443" s="90"/>
      <c r="H1443" s="90"/>
      <c r="I1443" s="90"/>
      <c r="J1443" s="90"/>
      <c r="K1443" s="90"/>
      <c r="L1443" s="90"/>
      <c r="M1443" s="90"/>
      <c r="N1443" s="90"/>
      <c r="O1443" s="90"/>
      <c r="P1443" s="90"/>
    </row>
    <row r="1444" spans="1:16" ht="13.2">
      <c r="A1444" s="90"/>
      <c r="B1444" s="92"/>
      <c r="C1444" s="90"/>
      <c r="D1444" s="90"/>
      <c r="E1444" s="90"/>
      <c r="F1444" s="90"/>
      <c r="G1444" s="90"/>
      <c r="H1444" s="90"/>
      <c r="I1444" s="90"/>
      <c r="J1444" s="90"/>
      <c r="K1444" s="90"/>
      <c r="L1444" s="90"/>
      <c r="M1444" s="90"/>
      <c r="N1444" s="90"/>
      <c r="O1444" s="90"/>
      <c r="P1444" s="90"/>
    </row>
    <row r="1445" spans="1:16" ht="13.2">
      <c r="A1445" s="90"/>
      <c r="B1445" s="92"/>
      <c r="C1445" s="90"/>
      <c r="D1445" s="90"/>
      <c r="E1445" s="90"/>
      <c r="F1445" s="90"/>
      <c r="G1445" s="90"/>
      <c r="H1445" s="90"/>
      <c r="I1445" s="90"/>
      <c r="J1445" s="90"/>
      <c r="K1445" s="90"/>
      <c r="L1445" s="90"/>
      <c r="M1445" s="90"/>
      <c r="N1445" s="90"/>
      <c r="O1445" s="90"/>
      <c r="P1445" s="90"/>
    </row>
    <row r="1446" spans="1:16" ht="13.2">
      <c r="A1446" s="90"/>
      <c r="B1446" s="92"/>
      <c r="C1446" s="90"/>
      <c r="D1446" s="90"/>
      <c r="E1446" s="90"/>
      <c r="F1446" s="90"/>
      <c r="G1446" s="90"/>
      <c r="H1446" s="90"/>
      <c r="I1446" s="90"/>
      <c r="J1446" s="90"/>
      <c r="K1446" s="90"/>
      <c r="L1446" s="90"/>
      <c r="M1446" s="90"/>
      <c r="N1446" s="90"/>
      <c r="O1446" s="90"/>
      <c r="P1446" s="90"/>
    </row>
    <row r="1447" spans="1:16" ht="13.2">
      <c r="A1447" s="90"/>
      <c r="B1447" s="92"/>
      <c r="C1447" s="90"/>
      <c r="D1447" s="90"/>
      <c r="E1447" s="90"/>
      <c r="F1447" s="90"/>
      <c r="G1447" s="90"/>
      <c r="H1447" s="90"/>
      <c r="I1447" s="90"/>
      <c r="J1447" s="90"/>
      <c r="K1447" s="90"/>
      <c r="L1447" s="90"/>
      <c r="M1447" s="90"/>
      <c r="N1447" s="90"/>
      <c r="O1447" s="90"/>
      <c r="P1447" s="90"/>
    </row>
    <row r="1448" spans="1:16" ht="13.2">
      <c r="A1448" s="90"/>
      <c r="B1448" s="92"/>
      <c r="C1448" s="90"/>
      <c r="D1448" s="90"/>
      <c r="E1448" s="90"/>
      <c r="F1448" s="90"/>
      <c r="G1448" s="90"/>
      <c r="H1448" s="90"/>
      <c r="I1448" s="90"/>
      <c r="J1448" s="90"/>
      <c r="K1448" s="90"/>
      <c r="L1448" s="90"/>
      <c r="M1448" s="90"/>
      <c r="N1448" s="90"/>
      <c r="O1448" s="90"/>
      <c r="P1448" s="90"/>
    </row>
    <row r="1449" spans="1:16" ht="13.2">
      <c r="A1449" s="90"/>
      <c r="B1449" s="92"/>
      <c r="C1449" s="90"/>
      <c r="D1449" s="90"/>
      <c r="E1449" s="90"/>
      <c r="F1449" s="90"/>
      <c r="G1449" s="90"/>
      <c r="H1449" s="90"/>
      <c r="I1449" s="90"/>
      <c r="J1449" s="90"/>
      <c r="K1449" s="90"/>
      <c r="L1449" s="90"/>
      <c r="M1449" s="90"/>
      <c r="N1449" s="90"/>
      <c r="O1449" s="90"/>
      <c r="P1449" s="90"/>
    </row>
    <row r="1450" spans="1:16" ht="13.2">
      <c r="A1450" s="90"/>
      <c r="B1450" s="92"/>
      <c r="C1450" s="90"/>
      <c r="D1450" s="90"/>
      <c r="E1450" s="90"/>
      <c r="F1450" s="90"/>
      <c r="G1450" s="90"/>
      <c r="H1450" s="90"/>
      <c r="I1450" s="90"/>
      <c r="J1450" s="90"/>
      <c r="K1450" s="90"/>
      <c r="L1450" s="90"/>
      <c r="M1450" s="90"/>
      <c r="N1450" s="90"/>
      <c r="O1450" s="90"/>
      <c r="P1450" s="90"/>
    </row>
    <row r="1451" spans="1:16" ht="13.2">
      <c r="A1451" s="90"/>
      <c r="B1451" s="92"/>
      <c r="C1451" s="90"/>
      <c r="D1451" s="90"/>
      <c r="E1451" s="90"/>
      <c r="F1451" s="90"/>
      <c r="G1451" s="90"/>
      <c r="H1451" s="90"/>
      <c r="I1451" s="90"/>
      <c r="J1451" s="90"/>
      <c r="K1451" s="90"/>
      <c r="L1451" s="90"/>
      <c r="M1451" s="90"/>
      <c r="N1451" s="90"/>
      <c r="O1451" s="90"/>
      <c r="P1451" s="90"/>
    </row>
    <row r="1452" spans="1:16" ht="13.2">
      <c r="A1452" s="90"/>
      <c r="B1452" s="92"/>
      <c r="C1452" s="90"/>
      <c r="D1452" s="90"/>
      <c r="E1452" s="90"/>
      <c r="F1452" s="90"/>
      <c r="G1452" s="90"/>
      <c r="H1452" s="90"/>
      <c r="I1452" s="90"/>
      <c r="J1452" s="90"/>
      <c r="K1452" s="90"/>
      <c r="L1452" s="90"/>
      <c r="M1452" s="90"/>
      <c r="N1452" s="90"/>
      <c r="O1452" s="90"/>
      <c r="P1452" s="90"/>
    </row>
    <row r="1453" spans="1:16" ht="13.2">
      <c r="A1453" s="90"/>
      <c r="B1453" s="92"/>
      <c r="C1453" s="90"/>
      <c r="D1453" s="90"/>
      <c r="E1453" s="90"/>
      <c r="F1453" s="90"/>
      <c r="G1453" s="90"/>
      <c r="H1453" s="90"/>
      <c r="I1453" s="90"/>
      <c r="J1453" s="90"/>
      <c r="K1453" s="90"/>
      <c r="L1453" s="90"/>
      <c r="M1453" s="90"/>
      <c r="N1453" s="90"/>
      <c r="O1453" s="90"/>
      <c r="P1453" s="90"/>
    </row>
    <row r="1454" spans="1:16" ht="13.2">
      <c r="A1454" s="90"/>
      <c r="B1454" s="92"/>
      <c r="C1454" s="90"/>
      <c r="D1454" s="90"/>
      <c r="E1454" s="90"/>
      <c r="F1454" s="90"/>
      <c r="G1454" s="90"/>
      <c r="H1454" s="90"/>
      <c r="I1454" s="90"/>
      <c r="J1454" s="90"/>
      <c r="K1454" s="90"/>
      <c r="L1454" s="90"/>
      <c r="M1454" s="90"/>
      <c r="N1454" s="90"/>
      <c r="O1454" s="90"/>
      <c r="P1454" s="90"/>
    </row>
    <row r="1455" spans="1:16" ht="13.2">
      <c r="A1455" s="90"/>
      <c r="B1455" s="92"/>
      <c r="C1455" s="90"/>
      <c r="D1455" s="90"/>
      <c r="E1455" s="90"/>
      <c r="F1455" s="90"/>
      <c r="G1455" s="90"/>
      <c r="H1455" s="90"/>
      <c r="I1455" s="90"/>
      <c r="J1455" s="90"/>
      <c r="K1455" s="90"/>
      <c r="L1455" s="90"/>
      <c r="M1455" s="90"/>
      <c r="N1455" s="90"/>
      <c r="O1455" s="90"/>
      <c r="P1455" s="90"/>
    </row>
    <row r="1456" spans="1:16" ht="13.2">
      <c r="A1456" s="90"/>
      <c r="B1456" s="92"/>
      <c r="C1456" s="90"/>
      <c r="D1456" s="90"/>
      <c r="E1456" s="90"/>
      <c r="F1456" s="90"/>
      <c r="G1456" s="90"/>
      <c r="H1456" s="90"/>
      <c r="I1456" s="90"/>
      <c r="J1456" s="90"/>
      <c r="K1456" s="90"/>
      <c r="L1456" s="90"/>
      <c r="M1456" s="90"/>
      <c r="N1456" s="90"/>
      <c r="O1456" s="90"/>
      <c r="P1456" s="90"/>
    </row>
    <row r="1457" spans="1:16" ht="13.2">
      <c r="A1457" s="90"/>
      <c r="B1457" s="92"/>
      <c r="C1457" s="90"/>
      <c r="D1457" s="90"/>
      <c r="E1457" s="90"/>
      <c r="F1457" s="90"/>
      <c r="G1457" s="90"/>
      <c r="H1457" s="90"/>
      <c r="I1457" s="90"/>
      <c r="J1457" s="90"/>
      <c r="K1457" s="90"/>
      <c r="L1457" s="90"/>
      <c r="M1457" s="90"/>
      <c r="N1457" s="90"/>
      <c r="O1457" s="90"/>
      <c r="P1457" s="90"/>
    </row>
    <row r="1458" spans="1:16" ht="13.2">
      <c r="A1458" s="90"/>
      <c r="B1458" s="92"/>
      <c r="C1458" s="90"/>
      <c r="D1458" s="90"/>
      <c r="E1458" s="90"/>
      <c r="F1458" s="90"/>
      <c r="G1458" s="90"/>
      <c r="H1458" s="90"/>
      <c r="I1458" s="90"/>
      <c r="J1458" s="90"/>
      <c r="K1458" s="90"/>
      <c r="L1458" s="90"/>
      <c r="M1458" s="90"/>
      <c r="N1458" s="90"/>
      <c r="O1458" s="90"/>
      <c r="P1458" s="90"/>
    </row>
    <row r="1459" spans="1:16" ht="13.2">
      <c r="A1459" s="90"/>
      <c r="B1459" s="92"/>
      <c r="C1459" s="90"/>
      <c r="D1459" s="90"/>
      <c r="E1459" s="90"/>
      <c r="F1459" s="90"/>
      <c r="G1459" s="90"/>
      <c r="H1459" s="90"/>
      <c r="I1459" s="90"/>
      <c r="J1459" s="90"/>
      <c r="K1459" s="90"/>
      <c r="L1459" s="90"/>
      <c r="M1459" s="90"/>
      <c r="N1459" s="90"/>
      <c r="O1459" s="90"/>
      <c r="P1459" s="90"/>
    </row>
    <row r="1460" spans="1:16" ht="13.2">
      <c r="A1460" s="90"/>
      <c r="B1460" s="92"/>
      <c r="C1460" s="90"/>
      <c r="D1460" s="90"/>
      <c r="E1460" s="90"/>
      <c r="F1460" s="90"/>
      <c r="G1460" s="90"/>
      <c r="H1460" s="90"/>
      <c r="I1460" s="90"/>
      <c r="J1460" s="90"/>
      <c r="K1460" s="90"/>
      <c r="L1460" s="90"/>
      <c r="M1460" s="90"/>
      <c r="N1460" s="90"/>
      <c r="O1460" s="90"/>
      <c r="P1460" s="90"/>
    </row>
    <row r="1461" spans="1:16" ht="13.2">
      <c r="A1461" s="90"/>
      <c r="B1461" s="92"/>
      <c r="C1461" s="90"/>
      <c r="D1461" s="90"/>
      <c r="E1461" s="90"/>
      <c r="F1461" s="90"/>
      <c r="G1461" s="90"/>
      <c r="H1461" s="90"/>
      <c r="I1461" s="90"/>
      <c r="J1461" s="90"/>
      <c r="K1461" s="90"/>
      <c r="L1461" s="90"/>
      <c r="M1461" s="90"/>
      <c r="N1461" s="90"/>
      <c r="O1461" s="90"/>
      <c r="P1461" s="90"/>
    </row>
    <row r="1462" spans="1:16" ht="13.2">
      <c r="A1462" s="90"/>
      <c r="B1462" s="92"/>
      <c r="C1462" s="90"/>
      <c r="D1462" s="90"/>
      <c r="E1462" s="90"/>
      <c r="F1462" s="90"/>
      <c r="G1462" s="90"/>
      <c r="H1462" s="90"/>
      <c r="I1462" s="90"/>
      <c r="J1462" s="90"/>
      <c r="K1462" s="90"/>
      <c r="L1462" s="90"/>
      <c r="M1462" s="90"/>
      <c r="N1462" s="90"/>
      <c r="O1462" s="90"/>
      <c r="P1462" s="90"/>
    </row>
    <row r="1463" spans="1:16" ht="13.2">
      <c r="A1463" s="90"/>
      <c r="B1463" s="92"/>
      <c r="C1463" s="90"/>
      <c r="D1463" s="90"/>
      <c r="E1463" s="90"/>
      <c r="F1463" s="90"/>
      <c r="G1463" s="90"/>
      <c r="H1463" s="90"/>
      <c r="I1463" s="90"/>
      <c r="J1463" s="90"/>
      <c r="K1463" s="90"/>
      <c r="L1463" s="90"/>
      <c r="M1463" s="90"/>
      <c r="N1463" s="90"/>
      <c r="O1463" s="90"/>
      <c r="P1463" s="90"/>
    </row>
    <row r="1464" spans="1:16" ht="13.2">
      <c r="A1464" s="90"/>
      <c r="B1464" s="92"/>
      <c r="C1464" s="90"/>
      <c r="D1464" s="90"/>
      <c r="E1464" s="90"/>
      <c r="F1464" s="90"/>
      <c r="G1464" s="90"/>
      <c r="H1464" s="90"/>
      <c r="I1464" s="90"/>
      <c r="J1464" s="90"/>
      <c r="K1464" s="90"/>
      <c r="L1464" s="90"/>
      <c r="M1464" s="90"/>
      <c r="N1464" s="90"/>
      <c r="O1464" s="90"/>
      <c r="P1464" s="90"/>
    </row>
    <row r="1465" spans="1:16" ht="13.2">
      <c r="A1465" s="90"/>
      <c r="B1465" s="92"/>
      <c r="C1465" s="90"/>
      <c r="D1465" s="90"/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</row>
    <row r="1466" spans="1:16" ht="13.2">
      <c r="A1466" s="90"/>
      <c r="B1466" s="92"/>
      <c r="C1466" s="90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</row>
    <row r="1467" spans="1:16" ht="13.2">
      <c r="A1467" s="90"/>
      <c r="B1467" s="92"/>
      <c r="C1467" s="90"/>
      <c r="D1467" s="90"/>
      <c r="E1467" s="90"/>
      <c r="F1467" s="90"/>
      <c r="G1467" s="90"/>
      <c r="H1467" s="90"/>
      <c r="I1467" s="90"/>
      <c r="J1467" s="90"/>
      <c r="K1467" s="90"/>
      <c r="L1467" s="90"/>
      <c r="M1467" s="90"/>
      <c r="N1467" s="90"/>
      <c r="O1467" s="90"/>
      <c r="P1467" s="90"/>
    </row>
    <row r="1468" spans="1:16" ht="13.2">
      <c r="A1468" s="90"/>
      <c r="B1468" s="92"/>
      <c r="C1468" s="90"/>
      <c r="D1468" s="90"/>
      <c r="E1468" s="90"/>
      <c r="F1468" s="90"/>
      <c r="G1468" s="90"/>
      <c r="H1468" s="90"/>
      <c r="I1468" s="90"/>
      <c r="J1468" s="90"/>
      <c r="K1468" s="90"/>
      <c r="L1468" s="90"/>
      <c r="M1468" s="90"/>
      <c r="N1468" s="90"/>
      <c r="O1468" s="90"/>
      <c r="P1468" s="90"/>
    </row>
    <row r="1469" spans="1:16" ht="13.2">
      <c r="A1469" s="90"/>
      <c r="B1469" s="92"/>
      <c r="C1469" s="90"/>
      <c r="D1469" s="90"/>
      <c r="E1469" s="90"/>
      <c r="F1469" s="90"/>
      <c r="G1469" s="90"/>
      <c r="H1469" s="90"/>
      <c r="I1469" s="90"/>
      <c r="J1469" s="90"/>
      <c r="K1469" s="90"/>
      <c r="L1469" s="90"/>
      <c r="M1469" s="90"/>
      <c r="N1469" s="90"/>
      <c r="O1469" s="90"/>
      <c r="P1469" s="90"/>
    </row>
    <row r="1470" spans="1:16" ht="13.2">
      <c r="A1470" s="90"/>
      <c r="B1470" s="92"/>
      <c r="C1470" s="90"/>
      <c r="D1470" s="90"/>
      <c r="E1470" s="90"/>
      <c r="F1470" s="90"/>
      <c r="G1470" s="90"/>
      <c r="H1470" s="90"/>
      <c r="I1470" s="90"/>
      <c r="J1470" s="90"/>
      <c r="K1470" s="90"/>
      <c r="L1470" s="90"/>
      <c r="M1470" s="90"/>
      <c r="N1470" s="90"/>
      <c r="O1470" s="90"/>
      <c r="P1470" s="90"/>
    </row>
    <row r="1471" spans="1:16" ht="13.2">
      <c r="A1471" s="90"/>
      <c r="B1471" s="92"/>
      <c r="C1471" s="90"/>
      <c r="D1471" s="90"/>
      <c r="E1471" s="90"/>
      <c r="F1471" s="90"/>
      <c r="G1471" s="90"/>
      <c r="H1471" s="90"/>
      <c r="I1471" s="90"/>
      <c r="J1471" s="90"/>
      <c r="K1471" s="90"/>
      <c r="L1471" s="90"/>
      <c r="M1471" s="90"/>
      <c r="N1471" s="90"/>
      <c r="O1471" s="90"/>
      <c r="P1471" s="90"/>
    </row>
    <row r="1472" spans="1:16" ht="13.2">
      <c r="A1472" s="90"/>
      <c r="B1472" s="92"/>
      <c r="C1472" s="90"/>
      <c r="D1472" s="90"/>
      <c r="E1472" s="90"/>
      <c r="F1472" s="90"/>
      <c r="G1472" s="90"/>
      <c r="H1472" s="90"/>
      <c r="I1472" s="90"/>
      <c r="J1472" s="90"/>
      <c r="K1472" s="90"/>
      <c r="L1472" s="90"/>
      <c r="M1472" s="90"/>
      <c r="N1472" s="90"/>
      <c r="O1472" s="90"/>
      <c r="P1472" s="90"/>
    </row>
    <row r="1473" spans="1:16" ht="13.2">
      <c r="A1473" s="90"/>
      <c r="B1473" s="92"/>
      <c r="C1473" s="90"/>
      <c r="D1473" s="90"/>
      <c r="E1473" s="90"/>
      <c r="F1473" s="90"/>
      <c r="G1473" s="90"/>
      <c r="H1473" s="90"/>
      <c r="I1473" s="90"/>
      <c r="J1473" s="90"/>
      <c r="K1473" s="90"/>
      <c r="L1473" s="90"/>
      <c r="M1473" s="90"/>
      <c r="N1473" s="90"/>
      <c r="O1473" s="90"/>
      <c r="P1473" s="90"/>
    </row>
    <row r="1474" spans="1:16" ht="13.2">
      <c r="A1474" s="90"/>
      <c r="B1474" s="92"/>
      <c r="C1474" s="90"/>
      <c r="D1474" s="90"/>
      <c r="E1474" s="90"/>
      <c r="F1474" s="90"/>
      <c r="G1474" s="90"/>
      <c r="H1474" s="90"/>
      <c r="I1474" s="90"/>
      <c r="J1474" s="90"/>
      <c r="K1474" s="90"/>
      <c r="L1474" s="90"/>
      <c r="M1474" s="90"/>
      <c r="N1474" s="90"/>
      <c r="O1474" s="90"/>
      <c r="P1474" s="90"/>
    </row>
    <row r="1475" spans="1:16" ht="13.2">
      <c r="A1475" s="90"/>
      <c r="B1475" s="92"/>
      <c r="C1475" s="90"/>
      <c r="D1475" s="90"/>
      <c r="E1475" s="90"/>
      <c r="F1475" s="90"/>
      <c r="G1475" s="90"/>
      <c r="H1475" s="90"/>
      <c r="I1475" s="90"/>
      <c r="J1475" s="90"/>
      <c r="K1475" s="90"/>
      <c r="L1475" s="90"/>
      <c r="M1475" s="90"/>
      <c r="N1475" s="90"/>
      <c r="O1475" s="90"/>
      <c r="P1475" s="90"/>
    </row>
    <row r="1476" spans="1:16" ht="13.2">
      <c r="A1476" s="90"/>
      <c r="B1476" s="92"/>
      <c r="C1476" s="90"/>
      <c r="D1476" s="90"/>
      <c r="E1476" s="90"/>
      <c r="F1476" s="90"/>
      <c r="G1476" s="90"/>
      <c r="H1476" s="90"/>
      <c r="I1476" s="90"/>
      <c r="J1476" s="90"/>
      <c r="K1476" s="90"/>
      <c r="L1476" s="90"/>
      <c r="M1476" s="90"/>
      <c r="N1476" s="90"/>
      <c r="O1476" s="90"/>
      <c r="P1476" s="90"/>
    </row>
    <row r="1477" spans="1:16" ht="13.2">
      <c r="A1477" s="90"/>
      <c r="B1477" s="92"/>
      <c r="C1477" s="90"/>
      <c r="D1477" s="90"/>
      <c r="E1477" s="90"/>
      <c r="F1477" s="90"/>
      <c r="G1477" s="90"/>
      <c r="H1477" s="90"/>
      <c r="I1477" s="90"/>
      <c r="J1477" s="90"/>
      <c r="K1477" s="90"/>
      <c r="L1477" s="90"/>
      <c r="M1477" s="90"/>
      <c r="N1477" s="90"/>
      <c r="O1477" s="90"/>
      <c r="P1477" s="90"/>
    </row>
    <row r="1478" spans="1:16" ht="13.2">
      <c r="A1478" s="90"/>
      <c r="B1478" s="92"/>
      <c r="C1478" s="90"/>
      <c r="D1478" s="90"/>
      <c r="E1478" s="90"/>
      <c r="F1478" s="90"/>
      <c r="G1478" s="90"/>
      <c r="H1478" s="90"/>
      <c r="I1478" s="90"/>
      <c r="J1478" s="90"/>
      <c r="K1478" s="90"/>
      <c r="L1478" s="90"/>
      <c r="M1478" s="90"/>
      <c r="N1478" s="90"/>
      <c r="O1478" s="90"/>
      <c r="P1478" s="90"/>
    </row>
    <row r="1479" spans="1:16" ht="13.2">
      <c r="A1479" s="90"/>
      <c r="B1479" s="92"/>
      <c r="C1479" s="90"/>
      <c r="D1479" s="90"/>
      <c r="E1479" s="90"/>
      <c r="F1479" s="90"/>
      <c r="G1479" s="90"/>
      <c r="H1479" s="90"/>
      <c r="I1479" s="90"/>
      <c r="J1479" s="90"/>
      <c r="K1479" s="90"/>
      <c r="L1479" s="90"/>
      <c r="M1479" s="90"/>
      <c r="N1479" s="90"/>
      <c r="O1479" s="90"/>
      <c r="P1479" s="90"/>
    </row>
    <row r="1480" spans="1:16" ht="13.2">
      <c r="A1480" s="90"/>
      <c r="B1480" s="92"/>
      <c r="C1480" s="90"/>
      <c r="D1480" s="90"/>
      <c r="E1480" s="90"/>
      <c r="F1480" s="90"/>
      <c r="G1480" s="90"/>
      <c r="H1480" s="90"/>
      <c r="I1480" s="90"/>
      <c r="J1480" s="90"/>
      <c r="K1480" s="90"/>
      <c r="L1480" s="90"/>
      <c r="M1480" s="90"/>
      <c r="N1480" s="90"/>
      <c r="O1480" s="90"/>
      <c r="P1480" s="90"/>
    </row>
    <row r="1481" spans="1:16" ht="13.2">
      <c r="A1481" s="90"/>
      <c r="B1481" s="92"/>
      <c r="C1481" s="90"/>
      <c r="D1481" s="90"/>
      <c r="E1481" s="90"/>
      <c r="F1481" s="90"/>
      <c r="G1481" s="90"/>
      <c r="H1481" s="90"/>
      <c r="I1481" s="90"/>
      <c r="J1481" s="90"/>
      <c r="K1481" s="90"/>
      <c r="L1481" s="90"/>
      <c r="M1481" s="90"/>
      <c r="N1481" s="90"/>
      <c r="O1481" s="90"/>
      <c r="P1481" s="90"/>
    </row>
    <row r="1482" spans="1:16" ht="13.2">
      <c r="A1482" s="90"/>
      <c r="B1482" s="92"/>
      <c r="C1482" s="90"/>
      <c r="D1482" s="90"/>
      <c r="E1482" s="90"/>
      <c r="F1482" s="90"/>
      <c r="G1482" s="90"/>
      <c r="H1482" s="90"/>
      <c r="I1482" s="90"/>
      <c r="J1482" s="90"/>
      <c r="K1482" s="90"/>
      <c r="L1482" s="90"/>
      <c r="M1482" s="90"/>
      <c r="N1482" s="90"/>
      <c r="O1482" s="90"/>
      <c r="P1482" s="90"/>
    </row>
    <row r="1483" spans="1:16" ht="13.2">
      <c r="A1483" s="90"/>
      <c r="B1483" s="92"/>
      <c r="C1483" s="90"/>
      <c r="D1483" s="90"/>
      <c r="E1483" s="90"/>
      <c r="F1483" s="90"/>
      <c r="G1483" s="90"/>
      <c r="H1483" s="90"/>
      <c r="I1483" s="90"/>
      <c r="J1483" s="90"/>
      <c r="K1483" s="90"/>
      <c r="L1483" s="90"/>
      <c r="M1483" s="90"/>
      <c r="N1483" s="90"/>
      <c r="O1483" s="90"/>
      <c r="P1483" s="90"/>
    </row>
    <row r="1484" spans="1:16" ht="13.2">
      <c r="A1484" s="90"/>
      <c r="B1484" s="92"/>
      <c r="C1484" s="90"/>
      <c r="D1484" s="90"/>
      <c r="E1484" s="90"/>
      <c r="F1484" s="90"/>
      <c r="G1484" s="90"/>
      <c r="H1484" s="90"/>
      <c r="I1484" s="90"/>
      <c r="J1484" s="90"/>
      <c r="K1484" s="90"/>
      <c r="L1484" s="90"/>
      <c r="M1484" s="90"/>
      <c r="N1484" s="90"/>
      <c r="O1484" s="90"/>
      <c r="P1484" s="90"/>
    </row>
    <row r="1485" spans="1:16" ht="13.2">
      <c r="A1485" s="90"/>
      <c r="B1485" s="92"/>
      <c r="C1485" s="90"/>
      <c r="D1485" s="90"/>
      <c r="E1485" s="90"/>
      <c r="F1485" s="90"/>
      <c r="G1485" s="90"/>
      <c r="H1485" s="90"/>
      <c r="I1485" s="90"/>
      <c r="J1485" s="90"/>
      <c r="K1485" s="90"/>
      <c r="L1485" s="90"/>
      <c r="M1485" s="90"/>
      <c r="N1485" s="90"/>
      <c r="O1485" s="90"/>
      <c r="P1485" s="90"/>
    </row>
    <row r="1486" spans="1:16" ht="13.2">
      <c r="A1486" s="90"/>
      <c r="B1486" s="92"/>
      <c r="C1486" s="90"/>
      <c r="D1486" s="90"/>
      <c r="E1486" s="90"/>
      <c r="F1486" s="90"/>
      <c r="G1486" s="90"/>
      <c r="H1486" s="90"/>
      <c r="I1486" s="90"/>
      <c r="J1486" s="90"/>
      <c r="K1486" s="90"/>
      <c r="L1486" s="90"/>
      <c r="M1486" s="90"/>
      <c r="N1486" s="90"/>
      <c r="O1486" s="90"/>
      <c r="P1486" s="90"/>
    </row>
    <row r="1487" spans="1:16" ht="13.2">
      <c r="A1487" s="90"/>
      <c r="B1487" s="92"/>
      <c r="C1487" s="90"/>
      <c r="D1487" s="90"/>
      <c r="E1487" s="90"/>
      <c r="F1487" s="90"/>
      <c r="G1487" s="90"/>
      <c r="H1487" s="90"/>
      <c r="I1487" s="90"/>
      <c r="J1487" s="90"/>
      <c r="K1487" s="90"/>
      <c r="L1487" s="90"/>
      <c r="M1487" s="90"/>
      <c r="N1487" s="90"/>
      <c r="O1487" s="90"/>
      <c r="P1487" s="90"/>
    </row>
    <row r="1488" spans="1:16" ht="13.2">
      <c r="A1488" s="90"/>
      <c r="B1488" s="92"/>
      <c r="C1488" s="90"/>
      <c r="D1488" s="90"/>
      <c r="E1488" s="90"/>
      <c r="F1488" s="90"/>
      <c r="G1488" s="90"/>
      <c r="H1488" s="90"/>
      <c r="I1488" s="90"/>
      <c r="J1488" s="90"/>
      <c r="K1488" s="90"/>
      <c r="L1488" s="90"/>
      <c r="M1488" s="90"/>
      <c r="N1488" s="90"/>
      <c r="O1488" s="90"/>
      <c r="P1488" s="90"/>
    </row>
    <row r="1489" spans="1:16" ht="13.2">
      <c r="A1489" s="90"/>
      <c r="B1489" s="92"/>
      <c r="C1489" s="90"/>
      <c r="D1489" s="90"/>
      <c r="E1489" s="90"/>
      <c r="F1489" s="90"/>
      <c r="G1489" s="90"/>
      <c r="H1489" s="90"/>
      <c r="I1489" s="90"/>
      <c r="J1489" s="90"/>
      <c r="K1489" s="90"/>
      <c r="L1489" s="90"/>
      <c r="M1489" s="90"/>
      <c r="N1489" s="90"/>
      <c r="O1489" s="90"/>
      <c r="P1489" s="90"/>
    </row>
    <row r="1490" spans="1:16" ht="13.2">
      <c r="A1490" s="90"/>
      <c r="B1490" s="92"/>
      <c r="C1490" s="90"/>
      <c r="D1490" s="90"/>
      <c r="E1490" s="90"/>
      <c r="F1490" s="90"/>
      <c r="G1490" s="90"/>
      <c r="H1490" s="90"/>
      <c r="I1490" s="90"/>
      <c r="J1490" s="90"/>
      <c r="K1490" s="90"/>
      <c r="L1490" s="90"/>
      <c r="M1490" s="90"/>
      <c r="N1490" s="90"/>
      <c r="O1490" s="90"/>
      <c r="P1490" s="90"/>
    </row>
    <row r="1491" spans="1:16" ht="13.2">
      <c r="A1491" s="90"/>
      <c r="B1491" s="92"/>
      <c r="C1491" s="90"/>
      <c r="D1491" s="90"/>
      <c r="E1491" s="90"/>
      <c r="F1491" s="90"/>
      <c r="G1491" s="90"/>
      <c r="H1491" s="90"/>
      <c r="I1491" s="90"/>
      <c r="J1491" s="90"/>
      <c r="K1491" s="90"/>
      <c r="L1491" s="90"/>
      <c r="M1491" s="90"/>
      <c r="N1491" s="90"/>
      <c r="O1491" s="90"/>
      <c r="P1491" s="90"/>
    </row>
    <row r="1492" spans="1:16" ht="13.2">
      <c r="A1492" s="90"/>
      <c r="B1492" s="92"/>
      <c r="C1492" s="90"/>
      <c r="D1492" s="90"/>
      <c r="E1492" s="90"/>
      <c r="F1492" s="90"/>
      <c r="G1492" s="90"/>
      <c r="H1492" s="90"/>
      <c r="I1492" s="90"/>
      <c r="J1492" s="90"/>
      <c r="K1492" s="90"/>
      <c r="L1492" s="90"/>
      <c r="M1492" s="90"/>
      <c r="N1492" s="90"/>
      <c r="O1492" s="90"/>
      <c r="P1492" s="90"/>
    </row>
    <row r="1493" spans="1:16" ht="13.2">
      <c r="A1493" s="90"/>
      <c r="B1493" s="92"/>
      <c r="C1493" s="90"/>
      <c r="D1493" s="90"/>
      <c r="E1493" s="90"/>
      <c r="F1493" s="90"/>
      <c r="G1493" s="90"/>
      <c r="H1493" s="90"/>
      <c r="I1493" s="90"/>
      <c r="J1493" s="90"/>
      <c r="K1493" s="90"/>
      <c r="L1493" s="90"/>
      <c r="M1493" s="90"/>
      <c r="N1493" s="90"/>
      <c r="O1493" s="90"/>
      <c r="P1493" s="90"/>
    </row>
    <row r="1494" spans="1:16" ht="13.2">
      <c r="A1494" s="90"/>
      <c r="B1494" s="92"/>
      <c r="C1494" s="90"/>
      <c r="D1494" s="90"/>
      <c r="E1494" s="90"/>
      <c r="F1494" s="90"/>
      <c r="G1494" s="90"/>
      <c r="H1494" s="90"/>
      <c r="I1494" s="90"/>
      <c r="J1494" s="90"/>
      <c r="K1494" s="90"/>
      <c r="L1494" s="90"/>
      <c r="M1494" s="90"/>
      <c r="N1494" s="90"/>
      <c r="O1494" s="90"/>
      <c r="P1494" s="90"/>
    </row>
    <row r="1495" spans="1:16" ht="13.2">
      <c r="A1495" s="90"/>
      <c r="B1495" s="92"/>
      <c r="C1495" s="90"/>
      <c r="D1495" s="90"/>
      <c r="E1495" s="90"/>
      <c r="F1495" s="90"/>
      <c r="G1495" s="90"/>
      <c r="H1495" s="90"/>
      <c r="I1495" s="90"/>
      <c r="J1495" s="90"/>
      <c r="K1495" s="90"/>
      <c r="L1495" s="90"/>
      <c r="M1495" s="90"/>
      <c r="N1495" s="90"/>
      <c r="O1495" s="90"/>
      <c r="P1495" s="90"/>
    </row>
    <row r="1496" spans="1:16" ht="13.2">
      <c r="A1496" s="90"/>
      <c r="B1496" s="92"/>
      <c r="C1496" s="90"/>
      <c r="D1496" s="90"/>
      <c r="E1496" s="90"/>
      <c r="F1496" s="90"/>
      <c r="G1496" s="90"/>
      <c r="H1496" s="90"/>
      <c r="I1496" s="90"/>
      <c r="J1496" s="90"/>
      <c r="K1496" s="90"/>
      <c r="L1496" s="90"/>
      <c r="M1496" s="90"/>
      <c r="N1496" s="90"/>
      <c r="O1496" s="90"/>
      <c r="P1496" s="90"/>
    </row>
    <row r="1497" spans="1:16" ht="13.2">
      <c r="A1497" s="90"/>
      <c r="B1497" s="92"/>
      <c r="C1497" s="90"/>
      <c r="D1497" s="90"/>
      <c r="E1497" s="90"/>
      <c r="F1497" s="90"/>
      <c r="G1497" s="90"/>
      <c r="H1497" s="90"/>
      <c r="I1497" s="90"/>
      <c r="J1497" s="90"/>
      <c r="K1497" s="90"/>
      <c r="L1497" s="90"/>
      <c r="M1497" s="90"/>
      <c r="N1497" s="90"/>
      <c r="O1497" s="90"/>
      <c r="P1497" s="90"/>
    </row>
    <row r="1498" spans="1:16" ht="13.2">
      <c r="A1498" s="90"/>
      <c r="B1498" s="92"/>
      <c r="C1498" s="90"/>
      <c r="D1498" s="90"/>
      <c r="E1498" s="90"/>
      <c r="F1498" s="90"/>
      <c r="G1498" s="90"/>
      <c r="H1498" s="90"/>
      <c r="I1498" s="90"/>
      <c r="J1498" s="90"/>
      <c r="K1498" s="90"/>
      <c r="L1498" s="90"/>
      <c r="M1498" s="90"/>
      <c r="N1498" s="90"/>
      <c r="O1498" s="90"/>
      <c r="P1498" s="90"/>
    </row>
    <row r="1499" spans="1:16" ht="13.2">
      <c r="A1499" s="90"/>
      <c r="B1499" s="92"/>
      <c r="C1499" s="90"/>
      <c r="D1499" s="90"/>
      <c r="E1499" s="90"/>
      <c r="F1499" s="90"/>
      <c r="G1499" s="90"/>
      <c r="H1499" s="90"/>
      <c r="I1499" s="90"/>
      <c r="J1499" s="90"/>
      <c r="K1499" s="90"/>
      <c r="L1499" s="90"/>
      <c r="M1499" s="90"/>
      <c r="N1499" s="90"/>
      <c r="O1499" s="90"/>
      <c r="P1499" s="90"/>
    </row>
    <row r="1500" spans="1:16" ht="13.2">
      <c r="A1500" s="90"/>
      <c r="B1500" s="92"/>
      <c r="C1500" s="90"/>
      <c r="D1500" s="90"/>
      <c r="E1500" s="90"/>
      <c r="F1500" s="90"/>
      <c r="G1500" s="90"/>
      <c r="H1500" s="90"/>
      <c r="I1500" s="90"/>
      <c r="J1500" s="90"/>
      <c r="K1500" s="90"/>
      <c r="L1500" s="90"/>
      <c r="M1500" s="90"/>
      <c r="N1500" s="90"/>
      <c r="O1500" s="90"/>
      <c r="P1500" s="90"/>
    </row>
    <row r="1501" spans="1:16" ht="13.2">
      <c r="A1501" s="90"/>
      <c r="B1501" s="92"/>
      <c r="C1501" s="90"/>
      <c r="D1501" s="90"/>
      <c r="E1501" s="90"/>
      <c r="F1501" s="90"/>
      <c r="G1501" s="90"/>
      <c r="H1501" s="90"/>
      <c r="I1501" s="90"/>
      <c r="J1501" s="90"/>
      <c r="K1501" s="90"/>
      <c r="L1501" s="90"/>
      <c r="M1501" s="90"/>
      <c r="N1501" s="90"/>
      <c r="O1501" s="90"/>
      <c r="P1501" s="90"/>
    </row>
    <row r="1502" spans="1:16" ht="13.2">
      <c r="A1502" s="90"/>
      <c r="B1502" s="92"/>
      <c r="C1502" s="90"/>
      <c r="D1502" s="90"/>
      <c r="E1502" s="90"/>
      <c r="F1502" s="90"/>
      <c r="G1502" s="90"/>
      <c r="H1502" s="90"/>
      <c r="I1502" s="90"/>
      <c r="J1502" s="90"/>
      <c r="K1502" s="90"/>
      <c r="L1502" s="90"/>
      <c r="M1502" s="90"/>
      <c r="N1502" s="90"/>
      <c r="O1502" s="90"/>
      <c r="P1502" s="90"/>
    </row>
    <row r="1503" spans="1:16" ht="13.2">
      <c r="A1503" s="90"/>
      <c r="B1503" s="92"/>
      <c r="C1503" s="90"/>
      <c r="D1503" s="90"/>
      <c r="E1503" s="90"/>
      <c r="F1503" s="90"/>
      <c r="G1503" s="90"/>
      <c r="H1503" s="90"/>
      <c r="I1503" s="90"/>
      <c r="J1503" s="90"/>
      <c r="K1503" s="90"/>
      <c r="L1503" s="90"/>
      <c r="M1503" s="90"/>
      <c r="N1503" s="90"/>
      <c r="O1503" s="90"/>
      <c r="P1503" s="90"/>
    </row>
    <row r="1504" spans="1:16" ht="13.2">
      <c r="A1504" s="90"/>
      <c r="B1504" s="92"/>
      <c r="C1504" s="90"/>
      <c r="D1504" s="90"/>
      <c r="E1504" s="90"/>
      <c r="F1504" s="90"/>
      <c r="G1504" s="90"/>
      <c r="H1504" s="90"/>
      <c r="I1504" s="90"/>
      <c r="J1504" s="90"/>
      <c r="K1504" s="90"/>
      <c r="L1504" s="90"/>
      <c r="M1504" s="90"/>
      <c r="N1504" s="90"/>
      <c r="O1504" s="90"/>
      <c r="P1504" s="90"/>
    </row>
    <row r="1505" spans="1:16" ht="13.2">
      <c r="A1505" s="90"/>
      <c r="B1505" s="92"/>
      <c r="C1505" s="90"/>
      <c r="D1505" s="90"/>
      <c r="E1505" s="90"/>
      <c r="F1505" s="90"/>
      <c r="G1505" s="90"/>
      <c r="H1505" s="90"/>
      <c r="I1505" s="90"/>
      <c r="J1505" s="90"/>
      <c r="K1505" s="90"/>
      <c r="L1505" s="90"/>
      <c r="M1505" s="90"/>
      <c r="N1505" s="90"/>
      <c r="O1505" s="90"/>
      <c r="P1505" s="90"/>
    </row>
    <row r="1506" spans="1:16" ht="13.2">
      <c r="A1506" s="90"/>
      <c r="B1506" s="92"/>
      <c r="C1506" s="90"/>
      <c r="D1506" s="90"/>
      <c r="E1506" s="90"/>
      <c r="F1506" s="90"/>
      <c r="G1506" s="90"/>
      <c r="H1506" s="90"/>
      <c r="I1506" s="90"/>
      <c r="J1506" s="90"/>
      <c r="K1506" s="90"/>
      <c r="L1506" s="90"/>
      <c r="M1506" s="90"/>
      <c r="N1506" s="90"/>
      <c r="O1506" s="90"/>
      <c r="P1506" s="90"/>
    </row>
    <row r="1507" spans="1:16" ht="13.2">
      <c r="A1507" s="90"/>
      <c r="B1507" s="92"/>
      <c r="C1507" s="90"/>
      <c r="D1507" s="90"/>
      <c r="E1507" s="90"/>
      <c r="F1507" s="90"/>
      <c r="G1507" s="90"/>
      <c r="H1507" s="90"/>
      <c r="I1507" s="90"/>
      <c r="J1507" s="90"/>
      <c r="K1507" s="90"/>
      <c r="L1507" s="90"/>
      <c r="M1507" s="90"/>
      <c r="N1507" s="90"/>
      <c r="O1507" s="90"/>
      <c r="P1507" s="90"/>
    </row>
    <row r="1508" spans="1:16" ht="13.2">
      <c r="A1508" s="90"/>
      <c r="B1508" s="92"/>
      <c r="C1508" s="90"/>
      <c r="D1508" s="90"/>
      <c r="E1508" s="90"/>
      <c r="F1508" s="90"/>
      <c r="G1508" s="90"/>
      <c r="H1508" s="90"/>
      <c r="I1508" s="90"/>
      <c r="J1508" s="90"/>
      <c r="K1508" s="90"/>
      <c r="L1508" s="90"/>
      <c r="M1508" s="90"/>
      <c r="N1508" s="90"/>
      <c r="O1508" s="90"/>
      <c r="P1508" s="90"/>
    </row>
    <row r="1509" spans="1:16" ht="13.2">
      <c r="A1509" s="90"/>
      <c r="B1509" s="92"/>
      <c r="C1509" s="90"/>
      <c r="D1509" s="90"/>
      <c r="E1509" s="90"/>
      <c r="F1509" s="90"/>
      <c r="G1509" s="90"/>
      <c r="H1509" s="90"/>
      <c r="I1509" s="90"/>
      <c r="J1509" s="90"/>
      <c r="K1509" s="90"/>
      <c r="L1509" s="90"/>
      <c r="M1509" s="90"/>
      <c r="N1509" s="90"/>
      <c r="O1509" s="90"/>
      <c r="P1509" s="90"/>
    </row>
    <row r="1510" spans="1:16" ht="13.2">
      <c r="A1510" s="90"/>
      <c r="B1510" s="92"/>
      <c r="C1510" s="90"/>
      <c r="D1510" s="90"/>
      <c r="E1510" s="90"/>
      <c r="F1510" s="90"/>
      <c r="G1510" s="90"/>
      <c r="H1510" s="90"/>
      <c r="I1510" s="90"/>
      <c r="J1510" s="90"/>
      <c r="K1510" s="90"/>
      <c r="L1510" s="90"/>
      <c r="M1510" s="90"/>
      <c r="N1510" s="90"/>
      <c r="O1510" s="90"/>
      <c r="P1510" s="90"/>
    </row>
    <row r="1511" spans="1:16" ht="13.2">
      <c r="A1511" s="90"/>
      <c r="B1511" s="92"/>
      <c r="C1511" s="90"/>
      <c r="D1511" s="90"/>
      <c r="E1511" s="90"/>
      <c r="F1511" s="90"/>
      <c r="G1511" s="90"/>
      <c r="H1511" s="90"/>
      <c r="I1511" s="90"/>
      <c r="J1511" s="90"/>
      <c r="K1511" s="90"/>
      <c r="L1511" s="90"/>
      <c r="M1511" s="90"/>
      <c r="N1511" s="90"/>
      <c r="O1511" s="90"/>
      <c r="P1511" s="90"/>
    </row>
    <row r="1512" spans="1:16" ht="13.2">
      <c r="A1512" s="90"/>
      <c r="B1512" s="92"/>
      <c r="C1512" s="90"/>
      <c r="D1512" s="90"/>
      <c r="E1512" s="90"/>
      <c r="F1512" s="90"/>
      <c r="G1512" s="90"/>
      <c r="H1512" s="90"/>
      <c r="I1512" s="90"/>
      <c r="J1512" s="90"/>
      <c r="K1512" s="90"/>
      <c r="L1512" s="90"/>
      <c r="M1512" s="90"/>
      <c r="N1512" s="90"/>
      <c r="O1512" s="90"/>
      <c r="P1512" s="90"/>
    </row>
    <row r="1513" spans="1:16" ht="13.2">
      <c r="A1513" s="90"/>
      <c r="B1513" s="92"/>
      <c r="C1513" s="90"/>
      <c r="D1513" s="90"/>
      <c r="E1513" s="90"/>
      <c r="F1513" s="90"/>
      <c r="G1513" s="90"/>
      <c r="H1513" s="90"/>
      <c r="I1513" s="90"/>
      <c r="J1513" s="90"/>
      <c r="K1513" s="90"/>
      <c r="L1513" s="90"/>
      <c r="M1513" s="90"/>
      <c r="N1513" s="90"/>
      <c r="O1513" s="90"/>
      <c r="P1513" s="90"/>
    </row>
    <row r="1514" spans="1:16" ht="13.2">
      <c r="A1514" s="90"/>
      <c r="B1514" s="92"/>
      <c r="C1514" s="90"/>
      <c r="D1514" s="90"/>
      <c r="E1514" s="90"/>
      <c r="F1514" s="90"/>
      <c r="G1514" s="90"/>
      <c r="H1514" s="90"/>
      <c r="I1514" s="90"/>
      <c r="J1514" s="90"/>
      <c r="K1514" s="90"/>
      <c r="L1514" s="90"/>
      <c r="M1514" s="90"/>
      <c r="N1514" s="90"/>
      <c r="O1514" s="90"/>
      <c r="P1514" s="90"/>
    </row>
    <row r="1515" spans="1:16" ht="13.2">
      <c r="A1515" s="90"/>
      <c r="B1515" s="92"/>
      <c r="C1515" s="90"/>
      <c r="D1515" s="90"/>
      <c r="E1515" s="90"/>
      <c r="F1515" s="90"/>
      <c r="G1515" s="90"/>
      <c r="H1515" s="90"/>
      <c r="I1515" s="90"/>
      <c r="J1515" s="90"/>
      <c r="K1515" s="90"/>
      <c r="L1515" s="90"/>
      <c r="M1515" s="90"/>
      <c r="N1515" s="90"/>
      <c r="O1515" s="90"/>
      <c r="P1515" s="90"/>
    </row>
    <row r="1516" spans="1:16" ht="13.2">
      <c r="A1516" s="90"/>
      <c r="B1516" s="92"/>
      <c r="C1516" s="90"/>
      <c r="D1516" s="90"/>
      <c r="E1516" s="90"/>
      <c r="F1516" s="90"/>
      <c r="G1516" s="90"/>
      <c r="H1516" s="90"/>
      <c r="I1516" s="90"/>
      <c r="J1516" s="90"/>
      <c r="K1516" s="90"/>
      <c r="L1516" s="90"/>
      <c r="M1516" s="90"/>
      <c r="N1516" s="90"/>
      <c r="O1516" s="90"/>
      <c r="P1516" s="90"/>
    </row>
    <row r="1517" spans="1:16" ht="13.2">
      <c r="A1517" s="90"/>
      <c r="B1517" s="92"/>
      <c r="C1517" s="90"/>
      <c r="D1517" s="90"/>
      <c r="E1517" s="90"/>
      <c r="F1517" s="90"/>
      <c r="G1517" s="90"/>
      <c r="H1517" s="90"/>
      <c r="I1517" s="90"/>
      <c r="J1517" s="90"/>
      <c r="K1517" s="90"/>
      <c r="L1517" s="90"/>
      <c r="M1517" s="90"/>
      <c r="N1517" s="90"/>
      <c r="O1517" s="90"/>
      <c r="P1517" s="90"/>
    </row>
    <row r="1518" spans="1:16" ht="13.2">
      <c r="A1518" s="90"/>
      <c r="B1518" s="92"/>
      <c r="C1518" s="90"/>
      <c r="D1518" s="90"/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</row>
    <row r="1519" spans="1:16" ht="13.2">
      <c r="A1519" s="90"/>
      <c r="B1519" s="92"/>
      <c r="C1519" s="90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</row>
    <row r="1520" spans="1:16" ht="13.2">
      <c r="A1520" s="90"/>
      <c r="B1520" s="92"/>
      <c r="C1520" s="90"/>
      <c r="D1520" s="90"/>
      <c r="E1520" s="90"/>
      <c r="F1520" s="90"/>
      <c r="G1520" s="90"/>
      <c r="H1520" s="90"/>
      <c r="I1520" s="90"/>
      <c r="J1520" s="90"/>
      <c r="K1520" s="90"/>
      <c r="L1520" s="90"/>
      <c r="M1520" s="90"/>
      <c r="N1520" s="90"/>
      <c r="O1520" s="90"/>
      <c r="P1520" s="90"/>
    </row>
    <row r="1521" spans="1:16" ht="13.2">
      <c r="A1521" s="90"/>
      <c r="B1521" s="92"/>
      <c r="C1521" s="90"/>
      <c r="D1521" s="90"/>
      <c r="E1521" s="90"/>
      <c r="F1521" s="90"/>
      <c r="G1521" s="90"/>
      <c r="H1521" s="90"/>
      <c r="I1521" s="90"/>
      <c r="J1521" s="90"/>
      <c r="K1521" s="90"/>
      <c r="L1521" s="90"/>
      <c r="M1521" s="90"/>
      <c r="N1521" s="90"/>
      <c r="O1521" s="90"/>
      <c r="P1521" s="90"/>
    </row>
    <row r="1522" spans="1:16" ht="13.2">
      <c r="A1522" s="90"/>
      <c r="B1522" s="92"/>
      <c r="C1522" s="90"/>
      <c r="D1522" s="90"/>
      <c r="E1522" s="90"/>
      <c r="F1522" s="90"/>
      <c r="G1522" s="90"/>
      <c r="H1522" s="90"/>
      <c r="I1522" s="90"/>
      <c r="J1522" s="90"/>
      <c r="K1522" s="90"/>
      <c r="L1522" s="90"/>
      <c r="M1522" s="90"/>
      <c r="N1522" s="90"/>
      <c r="O1522" s="90"/>
      <c r="P1522" s="90"/>
    </row>
    <row r="1523" spans="1:16" ht="13.2">
      <c r="A1523" s="90"/>
      <c r="B1523" s="92"/>
      <c r="C1523" s="90"/>
      <c r="D1523" s="90"/>
      <c r="E1523" s="90"/>
      <c r="F1523" s="90"/>
      <c r="G1523" s="90"/>
      <c r="H1523" s="90"/>
      <c r="I1523" s="90"/>
      <c r="J1523" s="90"/>
      <c r="K1523" s="90"/>
      <c r="L1523" s="90"/>
      <c r="M1523" s="90"/>
      <c r="N1523" s="90"/>
      <c r="O1523" s="90"/>
      <c r="P1523" s="90"/>
    </row>
    <row r="1524" spans="1:16" ht="13.2">
      <c r="A1524" s="90"/>
      <c r="B1524" s="92"/>
      <c r="C1524" s="90"/>
      <c r="D1524" s="90"/>
      <c r="E1524" s="90"/>
      <c r="F1524" s="90"/>
      <c r="G1524" s="90"/>
      <c r="H1524" s="90"/>
      <c r="I1524" s="90"/>
      <c r="J1524" s="90"/>
      <c r="K1524" s="90"/>
      <c r="L1524" s="90"/>
      <c r="M1524" s="90"/>
      <c r="N1524" s="90"/>
      <c r="O1524" s="90"/>
      <c r="P1524" s="90"/>
    </row>
    <row r="1525" spans="1:16" ht="13.2">
      <c r="A1525" s="90"/>
      <c r="B1525" s="92"/>
      <c r="C1525" s="90"/>
      <c r="D1525" s="90"/>
      <c r="E1525" s="90"/>
      <c r="F1525" s="90"/>
      <c r="G1525" s="90"/>
      <c r="H1525" s="90"/>
      <c r="I1525" s="90"/>
      <c r="J1525" s="90"/>
      <c r="K1525" s="90"/>
      <c r="L1525" s="90"/>
      <c r="M1525" s="90"/>
      <c r="N1525" s="90"/>
      <c r="O1525" s="90"/>
      <c r="P1525" s="90"/>
    </row>
    <row r="1526" spans="1:16" ht="13.2">
      <c r="A1526" s="90"/>
      <c r="B1526" s="92"/>
      <c r="C1526" s="90"/>
      <c r="D1526" s="90"/>
      <c r="E1526" s="90"/>
      <c r="F1526" s="90"/>
      <c r="G1526" s="90"/>
      <c r="H1526" s="90"/>
      <c r="I1526" s="90"/>
      <c r="J1526" s="90"/>
      <c r="K1526" s="90"/>
      <c r="L1526" s="90"/>
      <c r="M1526" s="90"/>
      <c r="N1526" s="90"/>
      <c r="O1526" s="90"/>
      <c r="P1526" s="90"/>
    </row>
    <row r="1527" spans="1:16" ht="13.2">
      <c r="A1527" s="90"/>
      <c r="B1527" s="92"/>
      <c r="C1527" s="90"/>
      <c r="D1527" s="90"/>
      <c r="E1527" s="90"/>
      <c r="F1527" s="90"/>
      <c r="G1527" s="90"/>
      <c r="H1527" s="90"/>
      <c r="I1527" s="90"/>
      <c r="J1527" s="90"/>
      <c r="K1527" s="90"/>
      <c r="L1527" s="90"/>
      <c r="M1527" s="90"/>
      <c r="N1527" s="90"/>
      <c r="O1527" s="90"/>
      <c r="P1527" s="90"/>
    </row>
    <row r="1528" spans="1:16" ht="13.2">
      <c r="A1528" s="90"/>
      <c r="B1528" s="92"/>
      <c r="C1528" s="90"/>
      <c r="D1528" s="90"/>
      <c r="E1528" s="90"/>
      <c r="F1528" s="90"/>
      <c r="G1528" s="90"/>
      <c r="H1528" s="90"/>
      <c r="I1528" s="90"/>
      <c r="J1528" s="90"/>
      <c r="K1528" s="90"/>
      <c r="L1528" s="90"/>
      <c r="M1528" s="90"/>
      <c r="N1528" s="90"/>
      <c r="O1528" s="90"/>
      <c r="P1528" s="90"/>
    </row>
    <row r="1529" spans="1:16" ht="13.2">
      <c r="A1529" s="90"/>
      <c r="B1529" s="92"/>
      <c r="C1529" s="90"/>
      <c r="D1529" s="90"/>
      <c r="E1529" s="90"/>
      <c r="F1529" s="90"/>
      <c r="G1529" s="90"/>
      <c r="H1529" s="90"/>
      <c r="I1529" s="90"/>
      <c r="J1529" s="90"/>
      <c r="K1529" s="90"/>
      <c r="L1529" s="90"/>
      <c r="M1529" s="90"/>
      <c r="N1529" s="90"/>
      <c r="O1529" s="90"/>
      <c r="P1529" s="90"/>
    </row>
    <row r="1530" spans="1:16" ht="13.2">
      <c r="A1530" s="90"/>
      <c r="B1530" s="92"/>
      <c r="C1530" s="90"/>
      <c r="D1530" s="90"/>
      <c r="E1530" s="90"/>
      <c r="F1530" s="90"/>
      <c r="G1530" s="90"/>
      <c r="H1530" s="90"/>
      <c r="I1530" s="90"/>
      <c r="J1530" s="90"/>
      <c r="K1530" s="90"/>
      <c r="L1530" s="90"/>
      <c r="M1530" s="90"/>
      <c r="N1530" s="90"/>
      <c r="O1530" s="90"/>
      <c r="P1530" s="90"/>
    </row>
    <row r="1531" spans="1:16" ht="13.2">
      <c r="A1531" s="90"/>
      <c r="B1531" s="92"/>
      <c r="C1531" s="90"/>
      <c r="D1531" s="90"/>
      <c r="E1531" s="90"/>
      <c r="F1531" s="90"/>
      <c r="G1531" s="90"/>
      <c r="H1531" s="90"/>
      <c r="I1531" s="90"/>
      <c r="J1531" s="90"/>
      <c r="K1531" s="90"/>
      <c r="L1531" s="90"/>
      <c r="M1531" s="90"/>
      <c r="N1531" s="90"/>
      <c r="O1531" s="90"/>
      <c r="P1531" s="90"/>
    </row>
    <row r="1532" spans="1:16" ht="13.2">
      <c r="A1532" s="90"/>
      <c r="B1532" s="92"/>
      <c r="C1532" s="90"/>
      <c r="D1532" s="90"/>
      <c r="E1532" s="90"/>
      <c r="F1532" s="90"/>
      <c r="G1532" s="90"/>
      <c r="H1532" s="90"/>
      <c r="I1532" s="90"/>
      <c r="J1532" s="90"/>
      <c r="K1532" s="90"/>
      <c r="L1532" s="90"/>
      <c r="M1532" s="90"/>
      <c r="N1532" s="90"/>
      <c r="O1532" s="90"/>
      <c r="P1532" s="90"/>
    </row>
    <row r="1533" spans="1:16" ht="13.2">
      <c r="A1533" s="90"/>
      <c r="B1533" s="92"/>
      <c r="C1533" s="90"/>
      <c r="D1533" s="90"/>
      <c r="E1533" s="90"/>
      <c r="F1533" s="90"/>
      <c r="G1533" s="90"/>
      <c r="H1533" s="90"/>
      <c r="I1533" s="90"/>
      <c r="J1533" s="90"/>
      <c r="K1533" s="90"/>
      <c r="L1533" s="90"/>
      <c r="M1533" s="90"/>
      <c r="N1533" s="90"/>
      <c r="O1533" s="90"/>
      <c r="P1533" s="90"/>
    </row>
    <row r="1534" spans="1:16" ht="13.2">
      <c r="A1534" s="90"/>
      <c r="B1534" s="92"/>
      <c r="C1534" s="90"/>
      <c r="D1534" s="90"/>
      <c r="E1534" s="90"/>
      <c r="F1534" s="90"/>
      <c r="G1534" s="90"/>
      <c r="H1534" s="90"/>
      <c r="I1534" s="90"/>
      <c r="J1534" s="90"/>
      <c r="K1534" s="90"/>
      <c r="L1534" s="90"/>
      <c r="M1534" s="90"/>
      <c r="N1534" s="90"/>
      <c r="O1534" s="90"/>
      <c r="P1534" s="90"/>
    </row>
    <row r="1535" spans="1:16" ht="13.2">
      <c r="A1535" s="90"/>
      <c r="B1535" s="92"/>
      <c r="C1535" s="90"/>
      <c r="D1535" s="90"/>
      <c r="E1535" s="90"/>
      <c r="F1535" s="90"/>
      <c r="G1535" s="90"/>
      <c r="H1535" s="90"/>
      <c r="I1535" s="90"/>
      <c r="J1535" s="90"/>
      <c r="K1535" s="90"/>
      <c r="L1535" s="90"/>
      <c r="M1535" s="90"/>
      <c r="N1535" s="90"/>
      <c r="O1535" s="90"/>
      <c r="P1535" s="90"/>
    </row>
    <row r="1536" spans="1:16" ht="13.2">
      <c r="A1536" s="90"/>
      <c r="B1536" s="92"/>
      <c r="C1536" s="90"/>
      <c r="D1536" s="90"/>
      <c r="E1536" s="90"/>
      <c r="F1536" s="90"/>
      <c r="G1536" s="90"/>
      <c r="H1536" s="90"/>
      <c r="I1536" s="90"/>
      <c r="J1536" s="90"/>
      <c r="K1536" s="90"/>
      <c r="L1536" s="90"/>
      <c r="M1536" s="90"/>
      <c r="N1536" s="90"/>
      <c r="O1536" s="90"/>
      <c r="P1536" s="90"/>
    </row>
    <row r="1537" spans="1:16" ht="13.2">
      <c r="A1537" s="90"/>
      <c r="B1537" s="92"/>
      <c r="C1537" s="90"/>
      <c r="D1537" s="90"/>
      <c r="E1537" s="90"/>
      <c r="F1537" s="90"/>
      <c r="G1537" s="90"/>
      <c r="H1537" s="90"/>
      <c r="I1537" s="90"/>
      <c r="J1537" s="90"/>
      <c r="K1537" s="90"/>
      <c r="L1537" s="90"/>
      <c r="M1537" s="90"/>
      <c r="N1537" s="90"/>
      <c r="O1537" s="90"/>
      <c r="P1537" s="90"/>
    </row>
    <row r="1538" spans="1:16" ht="13.2">
      <c r="A1538" s="90"/>
      <c r="B1538" s="92"/>
      <c r="C1538" s="90"/>
      <c r="D1538" s="90"/>
      <c r="E1538" s="90"/>
      <c r="F1538" s="90"/>
      <c r="G1538" s="90"/>
      <c r="H1538" s="90"/>
      <c r="I1538" s="90"/>
      <c r="J1538" s="90"/>
      <c r="K1538" s="90"/>
      <c r="L1538" s="90"/>
      <c r="M1538" s="90"/>
      <c r="N1538" s="90"/>
      <c r="O1538" s="90"/>
      <c r="P1538" s="90"/>
    </row>
    <row r="1539" spans="1:16" ht="13.2">
      <c r="A1539" s="90"/>
      <c r="B1539" s="92"/>
      <c r="C1539" s="90"/>
      <c r="D1539" s="90"/>
      <c r="E1539" s="90"/>
      <c r="F1539" s="90"/>
      <c r="G1539" s="90"/>
      <c r="H1539" s="90"/>
      <c r="I1539" s="90"/>
      <c r="J1539" s="90"/>
      <c r="K1539" s="90"/>
      <c r="L1539" s="90"/>
      <c r="M1539" s="90"/>
      <c r="N1539" s="90"/>
      <c r="O1539" s="90"/>
      <c r="P1539" s="90"/>
    </row>
    <row r="1540" spans="1:16" ht="13.2">
      <c r="A1540" s="90"/>
      <c r="B1540" s="92"/>
      <c r="C1540" s="90"/>
      <c r="D1540" s="90"/>
      <c r="E1540" s="90"/>
      <c r="F1540" s="90"/>
      <c r="G1540" s="90"/>
      <c r="H1540" s="90"/>
      <c r="I1540" s="90"/>
      <c r="J1540" s="90"/>
      <c r="K1540" s="90"/>
      <c r="L1540" s="90"/>
      <c r="M1540" s="90"/>
      <c r="N1540" s="90"/>
      <c r="O1540" s="90"/>
      <c r="P1540" s="90"/>
    </row>
    <row r="1541" spans="1:16" ht="13.2">
      <c r="A1541" s="90"/>
      <c r="B1541" s="92"/>
      <c r="C1541" s="90"/>
      <c r="D1541" s="90"/>
      <c r="E1541" s="90"/>
      <c r="F1541" s="90"/>
      <c r="G1541" s="90"/>
      <c r="H1541" s="90"/>
      <c r="I1541" s="90"/>
      <c r="J1541" s="90"/>
      <c r="K1541" s="90"/>
      <c r="L1541" s="90"/>
      <c r="M1541" s="90"/>
      <c r="N1541" s="90"/>
      <c r="O1541" s="90"/>
      <c r="P1541" s="90"/>
    </row>
    <row r="1542" spans="1:16" ht="13.2">
      <c r="A1542" s="90"/>
      <c r="B1542" s="92"/>
      <c r="C1542" s="90"/>
      <c r="D1542" s="90"/>
      <c r="E1542" s="90"/>
      <c r="F1542" s="90"/>
      <c r="G1542" s="90"/>
      <c r="H1542" s="90"/>
      <c r="I1542" s="90"/>
      <c r="J1542" s="90"/>
      <c r="K1542" s="90"/>
      <c r="L1542" s="90"/>
      <c r="M1542" s="90"/>
      <c r="N1542" s="90"/>
      <c r="O1542" s="90"/>
      <c r="P1542" s="90"/>
    </row>
    <row r="1543" spans="1:16" ht="13.2">
      <c r="A1543" s="90"/>
      <c r="B1543" s="92"/>
      <c r="C1543" s="90"/>
      <c r="D1543" s="90"/>
      <c r="E1543" s="90"/>
      <c r="F1543" s="90"/>
      <c r="G1543" s="90"/>
      <c r="H1543" s="90"/>
      <c r="I1543" s="90"/>
      <c r="J1543" s="90"/>
      <c r="K1543" s="90"/>
      <c r="L1543" s="90"/>
      <c r="M1543" s="90"/>
      <c r="N1543" s="90"/>
      <c r="O1543" s="90"/>
      <c r="P1543" s="90"/>
    </row>
    <row r="1544" spans="1:16" ht="13.2">
      <c r="A1544" s="90"/>
      <c r="B1544" s="92"/>
      <c r="C1544" s="90"/>
      <c r="D1544" s="90"/>
      <c r="E1544" s="90"/>
      <c r="F1544" s="90"/>
      <c r="G1544" s="90"/>
      <c r="H1544" s="90"/>
      <c r="I1544" s="90"/>
      <c r="J1544" s="90"/>
      <c r="K1544" s="90"/>
      <c r="L1544" s="90"/>
      <c r="M1544" s="90"/>
      <c r="N1544" s="90"/>
      <c r="O1544" s="90"/>
      <c r="P1544" s="90"/>
    </row>
    <row r="1545" spans="1:16" ht="13.2">
      <c r="A1545" s="90"/>
      <c r="B1545" s="92"/>
      <c r="C1545" s="90"/>
      <c r="D1545" s="90"/>
      <c r="E1545" s="90"/>
      <c r="F1545" s="90"/>
      <c r="G1545" s="90"/>
      <c r="H1545" s="90"/>
      <c r="I1545" s="90"/>
      <c r="J1545" s="90"/>
      <c r="K1545" s="90"/>
      <c r="L1545" s="90"/>
      <c r="M1545" s="90"/>
      <c r="N1545" s="90"/>
      <c r="O1545" s="90"/>
      <c r="P1545" s="90"/>
    </row>
    <row r="1546" spans="1:16" ht="13.2">
      <c r="A1546" s="90"/>
      <c r="B1546" s="92"/>
      <c r="C1546" s="90"/>
      <c r="D1546" s="90"/>
      <c r="E1546" s="90"/>
      <c r="F1546" s="90"/>
      <c r="G1546" s="90"/>
      <c r="H1546" s="90"/>
      <c r="I1546" s="90"/>
      <c r="J1546" s="90"/>
      <c r="K1546" s="90"/>
      <c r="L1546" s="90"/>
      <c r="M1546" s="90"/>
      <c r="N1546" s="90"/>
      <c r="O1546" s="90"/>
      <c r="P1546" s="90"/>
    </row>
    <row r="1547" spans="1:16" ht="13.2">
      <c r="A1547" s="90"/>
      <c r="B1547" s="92"/>
      <c r="C1547" s="90"/>
      <c r="D1547" s="90"/>
      <c r="E1547" s="90"/>
      <c r="F1547" s="90"/>
      <c r="G1547" s="90"/>
      <c r="H1547" s="90"/>
      <c r="I1547" s="90"/>
      <c r="J1547" s="90"/>
      <c r="K1547" s="90"/>
      <c r="L1547" s="90"/>
      <c r="M1547" s="90"/>
      <c r="N1547" s="90"/>
      <c r="O1547" s="90"/>
      <c r="P1547" s="90"/>
    </row>
    <row r="1548" spans="1:16" ht="13.2">
      <c r="A1548" s="90"/>
      <c r="B1548" s="92"/>
      <c r="C1548" s="90"/>
      <c r="D1548" s="90"/>
      <c r="E1548" s="90"/>
      <c r="F1548" s="90"/>
      <c r="G1548" s="90"/>
      <c r="H1548" s="90"/>
      <c r="I1548" s="90"/>
      <c r="J1548" s="90"/>
      <c r="K1548" s="90"/>
      <c r="L1548" s="90"/>
      <c r="M1548" s="90"/>
      <c r="N1548" s="90"/>
      <c r="O1548" s="90"/>
      <c r="P1548" s="90"/>
    </row>
    <row r="1549" spans="1:16" ht="13.2">
      <c r="A1549" s="90"/>
      <c r="B1549" s="92"/>
      <c r="C1549" s="90"/>
      <c r="D1549" s="90"/>
      <c r="E1549" s="90"/>
      <c r="F1549" s="90"/>
      <c r="G1549" s="90"/>
      <c r="H1549" s="90"/>
      <c r="I1549" s="90"/>
      <c r="J1549" s="90"/>
      <c r="K1549" s="90"/>
      <c r="L1549" s="90"/>
      <c r="M1549" s="90"/>
      <c r="N1549" s="90"/>
      <c r="O1549" s="90"/>
      <c r="P1549" s="90"/>
    </row>
    <row r="1550" spans="1:16" ht="13.2">
      <c r="A1550" s="90"/>
      <c r="B1550" s="92"/>
      <c r="C1550" s="90"/>
      <c r="D1550" s="90"/>
      <c r="E1550" s="90"/>
      <c r="F1550" s="90"/>
      <c r="G1550" s="90"/>
      <c r="H1550" s="90"/>
      <c r="I1550" s="90"/>
      <c r="J1550" s="90"/>
      <c r="K1550" s="90"/>
      <c r="L1550" s="90"/>
      <c r="M1550" s="90"/>
      <c r="N1550" s="90"/>
      <c r="O1550" s="90"/>
      <c r="P1550" s="90"/>
    </row>
    <row r="1551" spans="1:16" ht="13.2">
      <c r="A1551" s="90"/>
      <c r="B1551" s="92"/>
      <c r="C1551" s="90"/>
      <c r="D1551" s="90"/>
      <c r="E1551" s="90"/>
      <c r="F1551" s="90"/>
      <c r="G1551" s="90"/>
      <c r="H1551" s="90"/>
      <c r="I1551" s="90"/>
      <c r="J1551" s="90"/>
      <c r="K1551" s="90"/>
      <c r="L1551" s="90"/>
      <c r="M1551" s="90"/>
      <c r="N1551" s="90"/>
      <c r="O1551" s="90"/>
      <c r="P1551" s="90"/>
    </row>
    <row r="1552" spans="1:16" ht="13.2">
      <c r="A1552" s="90"/>
      <c r="B1552" s="92"/>
      <c r="C1552" s="90"/>
      <c r="D1552" s="90"/>
      <c r="E1552" s="90"/>
      <c r="F1552" s="90"/>
      <c r="G1552" s="90"/>
      <c r="H1552" s="90"/>
      <c r="I1552" s="90"/>
      <c r="J1552" s="90"/>
      <c r="K1552" s="90"/>
      <c r="L1552" s="90"/>
      <c r="M1552" s="90"/>
      <c r="N1552" s="90"/>
      <c r="O1552" s="90"/>
      <c r="P1552" s="90"/>
    </row>
    <row r="1553" spans="1:16" ht="13.2">
      <c r="A1553" s="90"/>
      <c r="B1553" s="92"/>
      <c r="C1553" s="90"/>
      <c r="D1553" s="90"/>
      <c r="E1553" s="90"/>
      <c r="F1553" s="90"/>
      <c r="G1553" s="90"/>
      <c r="H1553" s="90"/>
      <c r="I1553" s="90"/>
      <c r="J1553" s="90"/>
      <c r="K1553" s="90"/>
      <c r="L1553" s="90"/>
      <c r="M1553" s="90"/>
      <c r="N1553" s="90"/>
      <c r="O1553" s="90"/>
      <c r="P1553" s="90"/>
    </row>
    <row r="1554" spans="1:16" ht="13.2">
      <c r="A1554" s="90"/>
      <c r="B1554" s="92"/>
      <c r="C1554" s="90"/>
      <c r="D1554" s="90"/>
      <c r="E1554" s="90"/>
      <c r="F1554" s="90"/>
      <c r="G1554" s="90"/>
      <c r="H1554" s="90"/>
      <c r="I1554" s="90"/>
      <c r="J1554" s="90"/>
      <c r="K1554" s="90"/>
      <c r="L1554" s="90"/>
      <c r="M1554" s="90"/>
      <c r="N1554" s="90"/>
      <c r="O1554" s="90"/>
      <c r="P1554" s="90"/>
    </row>
    <row r="1555" spans="1:16" ht="13.2">
      <c r="A1555" s="90"/>
      <c r="B1555" s="92"/>
      <c r="C1555" s="90"/>
      <c r="D1555" s="90"/>
      <c r="E1555" s="90"/>
      <c r="F1555" s="90"/>
      <c r="G1555" s="90"/>
      <c r="H1555" s="90"/>
      <c r="I1555" s="90"/>
      <c r="J1555" s="90"/>
      <c r="K1555" s="90"/>
      <c r="L1555" s="90"/>
      <c r="M1555" s="90"/>
      <c r="N1555" s="90"/>
      <c r="O1555" s="90"/>
      <c r="P1555" s="90"/>
    </row>
    <row r="1556" spans="1:16" ht="13.2">
      <c r="A1556" s="90"/>
      <c r="B1556" s="92"/>
      <c r="C1556" s="90"/>
      <c r="D1556" s="90"/>
      <c r="E1556" s="90"/>
      <c r="F1556" s="90"/>
      <c r="G1556" s="90"/>
      <c r="H1556" s="90"/>
      <c r="I1556" s="90"/>
      <c r="J1556" s="90"/>
      <c r="K1556" s="90"/>
      <c r="L1556" s="90"/>
      <c r="M1556" s="90"/>
      <c r="N1556" s="90"/>
      <c r="O1556" s="90"/>
      <c r="P1556" s="90"/>
    </row>
    <row r="1557" spans="1:16" ht="13.2">
      <c r="A1557" s="90"/>
      <c r="B1557" s="92"/>
      <c r="C1557" s="90"/>
      <c r="D1557" s="90"/>
      <c r="E1557" s="90"/>
      <c r="F1557" s="90"/>
      <c r="G1557" s="90"/>
      <c r="H1557" s="90"/>
      <c r="I1557" s="90"/>
      <c r="J1557" s="90"/>
      <c r="K1557" s="90"/>
      <c r="L1557" s="90"/>
      <c r="M1557" s="90"/>
      <c r="N1557" s="90"/>
      <c r="O1557" s="90"/>
      <c r="P1557" s="90"/>
    </row>
    <row r="1558" spans="1:16" ht="13.2">
      <c r="A1558" s="90"/>
      <c r="B1558" s="92"/>
      <c r="C1558" s="90"/>
      <c r="D1558" s="90"/>
      <c r="E1558" s="90"/>
      <c r="F1558" s="90"/>
      <c r="G1558" s="90"/>
      <c r="H1558" s="90"/>
      <c r="I1558" s="90"/>
      <c r="J1558" s="90"/>
      <c r="K1558" s="90"/>
      <c r="L1558" s="90"/>
      <c r="M1558" s="90"/>
      <c r="N1558" s="90"/>
      <c r="O1558" s="90"/>
      <c r="P1558" s="90"/>
    </row>
    <row r="1559" spans="1:16" ht="13.2">
      <c r="A1559" s="90"/>
      <c r="B1559" s="92"/>
      <c r="C1559" s="90"/>
      <c r="D1559" s="90"/>
      <c r="E1559" s="90"/>
      <c r="F1559" s="90"/>
      <c r="G1559" s="90"/>
      <c r="H1559" s="90"/>
      <c r="I1559" s="90"/>
      <c r="J1559" s="90"/>
      <c r="K1559" s="90"/>
      <c r="L1559" s="90"/>
      <c r="M1559" s="90"/>
      <c r="N1559" s="90"/>
      <c r="O1559" s="90"/>
      <c r="P1559" s="90"/>
    </row>
    <row r="1560" spans="1:16" ht="13.2">
      <c r="A1560" s="90"/>
      <c r="B1560" s="92"/>
      <c r="C1560" s="90"/>
      <c r="D1560" s="90"/>
      <c r="E1560" s="90"/>
      <c r="F1560" s="90"/>
      <c r="G1560" s="90"/>
      <c r="H1560" s="90"/>
      <c r="I1560" s="90"/>
      <c r="J1560" s="90"/>
      <c r="K1560" s="90"/>
      <c r="L1560" s="90"/>
      <c r="M1560" s="90"/>
      <c r="N1560" s="90"/>
      <c r="O1560" s="90"/>
      <c r="P1560" s="90"/>
    </row>
    <row r="1561" spans="1:16" ht="13.2">
      <c r="A1561" s="90"/>
      <c r="B1561" s="92"/>
      <c r="C1561" s="90"/>
      <c r="D1561" s="90"/>
      <c r="E1561" s="90"/>
      <c r="F1561" s="90"/>
      <c r="G1561" s="90"/>
      <c r="H1561" s="90"/>
      <c r="I1561" s="90"/>
      <c r="J1561" s="90"/>
      <c r="K1561" s="90"/>
      <c r="L1561" s="90"/>
      <c r="M1561" s="90"/>
      <c r="N1561" s="90"/>
      <c r="O1561" s="90"/>
      <c r="P1561" s="90"/>
    </row>
    <row r="1562" spans="1:16" ht="13.2">
      <c r="A1562" s="90"/>
      <c r="B1562" s="92"/>
      <c r="C1562" s="90"/>
      <c r="D1562" s="90"/>
      <c r="E1562" s="90"/>
      <c r="F1562" s="90"/>
      <c r="G1562" s="90"/>
      <c r="H1562" s="90"/>
      <c r="I1562" s="90"/>
      <c r="J1562" s="90"/>
      <c r="K1562" s="90"/>
      <c r="L1562" s="90"/>
      <c r="M1562" s="90"/>
      <c r="N1562" s="90"/>
      <c r="O1562" s="90"/>
      <c r="P1562" s="90"/>
    </row>
    <row r="1563" spans="1:16" ht="13.2">
      <c r="A1563" s="90"/>
      <c r="B1563" s="92"/>
      <c r="C1563" s="90"/>
      <c r="D1563" s="90"/>
      <c r="E1563" s="90"/>
      <c r="F1563" s="90"/>
      <c r="G1563" s="90"/>
      <c r="H1563" s="90"/>
      <c r="I1563" s="90"/>
      <c r="J1563" s="90"/>
      <c r="K1563" s="90"/>
      <c r="L1563" s="90"/>
      <c r="M1563" s="90"/>
      <c r="N1563" s="90"/>
      <c r="O1563" s="90"/>
      <c r="P1563" s="90"/>
    </row>
    <row r="1564" spans="1:16" ht="13.2">
      <c r="A1564" s="90"/>
      <c r="B1564" s="92"/>
      <c r="C1564" s="90"/>
      <c r="D1564" s="90"/>
      <c r="E1564" s="90"/>
      <c r="F1564" s="90"/>
      <c r="G1564" s="90"/>
      <c r="H1564" s="90"/>
      <c r="I1564" s="90"/>
      <c r="J1564" s="90"/>
      <c r="K1564" s="90"/>
      <c r="L1564" s="90"/>
      <c r="M1564" s="90"/>
      <c r="N1564" s="90"/>
      <c r="O1564" s="90"/>
      <c r="P1564" s="90"/>
    </row>
    <row r="1565" spans="1:16" ht="13.2">
      <c r="A1565" s="90"/>
      <c r="B1565" s="92"/>
      <c r="C1565" s="90"/>
      <c r="D1565" s="90"/>
      <c r="E1565" s="90"/>
      <c r="F1565" s="90"/>
      <c r="G1565" s="90"/>
      <c r="H1565" s="90"/>
      <c r="I1565" s="90"/>
      <c r="J1565" s="90"/>
      <c r="K1565" s="90"/>
      <c r="L1565" s="90"/>
      <c r="M1565" s="90"/>
      <c r="N1565" s="90"/>
      <c r="O1565" s="90"/>
      <c r="P1565" s="90"/>
    </row>
    <row r="1566" spans="1:16" ht="13.2">
      <c r="A1566" s="90"/>
      <c r="B1566" s="92"/>
      <c r="C1566" s="90"/>
      <c r="D1566" s="90"/>
      <c r="E1566" s="90"/>
      <c r="F1566" s="90"/>
      <c r="G1566" s="90"/>
      <c r="H1566" s="90"/>
      <c r="I1566" s="90"/>
      <c r="J1566" s="90"/>
      <c r="K1566" s="90"/>
      <c r="L1566" s="90"/>
      <c r="M1566" s="90"/>
      <c r="N1566" s="90"/>
      <c r="O1566" s="90"/>
      <c r="P1566" s="90"/>
    </row>
    <row r="1567" spans="1:16" ht="13.2">
      <c r="A1567" s="90"/>
      <c r="B1567" s="92"/>
      <c r="C1567" s="90"/>
      <c r="D1567" s="90"/>
      <c r="E1567" s="90"/>
      <c r="F1567" s="90"/>
      <c r="G1567" s="90"/>
      <c r="H1567" s="90"/>
      <c r="I1567" s="90"/>
      <c r="J1567" s="90"/>
      <c r="K1567" s="90"/>
      <c r="L1567" s="90"/>
      <c r="M1567" s="90"/>
      <c r="N1567" s="90"/>
      <c r="O1567" s="90"/>
      <c r="P1567" s="90"/>
    </row>
    <row r="1568" spans="1:16" ht="13.2">
      <c r="A1568" s="90"/>
      <c r="B1568" s="92"/>
      <c r="C1568" s="90"/>
      <c r="D1568" s="90"/>
      <c r="E1568" s="90"/>
      <c r="F1568" s="90"/>
      <c r="G1568" s="90"/>
      <c r="H1568" s="90"/>
      <c r="I1568" s="90"/>
      <c r="J1568" s="90"/>
      <c r="K1568" s="90"/>
      <c r="L1568" s="90"/>
      <c r="M1568" s="90"/>
      <c r="N1568" s="90"/>
      <c r="O1568" s="90"/>
      <c r="P1568" s="90"/>
    </row>
    <row r="1569" spans="1:16" ht="13.2">
      <c r="A1569" s="90"/>
      <c r="B1569" s="92"/>
      <c r="C1569" s="90"/>
      <c r="D1569" s="90"/>
      <c r="E1569" s="90"/>
      <c r="F1569" s="90"/>
      <c r="G1569" s="90"/>
      <c r="H1569" s="90"/>
      <c r="I1569" s="90"/>
      <c r="J1569" s="90"/>
      <c r="K1569" s="90"/>
      <c r="L1569" s="90"/>
      <c r="M1569" s="90"/>
      <c r="N1569" s="90"/>
      <c r="O1569" s="90"/>
      <c r="P1569" s="90"/>
    </row>
    <row r="1570" spans="1:16" ht="13.2">
      <c r="A1570" s="90"/>
      <c r="B1570" s="92"/>
      <c r="C1570" s="90"/>
      <c r="D1570" s="90"/>
      <c r="E1570" s="90"/>
      <c r="F1570" s="90"/>
      <c r="G1570" s="90"/>
      <c r="H1570" s="90"/>
      <c r="I1570" s="90"/>
      <c r="J1570" s="90"/>
      <c r="K1570" s="90"/>
      <c r="L1570" s="90"/>
      <c r="M1570" s="90"/>
      <c r="N1570" s="90"/>
      <c r="O1570" s="90"/>
      <c r="P1570" s="90"/>
    </row>
    <row r="1571" spans="1:16" ht="13.2">
      <c r="A1571" s="90"/>
      <c r="B1571" s="92"/>
      <c r="C1571" s="90"/>
      <c r="D1571" s="90"/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</row>
    <row r="1572" spans="1:16" ht="13.2">
      <c r="A1572" s="90"/>
      <c r="B1572" s="92"/>
      <c r="C1572" s="90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</row>
    <row r="1573" spans="1:16" ht="13.2">
      <c r="A1573" s="90"/>
      <c r="B1573" s="92"/>
      <c r="C1573" s="90"/>
      <c r="D1573" s="90"/>
      <c r="E1573" s="90"/>
      <c r="F1573" s="90"/>
      <c r="G1573" s="90"/>
      <c r="H1573" s="90"/>
      <c r="I1573" s="90"/>
      <c r="J1573" s="90"/>
      <c r="K1573" s="90"/>
      <c r="L1573" s="90"/>
      <c r="M1573" s="90"/>
      <c r="N1573" s="90"/>
      <c r="O1573" s="90"/>
      <c r="P1573" s="90"/>
    </row>
    <row r="1574" spans="1:16" ht="13.2">
      <c r="A1574" s="90"/>
      <c r="B1574" s="92"/>
      <c r="C1574" s="90"/>
      <c r="D1574" s="90"/>
      <c r="E1574" s="90"/>
      <c r="F1574" s="90"/>
      <c r="G1574" s="90"/>
      <c r="H1574" s="90"/>
      <c r="I1574" s="90"/>
      <c r="J1574" s="90"/>
      <c r="K1574" s="90"/>
      <c r="L1574" s="90"/>
      <c r="M1574" s="90"/>
      <c r="N1574" s="90"/>
      <c r="O1574" s="90"/>
      <c r="P1574" s="90"/>
    </row>
    <row r="1575" spans="1:16" ht="13.2">
      <c r="A1575" s="90"/>
      <c r="B1575" s="92"/>
      <c r="C1575" s="90"/>
      <c r="D1575" s="90"/>
      <c r="E1575" s="90"/>
      <c r="F1575" s="90"/>
      <c r="G1575" s="90"/>
      <c r="H1575" s="90"/>
      <c r="I1575" s="90"/>
      <c r="J1575" s="90"/>
      <c r="K1575" s="90"/>
      <c r="L1575" s="90"/>
      <c r="M1575" s="90"/>
      <c r="N1575" s="90"/>
      <c r="O1575" s="90"/>
      <c r="P1575" s="90"/>
    </row>
    <row r="1576" spans="1:16" ht="13.2">
      <c r="A1576" s="90"/>
      <c r="B1576" s="92"/>
      <c r="C1576" s="90"/>
      <c r="D1576" s="90"/>
      <c r="E1576" s="90"/>
      <c r="F1576" s="90"/>
      <c r="G1576" s="90"/>
      <c r="H1576" s="90"/>
      <c r="I1576" s="90"/>
      <c r="J1576" s="90"/>
      <c r="K1576" s="90"/>
      <c r="L1576" s="90"/>
      <c r="M1576" s="90"/>
      <c r="N1576" s="90"/>
      <c r="O1576" s="90"/>
      <c r="P1576" s="90"/>
    </row>
    <row r="1577" spans="1:16" ht="13.2">
      <c r="A1577" s="90"/>
      <c r="B1577" s="92"/>
      <c r="C1577" s="90"/>
      <c r="D1577" s="90"/>
      <c r="E1577" s="90"/>
      <c r="F1577" s="90"/>
      <c r="G1577" s="90"/>
      <c r="H1577" s="90"/>
      <c r="I1577" s="90"/>
      <c r="J1577" s="90"/>
      <c r="K1577" s="90"/>
      <c r="L1577" s="90"/>
      <c r="M1577" s="90"/>
      <c r="N1577" s="90"/>
      <c r="O1577" s="90"/>
      <c r="P1577" s="90"/>
    </row>
    <row r="1578" spans="1:16" ht="13.2">
      <c r="A1578" s="90"/>
      <c r="B1578" s="92"/>
      <c r="C1578" s="90"/>
      <c r="D1578" s="90"/>
      <c r="E1578" s="90"/>
      <c r="F1578" s="90"/>
      <c r="G1578" s="90"/>
      <c r="H1578" s="90"/>
      <c r="I1578" s="90"/>
      <c r="J1578" s="90"/>
      <c r="K1578" s="90"/>
      <c r="L1578" s="90"/>
      <c r="M1578" s="90"/>
      <c r="N1578" s="90"/>
      <c r="O1578" s="90"/>
      <c r="P1578" s="90"/>
    </row>
    <row r="1579" spans="1:16" ht="13.2">
      <c r="A1579" s="90"/>
      <c r="B1579" s="92"/>
      <c r="C1579" s="90"/>
      <c r="D1579" s="90"/>
      <c r="E1579" s="90"/>
      <c r="F1579" s="90"/>
      <c r="G1579" s="90"/>
      <c r="H1579" s="90"/>
      <c r="I1579" s="90"/>
      <c r="J1579" s="90"/>
      <c r="K1579" s="90"/>
      <c r="L1579" s="90"/>
      <c r="M1579" s="90"/>
      <c r="N1579" s="90"/>
      <c r="O1579" s="90"/>
      <c r="P1579" s="90"/>
    </row>
    <row r="1580" spans="1:16" ht="13.2">
      <c r="A1580" s="90"/>
      <c r="B1580" s="92"/>
      <c r="C1580" s="90"/>
      <c r="D1580" s="90"/>
      <c r="E1580" s="90"/>
      <c r="F1580" s="90"/>
      <c r="G1580" s="90"/>
      <c r="H1580" s="90"/>
      <c r="I1580" s="90"/>
      <c r="J1580" s="90"/>
      <c r="K1580" s="90"/>
      <c r="L1580" s="90"/>
      <c r="M1580" s="90"/>
      <c r="N1580" s="90"/>
      <c r="O1580" s="90"/>
      <c r="P1580" s="90"/>
    </row>
    <row r="1581" spans="1:16" ht="13.2">
      <c r="A1581" s="90"/>
      <c r="B1581" s="92"/>
      <c r="C1581" s="90"/>
      <c r="D1581" s="90"/>
      <c r="E1581" s="90"/>
      <c r="F1581" s="90"/>
      <c r="G1581" s="90"/>
      <c r="H1581" s="90"/>
      <c r="I1581" s="90"/>
      <c r="J1581" s="90"/>
      <c r="K1581" s="90"/>
      <c r="L1581" s="90"/>
      <c r="M1581" s="90"/>
      <c r="N1581" s="90"/>
      <c r="O1581" s="90"/>
      <c r="P1581" s="90"/>
    </row>
    <row r="1582" spans="1:16" ht="13.2">
      <c r="A1582" s="90"/>
      <c r="B1582" s="92"/>
      <c r="C1582" s="90"/>
      <c r="D1582" s="90"/>
      <c r="E1582" s="90"/>
      <c r="F1582" s="90"/>
      <c r="G1582" s="90"/>
      <c r="H1582" s="90"/>
      <c r="I1582" s="90"/>
      <c r="J1582" s="90"/>
      <c r="K1582" s="90"/>
      <c r="L1582" s="90"/>
      <c r="M1582" s="90"/>
      <c r="N1582" s="90"/>
      <c r="O1582" s="90"/>
      <c r="P1582" s="90"/>
    </row>
    <row r="1583" spans="1:16" ht="13.2">
      <c r="A1583" s="90"/>
      <c r="B1583" s="92"/>
      <c r="C1583" s="90"/>
      <c r="D1583" s="90"/>
      <c r="E1583" s="90"/>
      <c r="F1583" s="90"/>
      <c r="G1583" s="90"/>
      <c r="H1583" s="90"/>
      <c r="I1583" s="90"/>
      <c r="J1583" s="90"/>
      <c r="K1583" s="90"/>
      <c r="L1583" s="90"/>
      <c r="M1583" s="90"/>
      <c r="N1583" s="90"/>
      <c r="O1583" s="90"/>
      <c r="P1583" s="90"/>
    </row>
    <row r="1584" spans="1:16" ht="13.2">
      <c r="A1584" s="90"/>
      <c r="B1584" s="92"/>
      <c r="C1584" s="90"/>
      <c r="D1584" s="90"/>
      <c r="E1584" s="90"/>
      <c r="F1584" s="90"/>
      <c r="G1584" s="90"/>
      <c r="H1584" s="90"/>
      <c r="I1584" s="90"/>
      <c r="J1584" s="90"/>
      <c r="K1584" s="90"/>
      <c r="L1584" s="90"/>
      <c r="M1584" s="90"/>
      <c r="N1584" s="90"/>
      <c r="O1584" s="90"/>
      <c r="P1584" s="90"/>
    </row>
    <row r="1585" spans="1:16" ht="13.2">
      <c r="A1585" s="90"/>
      <c r="B1585" s="92"/>
      <c r="C1585" s="90"/>
      <c r="D1585" s="90"/>
      <c r="E1585" s="90"/>
      <c r="F1585" s="90"/>
      <c r="G1585" s="90"/>
      <c r="H1585" s="90"/>
      <c r="I1585" s="90"/>
      <c r="J1585" s="90"/>
      <c r="K1585" s="90"/>
      <c r="L1585" s="90"/>
      <c r="M1585" s="90"/>
      <c r="N1585" s="90"/>
      <c r="O1585" s="90"/>
      <c r="P1585" s="90"/>
    </row>
    <row r="1586" spans="1:16" ht="13.2">
      <c r="A1586" s="90"/>
      <c r="B1586" s="92"/>
      <c r="C1586" s="90"/>
      <c r="D1586" s="90"/>
      <c r="E1586" s="90"/>
      <c r="F1586" s="90"/>
      <c r="G1586" s="90"/>
      <c r="H1586" s="90"/>
      <c r="I1586" s="90"/>
      <c r="J1586" s="90"/>
      <c r="K1586" s="90"/>
      <c r="L1586" s="90"/>
      <c r="M1586" s="90"/>
      <c r="N1586" s="90"/>
      <c r="O1586" s="90"/>
      <c r="P1586" s="90"/>
    </row>
    <row r="1587" spans="1:16" ht="13.2">
      <c r="A1587" s="90"/>
      <c r="B1587" s="92"/>
      <c r="C1587" s="90"/>
      <c r="D1587" s="90"/>
      <c r="E1587" s="90"/>
      <c r="F1587" s="90"/>
      <c r="G1587" s="90"/>
      <c r="H1587" s="90"/>
      <c r="I1587" s="90"/>
      <c r="J1587" s="90"/>
      <c r="K1587" s="90"/>
      <c r="L1587" s="90"/>
      <c r="M1587" s="90"/>
      <c r="N1587" s="90"/>
      <c r="O1587" s="90"/>
      <c r="P1587" s="90"/>
    </row>
    <row r="1588" spans="1:16" ht="13.2">
      <c r="A1588" s="90"/>
      <c r="B1588" s="92"/>
      <c r="C1588" s="90"/>
      <c r="D1588" s="90"/>
      <c r="E1588" s="90"/>
      <c r="F1588" s="90"/>
      <c r="G1588" s="90"/>
      <c r="H1588" s="90"/>
      <c r="I1588" s="90"/>
      <c r="J1588" s="90"/>
      <c r="K1588" s="90"/>
      <c r="L1588" s="90"/>
      <c r="M1588" s="90"/>
      <c r="N1588" s="90"/>
      <c r="O1588" s="90"/>
      <c r="P1588" s="90"/>
    </row>
    <row r="1589" spans="1:16" ht="13.2">
      <c r="A1589" s="90"/>
      <c r="B1589" s="92"/>
      <c r="C1589" s="90"/>
      <c r="D1589" s="90"/>
      <c r="E1589" s="90"/>
      <c r="F1589" s="90"/>
      <c r="G1589" s="90"/>
      <c r="H1589" s="90"/>
      <c r="I1589" s="90"/>
      <c r="J1589" s="90"/>
      <c r="K1589" s="90"/>
      <c r="L1589" s="90"/>
      <c r="M1589" s="90"/>
      <c r="N1589" s="90"/>
      <c r="O1589" s="90"/>
      <c r="P1589" s="90"/>
    </row>
    <row r="1590" spans="1:16" ht="13.2">
      <c r="A1590" s="90"/>
      <c r="B1590" s="92"/>
      <c r="C1590" s="90"/>
      <c r="D1590" s="90"/>
      <c r="E1590" s="90"/>
      <c r="F1590" s="90"/>
      <c r="G1590" s="90"/>
      <c r="H1590" s="90"/>
      <c r="I1590" s="90"/>
      <c r="J1590" s="90"/>
      <c r="K1590" s="90"/>
      <c r="L1590" s="90"/>
      <c r="M1590" s="90"/>
      <c r="N1590" s="90"/>
      <c r="O1590" s="90"/>
      <c r="P1590" s="90"/>
    </row>
    <row r="1591" spans="1:16" ht="13.2">
      <c r="A1591" s="90"/>
      <c r="B1591" s="92"/>
      <c r="C1591" s="90"/>
      <c r="D1591" s="90"/>
      <c r="E1591" s="90"/>
      <c r="F1591" s="90"/>
      <c r="G1591" s="90"/>
      <c r="H1591" s="90"/>
      <c r="I1591" s="90"/>
      <c r="J1591" s="90"/>
      <c r="K1591" s="90"/>
      <c r="L1591" s="90"/>
      <c r="M1591" s="90"/>
      <c r="N1591" s="90"/>
      <c r="O1591" s="90"/>
      <c r="P1591" s="90"/>
    </row>
    <row r="1592" spans="1:16" ht="13.2">
      <c r="A1592" s="90"/>
      <c r="B1592" s="92"/>
      <c r="C1592" s="90"/>
      <c r="D1592" s="90"/>
      <c r="E1592" s="90"/>
      <c r="F1592" s="90"/>
      <c r="G1592" s="90"/>
      <c r="H1592" s="90"/>
      <c r="I1592" s="90"/>
      <c r="J1592" s="90"/>
      <c r="K1592" s="90"/>
      <c r="L1592" s="90"/>
      <c r="M1592" s="90"/>
      <c r="N1592" s="90"/>
      <c r="O1592" s="90"/>
      <c r="P1592" s="90"/>
    </row>
    <row r="1593" spans="1:16" ht="13.2">
      <c r="A1593" s="90"/>
      <c r="B1593" s="92"/>
      <c r="C1593" s="90"/>
      <c r="D1593" s="90"/>
      <c r="E1593" s="90"/>
      <c r="F1593" s="90"/>
      <c r="G1593" s="90"/>
      <c r="H1593" s="90"/>
      <c r="I1593" s="90"/>
      <c r="J1593" s="90"/>
      <c r="K1593" s="90"/>
      <c r="L1593" s="90"/>
      <c r="M1593" s="90"/>
      <c r="N1593" s="90"/>
      <c r="O1593" s="90"/>
      <c r="P1593" s="90"/>
    </row>
    <row r="1594" spans="1:16" ht="13.2">
      <c r="A1594" s="90"/>
      <c r="B1594" s="92"/>
      <c r="C1594" s="90"/>
      <c r="D1594" s="90"/>
      <c r="E1594" s="90"/>
      <c r="F1594" s="90"/>
      <c r="G1594" s="90"/>
      <c r="H1594" s="90"/>
      <c r="I1594" s="90"/>
      <c r="J1594" s="90"/>
      <c r="K1594" s="90"/>
      <c r="L1594" s="90"/>
      <c r="M1594" s="90"/>
      <c r="N1594" s="90"/>
      <c r="O1594" s="90"/>
      <c r="P1594" s="90"/>
    </row>
    <row r="1595" spans="1:16" ht="13.2">
      <c r="A1595" s="90"/>
      <c r="B1595" s="92"/>
      <c r="C1595" s="90"/>
      <c r="D1595" s="90"/>
      <c r="E1595" s="90"/>
      <c r="F1595" s="90"/>
      <c r="G1595" s="90"/>
      <c r="H1595" s="90"/>
      <c r="I1595" s="90"/>
      <c r="J1595" s="90"/>
      <c r="K1595" s="90"/>
      <c r="L1595" s="90"/>
      <c r="M1595" s="90"/>
      <c r="N1595" s="90"/>
      <c r="O1595" s="90"/>
      <c r="P1595" s="90"/>
    </row>
    <row r="1596" spans="1:16" ht="13.2">
      <c r="A1596" s="90"/>
      <c r="B1596" s="92"/>
      <c r="C1596" s="90"/>
      <c r="D1596" s="90"/>
      <c r="E1596" s="90"/>
      <c r="F1596" s="90"/>
      <c r="G1596" s="90"/>
      <c r="H1596" s="90"/>
      <c r="I1596" s="90"/>
      <c r="J1596" s="90"/>
      <c r="K1596" s="90"/>
      <c r="L1596" s="90"/>
      <c r="M1596" s="90"/>
      <c r="N1596" s="90"/>
      <c r="O1596" s="90"/>
      <c r="P1596" s="90"/>
    </row>
    <row r="1597" spans="1:16" ht="13.2">
      <c r="A1597" s="90"/>
      <c r="B1597" s="92"/>
      <c r="C1597" s="90"/>
      <c r="D1597" s="90"/>
      <c r="E1597" s="90"/>
      <c r="F1597" s="90"/>
      <c r="G1597" s="90"/>
      <c r="H1597" s="90"/>
      <c r="I1597" s="90"/>
      <c r="J1597" s="90"/>
      <c r="K1597" s="90"/>
      <c r="L1597" s="90"/>
      <c r="M1597" s="90"/>
      <c r="N1597" s="90"/>
      <c r="O1597" s="90"/>
      <c r="P1597" s="90"/>
    </row>
    <row r="1598" spans="1:16" ht="13.2">
      <c r="A1598" s="90"/>
      <c r="B1598" s="92"/>
      <c r="C1598" s="90"/>
      <c r="D1598" s="90"/>
      <c r="E1598" s="90"/>
      <c r="F1598" s="90"/>
      <c r="G1598" s="90"/>
      <c r="H1598" s="90"/>
      <c r="I1598" s="90"/>
      <c r="J1598" s="90"/>
      <c r="K1598" s="90"/>
      <c r="L1598" s="90"/>
      <c r="M1598" s="90"/>
      <c r="N1598" s="90"/>
      <c r="O1598" s="90"/>
      <c r="P1598" s="90"/>
    </row>
    <row r="1599" spans="1:16" ht="13.2">
      <c r="A1599" s="90"/>
      <c r="B1599" s="92"/>
      <c r="C1599" s="90"/>
      <c r="D1599" s="90"/>
      <c r="E1599" s="90"/>
      <c r="F1599" s="90"/>
      <c r="G1599" s="90"/>
      <c r="H1599" s="90"/>
      <c r="I1599" s="90"/>
      <c r="J1599" s="90"/>
      <c r="K1599" s="90"/>
      <c r="L1599" s="90"/>
      <c r="M1599" s="90"/>
      <c r="N1599" s="90"/>
      <c r="O1599" s="90"/>
      <c r="P1599" s="90"/>
    </row>
    <row r="1600" spans="1:16" ht="13.2">
      <c r="A1600" s="90"/>
      <c r="B1600" s="92"/>
      <c r="C1600" s="90"/>
      <c r="D1600" s="90"/>
      <c r="E1600" s="90"/>
      <c r="F1600" s="90"/>
      <c r="G1600" s="90"/>
      <c r="H1600" s="90"/>
      <c r="I1600" s="90"/>
      <c r="J1600" s="90"/>
      <c r="K1600" s="90"/>
      <c r="L1600" s="90"/>
      <c r="M1600" s="90"/>
      <c r="N1600" s="90"/>
      <c r="O1600" s="90"/>
      <c r="P1600" s="90"/>
    </row>
    <row r="1601" spans="1:16" ht="13.2">
      <c r="A1601" s="90"/>
      <c r="B1601" s="92"/>
      <c r="C1601" s="90"/>
      <c r="D1601" s="90"/>
      <c r="E1601" s="90"/>
      <c r="F1601" s="90"/>
      <c r="G1601" s="90"/>
      <c r="H1601" s="90"/>
      <c r="I1601" s="90"/>
      <c r="J1601" s="90"/>
      <c r="K1601" s="90"/>
      <c r="L1601" s="90"/>
      <c r="M1601" s="90"/>
      <c r="N1601" s="90"/>
      <c r="O1601" s="90"/>
      <c r="P1601" s="90"/>
    </row>
    <row r="1602" spans="1:16" ht="13.2">
      <c r="A1602" s="90"/>
      <c r="B1602" s="92"/>
      <c r="C1602" s="90"/>
      <c r="D1602" s="90"/>
      <c r="E1602" s="90"/>
      <c r="F1602" s="90"/>
      <c r="G1602" s="90"/>
      <c r="H1602" s="90"/>
      <c r="I1602" s="90"/>
      <c r="J1602" s="90"/>
      <c r="K1602" s="90"/>
      <c r="L1602" s="90"/>
      <c r="M1602" s="90"/>
      <c r="N1602" s="90"/>
      <c r="O1602" s="90"/>
      <c r="P1602" s="90"/>
    </row>
    <row r="1603" spans="1:16" ht="13.2">
      <c r="A1603" s="90"/>
      <c r="B1603" s="92"/>
      <c r="C1603" s="90"/>
      <c r="D1603" s="90"/>
      <c r="E1603" s="90"/>
      <c r="F1603" s="90"/>
      <c r="G1603" s="90"/>
      <c r="H1603" s="90"/>
      <c r="I1603" s="90"/>
      <c r="J1603" s="90"/>
      <c r="K1603" s="90"/>
      <c r="L1603" s="90"/>
      <c r="M1603" s="90"/>
      <c r="N1603" s="90"/>
      <c r="O1603" s="90"/>
      <c r="P1603" s="90"/>
    </row>
    <row r="1604" spans="1:16" ht="13.2">
      <c r="A1604" s="90"/>
      <c r="B1604" s="92"/>
      <c r="C1604" s="90"/>
      <c r="D1604" s="90"/>
      <c r="E1604" s="90"/>
      <c r="F1604" s="90"/>
      <c r="G1604" s="90"/>
      <c r="H1604" s="90"/>
      <c r="I1604" s="90"/>
      <c r="J1604" s="90"/>
      <c r="K1604" s="90"/>
      <c r="L1604" s="90"/>
      <c r="M1604" s="90"/>
      <c r="N1604" s="90"/>
      <c r="O1604" s="90"/>
      <c r="P1604" s="90"/>
    </row>
    <row r="1605" spans="1:16" ht="13.2">
      <c r="A1605" s="90"/>
      <c r="B1605" s="92"/>
      <c r="C1605" s="90"/>
      <c r="D1605" s="90"/>
      <c r="E1605" s="90"/>
      <c r="F1605" s="90"/>
      <c r="G1605" s="90"/>
      <c r="H1605" s="90"/>
      <c r="I1605" s="90"/>
      <c r="J1605" s="90"/>
      <c r="K1605" s="90"/>
      <c r="L1605" s="90"/>
      <c r="M1605" s="90"/>
      <c r="N1605" s="90"/>
      <c r="O1605" s="90"/>
      <c r="P1605" s="90"/>
    </row>
    <row r="1606" spans="1:16" ht="13.2">
      <c r="A1606" s="90"/>
      <c r="B1606" s="92"/>
      <c r="C1606" s="90"/>
      <c r="D1606" s="90"/>
      <c r="E1606" s="90"/>
      <c r="F1606" s="90"/>
      <c r="G1606" s="90"/>
      <c r="H1606" s="90"/>
      <c r="I1606" s="90"/>
      <c r="J1606" s="90"/>
      <c r="K1606" s="90"/>
      <c r="L1606" s="90"/>
      <c r="M1606" s="90"/>
      <c r="N1606" s="90"/>
      <c r="O1606" s="90"/>
      <c r="P1606" s="90"/>
    </row>
    <row r="1607" spans="1:16" ht="13.2">
      <c r="A1607" s="90"/>
      <c r="B1607" s="92"/>
      <c r="C1607" s="90"/>
      <c r="D1607" s="90"/>
      <c r="E1607" s="90"/>
      <c r="F1607" s="90"/>
      <c r="G1607" s="90"/>
      <c r="H1607" s="90"/>
      <c r="I1607" s="90"/>
      <c r="J1607" s="90"/>
      <c r="K1607" s="90"/>
      <c r="L1607" s="90"/>
      <c r="M1607" s="90"/>
      <c r="N1607" s="90"/>
      <c r="O1607" s="90"/>
      <c r="P1607" s="90"/>
    </row>
    <row r="1608" spans="1:16" ht="13.2">
      <c r="A1608" s="90"/>
      <c r="B1608" s="92"/>
      <c r="C1608" s="90"/>
      <c r="D1608" s="90"/>
      <c r="E1608" s="90"/>
      <c r="F1608" s="90"/>
      <c r="G1608" s="90"/>
      <c r="H1608" s="90"/>
      <c r="I1608" s="90"/>
      <c r="J1608" s="90"/>
      <c r="K1608" s="90"/>
      <c r="L1608" s="90"/>
      <c r="M1608" s="90"/>
      <c r="N1608" s="90"/>
      <c r="O1608" s="90"/>
      <c r="P1608" s="90"/>
    </row>
    <row r="1609" spans="1:16" ht="13.2">
      <c r="A1609" s="90"/>
      <c r="B1609" s="92"/>
      <c r="C1609" s="90"/>
      <c r="D1609" s="90"/>
      <c r="E1609" s="90"/>
      <c r="F1609" s="90"/>
      <c r="G1609" s="90"/>
      <c r="H1609" s="90"/>
      <c r="I1609" s="90"/>
      <c r="J1609" s="90"/>
      <c r="K1609" s="90"/>
      <c r="L1609" s="90"/>
      <c r="M1609" s="90"/>
      <c r="N1609" s="90"/>
      <c r="O1609" s="90"/>
      <c r="P1609" s="90"/>
    </row>
    <row r="1610" spans="1:16" ht="13.2">
      <c r="A1610" s="90"/>
      <c r="B1610" s="92"/>
      <c r="C1610" s="90"/>
      <c r="D1610" s="90"/>
      <c r="E1610" s="90"/>
      <c r="F1610" s="90"/>
      <c r="G1610" s="90"/>
      <c r="H1610" s="90"/>
      <c r="I1610" s="90"/>
      <c r="J1610" s="90"/>
      <c r="K1610" s="90"/>
      <c r="L1610" s="90"/>
      <c r="M1610" s="90"/>
      <c r="N1610" s="90"/>
      <c r="O1610" s="90"/>
      <c r="P1610" s="90"/>
    </row>
    <row r="1611" spans="1:16" ht="13.2">
      <c r="A1611" s="90"/>
      <c r="B1611" s="92"/>
      <c r="C1611" s="90"/>
      <c r="D1611" s="90"/>
      <c r="E1611" s="90"/>
      <c r="F1611" s="90"/>
      <c r="G1611" s="90"/>
      <c r="H1611" s="90"/>
      <c r="I1611" s="90"/>
      <c r="J1611" s="90"/>
      <c r="K1611" s="90"/>
      <c r="L1611" s="90"/>
      <c r="M1611" s="90"/>
      <c r="N1611" s="90"/>
      <c r="O1611" s="90"/>
      <c r="P1611" s="90"/>
    </row>
    <row r="1612" spans="1:16" ht="13.2">
      <c r="A1612" s="90"/>
      <c r="B1612" s="92"/>
      <c r="C1612" s="90"/>
      <c r="D1612" s="90"/>
      <c r="E1612" s="90"/>
      <c r="F1612" s="90"/>
      <c r="G1612" s="90"/>
      <c r="H1612" s="90"/>
      <c r="I1612" s="90"/>
      <c r="J1612" s="90"/>
      <c r="K1612" s="90"/>
      <c r="L1612" s="90"/>
      <c r="M1612" s="90"/>
      <c r="N1612" s="90"/>
      <c r="O1612" s="90"/>
      <c r="P1612" s="90"/>
    </row>
    <row r="1613" spans="1:16" ht="13.2">
      <c r="A1613" s="90"/>
      <c r="B1613" s="92"/>
      <c r="C1613" s="90"/>
      <c r="D1613" s="90"/>
      <c r="E1613" s="90"/>
      <c r="F1613" s="90"/>
      <c r="G1613" s="90"/>
      <c r="H1613" s="90"/>
      <c r="I1613" s="90"/>
      <c r="J1613" s="90"/>
      <c r="K1613" s="90"/>
      <c r="L1613" s="90"/>
      <c r="M1613" s="90"/>
      <c r="N1613" s="90"/>
      <c r="O1613" s="90"/>
      <c r="P1613" s="90"/>
    </row>
    <row r="1614" spans="1:16" ht="13.2">
      <c r="A1614" s="90"/>
      <c r="B1614" s="92"/>
      <c r="C1614" s="90"/>
      <c r="D1614" s="90"/>
      <c r="E1614" s="90"/>
      <c r="F1614" s="90"/>
      <c r="G1614" s="90"/>
      <c r="H1614" s="90"/>
      <c r="I1614" s="90"/>
      <c r="J1614" s="90"/>
      <c r="K1614" s="90"/>
      <c r="L1614" s="90"/>
      <c r="M1614" s="90"/>
      <c r="N1614" s="90"/>
      <c r="O1614" s="90"/>
      <c r="P1614" s="90"/>
    </row>
    <row r="1615" spans="1:16" ht="13.2">
      <c r="A1615" s="90"/>
      <c r="B1615" s="92"/>
      <c r="C1615" s="90"/>
      <c r="D1615" s="90"/>
      <c r="E1615" s="90"/>
      <c r="F1615" s="90"/>
      <c r="G1615" s="90"/>
      <c r="H1615" s="90"/>
      <c r="I1615" s="90"/>
      <c r="J1615" s="90"/>
      <c r="K1615" s="90"/>
      <c r="L1615" s="90"/>
      <c r="M1615" s="90"/>
      <c r="N1615" s="90"/>
      <c r="O1615" s="90"/>
      <c r="P1615" s="90"/>
    </row>
    <row r="1616" spans="1:16" ht="13.2">
      <c r="A1616" s="90"/>
      <c r="B1616" s="92"/>
      <c r="C1616" s="90"/>
      <c r="D1616" s="90"/>
      <c r="E1616" s="90"/>
      <c r="F1616" s="90"/>
      <c r="G1616" s="90"/>
      <c r="H1616" s="90"/>
      <c r="I1616" s="90"/>
      <c r="J1616" s="90"/>
      <c r="K1616" s="90"/>
      <c r="L1616" s="90"/>
      <c r="M1616" s="90"/>
      <c r="N1616" s="90"/>
      <c r="O1616" s="90"/>
      <c r="P1616" s="90"/>
    </row>
    <row r="1617" spans="1:16" ht="13.2">
      <c r="A1617" s="90"/>
      <c r="B1617" s="92"/>
      <c r="C1617" s="90"/>
      <c r="D1617" s="90"/>
      <c r="E1617" s="90"/>
      <c r="F1617" s="90"/>
      <c r="G1617" s="90"/>
      <c r="H1617" s="90"/>
      <c r="I1617" s="90"/>
      <c r="J1617" s="90"/>
      <c r="K1617" s="90"/>
      <c r="L1617" s="90"/>
      <c r="M1617" s="90"/>
      <c r="N1617" s="90"/>
      <c r="O1617" s="90"/>
      <c r="P1617" s="90"/>
    </row>
    <row r="1618" spans="1:16" ht="13.2">
      <c r="A1618" s="90"/>
      <c r="B1618" s="92"/>
      <c r="C1618" s="90"/>
      <c r="D1618" s="90"/>
      <c r="E1618" s="90"/>
      <c r="F1618" s="90"/>
      <c r="G1618" s="90"/>
      <c r="H1618" s="90"/>
      <c r="I1618" s="90"/>
      <c r="J1618" s="90"/>
      <c r="K1618" s="90"/>
      <c r="L1618" s="90"/>
      <c r="M1618" s="90"/>
      <c r="N1618" s="90"/>
      <c r="O1618" s="90"/>
      <c r="P1618" s="90"/>
    </row>
    <row r="1619" spans="1:16" ht="13.2">
      <c r="A1619" s="90"/>
      <c r="B1619" s="92"/>
      <c r="C1619" s="90"/>
      <c r="D1619" s="90"/>
      <c r="E1619" s="90"/>
      <c r="F1619" s="90"/>
      <c r="G1619" s="90"/>
      <c r="H1619" s="90"/>
      <c r="I1619" s="90"/>
      <c r="J1619" s="90"/>
      <c r="K1619" s="90"/>
      <c r="L1619" s="90"/>
      <c r="M1619" s="90"/>
      <c r="N1619" s="90"/>
      <c r="O1619" s="90"/>
      <c r="P1619" s="90"/>
    </row>
    <row r="1620" spans="1:16" ht="13.2">
      <c r="A1620" s="90"/>
      <c r="B1620" s="92"/>
      <c r="C1620" s="90"/>
      <c r="D1620" s="90"/>
      <c r="E1620" s="90"/>
      <c r="F1620" s="90"/>
      <c r="G1620" s="90"/>
      <c r="H1620" s="90"/>
      <c r="I1620" s="90"/>
      <c r="J1620" s="90"/>
      <c r="K1620" s="90"/>
      <c r="L1620" s="90"/>
      <c r="M1620" s="90"/>
      <c r="N1620" s="90"/>
      <c r="O1620" s="90"/>
      <c r="P1620" s="90"/>
    </row>
    <row r="1621" spans="1:16" ht="13.2">
      <c r="A1621" s="90"/>
      <c r="B1621" s="92"/>
      <c r="C1621" s="90"/>
      <c r="D1621" s="90"/>
      <c r="E1621" s="90"/>
      <c r="F1621" s="90"/>
      <c r="G1621" s="90"/>
      <c r="H1621" s="90"/>
      <c r="I1621" s="90"/>
      <c r="J1621" s="90"/>
      <c r="K1621" s="90"/>
      <c r="L1621" s="90"/>
      <c r="M1621" s="90"/>
      <c r="N1621" s="90"/>
      <c r="O1621" s="90"/>
      <c r="P1621" s="90"/>
    </row>
    <row r="1622" spans="1:16" ht="13.2">
      <c r="A1622" s="90"/>
      <c r="B1622" s="92"/>
      <c r="C1622" s="90"/>
      <c r="D1622" s="90"/>
      <c r="E1622" s="90"/>
      <c r="F1622" s="90"/>
      <c r="G1622" s="90"/>
      <c r="H1622" s="90"/>
      <c r="I1622" s="90"/>
      <c r="J1622" s="90"/>
      <c r="K1622" s="90"/>
      <c r="L1622" s="90"/>
      <c r="M1622" s="90"/>
      <c r="N1622" s="90"/>
      <c r="O1622" s="90"/>
      <c r="P1622" s="90"/>
    </row>
    <row r="1623" spans="1:16" ht="13.2">
      <c r="A1623" s="90"/>
      <c r="B1623" s="92"/>
      <c r="C1623" s="90"/>
      <c r="D1623" s="90"/>
      <c r="E1623" s="90"/>
      <c r="F1623" s="90"/>
      <c r="G1623" s="90"/>
      <c r="H1623" s="90"/>
      <c r="I1623" s="90"/>
      <c r="J1623" s="90"/>
      <c r="K1623" s="90"/>
      <c r="L1623" s="90"/>
      <c r="M1623" s="90"/>
      <c r="N1623" s="90"/>
      <c r="O1623" s="90"/>
      <c r="P1623" s="90"/>
    </row>
    <row r="1624" spans="1:16" ht="13.2">
      <c r="A1624" s="90"/>
      <c r="B1624" s="92"/>
      <c r="C1624" s="90"/>
      <c r="D1624" s="90"/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</row>
    <row r="1625" spans="1:16" ht="13.2">
      <c r="A1625" s="90"/>
      <c r="B1625" s="92"/>
      <c r="C1625" s="90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</row>
    <row r="1626" spans="1:16" ht="13.2">
      <c r="A1626" s="90"/>
      <c r="B1626" s="92"/>
      <c r="C1626" s="90"/>
      <c r="D1626" s="90"/>
      <c r="E1626" s="90"/>
      <c r="F1626" s="90"/>
      <c r="G1626" s="90"/>
      <c r="H1626" s="90"/>
      <c r="I1626" s="90"/>
      <c r="J1626" s="90"/>
      <c r="K1626" s="90"/>
      <c r="L1626" s="90"/>
      <c r="M1626" s="90"/>
      <c r="N1626" s="90"/>
      <c r="O1626" s="90"/>
      <c r="P1626" s="90"/>
    </row>
    <row r="1627" spans="1:16" ht="13.2">
      <c r="A1627" s="90"/>
      <c r="B1627" s="92"/>
      <c r="C1627" s="90"/>
      <c r="D1627" s="90"/>
      <c r="E1627" s="90"/>
      <c r="F1627" s="90"/>
      <c r="G1627" s="90"/>
      <c r="H1627" s="90"/>
      <c r="I1627" s="90"/>
      <c r="J1627" s="90"/>
      <c r="K1627" s="90"/>
      <c r="L1627" s="90"/>
      <c r="M1627" s="90"/>
      <c r="N1627" s="90"/>
      <c r="O1627" s="90"/>
      <c r="P1627" s="90"/>
    </row>
    <row r="1628" spans="1:16" ht="13.2">
      <c r="A1628" s="90"/>
      <c r="B1628" s="92"/>
      <c r="C1628" s="90"/>
      <c r="D1628" s="90"/>
      <c r="E1628" s="90"/>
      <c r="F1628" s="90"/>
      <c r="G1628" s="90"/>
      <c r="H1628" s="90"/>
      <c r="I1628" s="90"/>
      <c r="J1628" s="90"/>
      <c r="K1628" s="90"/>
      <c r="L1628" s="90"/>
      <c r="M1628" s="90"/>
      <c r="N1628" s="90"/>
      <c r="O1628" s="90"/>
      <c r="P1628" s="90"/>
    </row>
    <row r="1629" spans="1:16" ht="13.2">
      <c r="A1629" s="90"/>
      <c r="B1629" s="92"/>
      <c r="C1629" s="90"/>
      <c r="D1629" s="90"/>
      <c r="E1629" s="90"/>
      <c r="F1629" s="90"/>
      <c r="G1629" s="90"/>
      <c r="H1629" s="90"/>
      <c r="I1629" s="90"/>
      <c r="J1629" s="90"/>
      <c r="K1629" s="90"/>
      <c r="L1629" s="90"/>
      <c r="M1629" s="90"/>
      <c r="N1629" s="90"/>
      <c r="O1629" s="90"/>
      <c r="P1629" s="90"/>
    </row>
    <row r="1630" spans="1:16" ht="13.2">
      <c r="A1630" s="90"/>
      <c r="B1630" s="92"/>
      <c r="C1630" s="90"/>
      <c r="D1630" s="90"/>
      <c r="E1630" s="90"/>
      <c r="F1630" s="90"/>
      <c r="G1630" s="90"/>
      <c r="H1630" s="90"/>
      <c r="I1630" s="90"/>
      <c r="J1630" s="90"/>
      <c r="K1630" s="90"/>
      <c r="L1630" s="90"/>
      <c r="M1630" s="90"/>
      <c r="N1630" s="90"/>
      <c r="O1630" s="90"/>
      <c r="P1630" s="90"/>
    </row>
    <row r="1631" spans="1:16" ht="13.2">
      <c r="A1631" s="90"/>
      <c r="B1631" s="92"/>
      <c r="C1631" s="90"/>
      <c r="D1631" s="90"/>
      <c r="E1631" s="90"/>
      <c r="F1631" s="90"/>
      <c r="G1631" s="90"/>
      <c r="H1631" s="90"/>
      <c r="I1631" s="90"/>
      <c r="J1631" s="90"/>
      <c r="K1631" s="90"/>
      <c r="L1631" s="90"/>
      <c r="M1631" s="90"/>
      <c r="N1631" s="90"/>
      <c r="O1631" s="90"/>
      <c r="P1631" s="90"/>
    </row>
    <row r="1632" spans="1:16" ht="13.2">
      <c r="A1632" s="90"/>
      <c r="B1632" s="92"/>
      <c r="C1632" s="90"/>
      <c r="D1632" s="90"/>
      <c r="E1632" s="90"/>
      <c r="F1632" s="90"/>
      <c r="G1632" s="90"/>
      <c r="H1632" s="90"/>
      <c r="I1632" s="90"/>
      <c r="J1632" s="90"/>
      <c r="K1632" s="90"/>
      <c r="L1632" s="90"/>
      <c r="M1632" s="90"/>
      <c r="N1632" s="90"/>
      <c r="O1632" s="90"/>
      <c r="P1632" s="90"/>
    </row>
    <row r="1633" spans="1:16" ht="13.2">
      <c r="A1633" s="90"/>
      <c r="B1633" s="92"/>
      <c r="C1633" s="90"/>
      <c r="D1633" s="90"/>
      <c r="E1633" s="90"/>
      <c r="F1633" s="90"/>
      <c r="G1633" s="90"/>
      <c r="H1633" s="90"/>
      <c r="I1633" s="90"/>
      <c r="J1633" s="90"/>
      <c r="K1633" s="90"/>
      <c r="L1633" s="90"/>
      <c r="M1633" s="90"/>
      <c r="N1633" s="90"/>
      <c r="O1633" s="90"/>
      <c r="P1633" s="90"/>
    </row>
    <row r="1634" spans="1:16" ht="13.2">
      <c r="A1634" s="90"/>
      <c r="B1634" s="92"/>
      <c r="C1634" s="90"/>
      <c r="D1634" s="90"/>
      <c r="E1634" s="90"/>
      <c r="F1634" s="90"/>
      <c r="G1634" s="90"/>
      <c r="H1634" s="90"/>
      <c r="I1634" s="90"/>
      <c r="J1634" s="90"/>
      <c r="K1634" s="90"/>
      <c r="L1634" s="90"/>
      <c r="M1634" s="90"/>
      <c r="N1634" s="90"/>
      <c r="O1634" s="90"/>
      <c r="P1634" s="90"/>
    </row>
    <row r="1635" spans="1:16" ht="13.2">
      <c r="A1635" s="90"/>
      <c r="B1635" s="92"/>
      <c r="C1635" s="90"/>
      <c r="D1635" s="90"/>
      <c r="E1635" s="90"/>
      <c r="F1635" s="90"/>
      <c r="G1635" s="90"/>
      <c r="H1635" s="90"/>
      <c r="I1635" s="90"/>
      <c r="J1635" s="90"/>
      <c r="K1635" s="90"/>
      <c r="L1635" s="90"/>
      <c r="M1635" s="90"/>
      <c r="N1635" s="90"/>
      <c r="O1635" s="90"/>
      <c r="P1635" s="90"/>
    </row>
    <row r="1636" spans="1:16" ht="13.2">
      <c r="A1636" s="90"/>
      <c r="B1636" s="92"/>
      <c r="C1636" s="90"/>
      <c r="D1636" s="90"/>
      <c r="E1636" s="90"/>
      <c r="F1636" s="90"/>
      <c r="G1636" s="90"/>
      <c r="H1636" s="90"/>
      <c r="I1636" s="90"/>
      <c r="J1636" s="90"/>
      <c r="K1636" s="90"/>
      <c r="L1636" s="90"/>
      <c r="M1636" s="90"/>
      <c r="N1636" s="90"/>
      <c r="O1636" s="90"/>
      <c r="P1636" s="90"/>
    </row>
    <row r="1637" spans="1:16" ht="13.2">
      <c r="A1637" s="90"/>
      <c r="B1637" s="92"/>
      <c r="C1637" s="90"/>
      <c r="D1637" s="90"/>
      <c r="E1637" s="90"/>
      <c r="F1637" s="90"/>
      <c r="G1637" s="90"/>
      <c r="H1637" s="90"/>
      <c r="I1637" s="90"/>
      <c r="J1637" s="90"/>
      <c r="K1637" s="90"/>
      <c r="L1637" s="90"/>
      <c r="M1637" s="90"/>
      <c r="N1637" s="90"/>
      <c r="O1637" s="90"/>
      <c r="P1637" s="90"/>
    </row>
    <row r="1638" spans="1:16" ht="13.2">
      <c r="A1638" s="90"/>
      <c r="B1638" s="92"/>
      <c r="C1638" s="90"/>
      <c r="D1638" s="90"/>
      <c r="E1638" s="90"/>
      <c r="F1638" s="90"/>
      <c r="G1638" s="90"/>
      <c r="H1638" s="90"/>
      <c r="I1638" s="90"/>
      <c r="J1638" s="90"/>
      <c r="K1638" s="90"/>
      <c r="L1638" s="90"/>
      <c r="M1638" s="90"/>
      <c r="N1638" s="90"/>
      <c r="O1638" s="90"/>
      <c r="P1638" s="90"/>
    </row>
    <row r="1639" spans="1:16" ht="13.2">
      <c r="A1639" s="90"/>
      <c r="B1639" s="92"/>
      <c r="C1639" s="90"/>
      <c r="D1639" s="90"/>
      <c r="E1639" s="90"/>
      <c r="F1639" s="90"/>
      <c r="G1639" s="90"/>
      <c r="H1639" s="90"/>
      <c r="I1639" s="90"/>
      <c r="J1639" s="90"/>
      <c r="K1639" s="90"/>
      <c r="L1639" s="90"/>
      <c r="M1639" s="90"/>
      <c r="N1639" s="90"/>
      <c r="O1639" s="90"/>
      <c r="P1639" s="90"/>
    </row>
    <row r="1640" spans="1:16" ht="13.2">
      <c r="A1640" s="90"/>
      <c r="B1640" s="92"/>
      <c r="C1640" s="90"/>
      <c r="D1640" s="90"/>
      <c r="E1640" s="90"/>
      <c r="F1640" s="90"/>
      <c r="G1640" s="90"/>
      <c r="H1640" s="90"/>
      <c r="I1640" s="90"/>
      <c r="J1640" s="90"/>
      <c r="K1640" s="90"/>
      <c r="L1640" s="90"/>
      <c r="M1640" s="90"/>
      <c r="N1640" s="90"/>
      <c r="O1640" s="90"/>
      <c r="P1640" s="90"/>
    </row>
    <row r="1641" spans="1:16" ht="13.2">
      <c r="A1641" s="90"/>
      <c r="B1641" s="92"/>
      <c r="C1641" s="90"/>
      <c r="D1641" s="90"/>
      <c r="E1641" s="90"/>
      <c r="F1641" s="90"/>
      <c r="G1641" s="90"/>
      <c r="H1641" s="90"/>
      <c r="I1641" s="90"/>
      <c r="J1641" s="90"/>
      <c r="K1641" s="90"/>
      <c r="L1641" s="90"/>
      <c r="M1641" s="90"/>
      <c r="N1641" s="90"/>
      <c r="O1641" s="90"/>
      <c r="P1641" s="90"/>
    </row>
    <row r="1642" spans="1:16" ht="13.2">
      <c r="A1642" s="90"/>
      <c r="B1642" s="92"/>
      <c r="C1642" s="90"/>
      <c r="D1642" s="90"/>
      <c r="E1642" s="90"/>
      <c r="F1642" s="90"/>
      <c r="G1642" s="90"/>
      <c r="H1642" s="90"/>
      <c r="I1642" s="90"/>
      <c r="J1642" s="90"/>
      <c r="K1642" s="90"/>
      <c r="L1642" s="90"/>
      <c r="M1642" s="90"/>
      <c r="N1642" s="90"/>
      <c r="O1642" s="90"/>
      <c r="P1642" s="90"/>
    </row>
    <row r="1643" spans="1:16" ht="13.2">
      <c r="A1643" s="90"/>
      <c r="B1643" s="92"/>
      <c r="C1643" s="90"/>
      <c r="D1643" s="90"/>
      <c r="E1643" s="90"/>
      <c r="F1643" s="90"/>
      <c r="G1643" s="90"/>
      <c r="H1643" s="90"/>
      <c r="I1643" s="90"/>
      <c r="J1643" s="90"/>
      <c r="K1643" s="90"/>
      <c r="L1643" s="90"/>
      <c r="M1643" s="90"/>
      <c r="N1643" s="90"/>
      <c r="O1643" s="90"/>
      <c r="P1643" s="90"/>
    </row>
    <row r="1644" spans="1:16" ht="13.2">
      <c r="A1644" s="90"/>
      <c r="B1644" s="92"/>
      <c r="C1644" s="90"/>
      <c r="D1644" s="90"/>
      <c r="E1644" s="90"/>
      <c r="F1644" s="90"/>
      <c r="G1644" s="90"/>
      <c r="H1644" s="90"/>
      <c r="I1644" s="90"/>
      <c r="J1644" s="90"/>
      <c r="K1644" s="90"/>
      <c r="L1644" s="90"/>
      <c r="M1644" s="90"/>
      <c r="N1644" s="90"/>
      <c r="O1644" s="90"/>
      <c r="P1644" s="90"/>
    </row>
    <row r="1645" spans="1:16" ht="13.2">
      <c r="A1645" s="90"/>
      <c r="B1645" s="92"/>
      <c r="C1645" s="90"/>
      <c r="D1645" s="90"/>
      <c r="E1645" s="90"/>
      <c r="F1645" s="90"/>
      <c r="G1645" s="90"/>
      <c r="H1645" s="90"/>
      <c r="I1645" s="90"/>
      <c r="J1645" s="90"/>
      <c r="K1645" s="90"/>
      <c r="L1645" s="90"/>
      <c r="M1645" s="90"/>
      <c r="N1645" s="90"/>
      <c r="O1645" s="90"/>
      <c r="P1645" s="90"/>
    </row>
    <row r="1646" spans="1:16" ht="13.2">
      <c r="A1646" s="90"/>
      <c r="B1646" s="92"/>
      <c r="C1646" s="90"/>
      <c r="D1646" s="90"/>
      <c r="E1646" s="90"/>
      <c r="F1646" s="90"/>
      <c r="G1646" s="90"/>
      <c r="H1646" s="90"/>
      <c r="I1646" s="90"/>
      <c r="J1646" s="90"/>
      <c r="K1646" s="90"/>
      <c r="L1646" s="90"/>
      <c r="M1646" s="90"/>
      <c r="N1646" s="90"/>
      <c r="O1646" s="90"/>
      <c r="P1646" s="90"/>
    </row>
    <row r="1647" spans="1:16" ht="13.2">
      <c r="A1647" s="90"/>
      <c r="B1647" s="92"/>
      <c r="C1647" s="90"/>
      <c r="D1647" s="90"/>
      <c r="E1647" s="90"/>
      <c r="F1647" s="90"/>
      <c r="G1647" s="90"/>
      <c r="H1647" s="90"/>
      <c r="I1647" s="90"/>
      <c r="J1647" s="90"/>
      <c r="K1647" s="90"/>
      <c r="L1647" s="90"/>
      <c r="M1647" s="90"/>
      <c r="N1647" s="90"/>
      <c r="O1647" s="90"/>
      <c r="P1647" s="90"/>
    </row>
    <row r="1648" spans="1:16" ht="13.2">
      <c r="A1648" s="90"/>
      <c r="B1648" s="92"/>
      <c r="C1648" s="90"/>
      <c r="D1648" s="90"/>
      <c r="E1648" s="90"/>
      <c r="F1648" s="90"/>
      <c r="G1648" s="90"/>
      <c r="H1648" s="90"/>
      <c r="I1648" s="90"/>
      <c r="J1648" s="90"/>
      <c r="K1648" s="90"/>
      <c r="L1648" s="90"/>
      <c r="M1648" s="90"/>
      <c r="N1648" s="90"/>
      <c r="O1648" s="90"/>
      <c r="P1648" s="90"/>
    </row>
    <row r="1649" spans="1:16" ht="13.2">
      <c r="A1649" s="90"/>
      <c r="B1649" s="92"/>
      <c r="C1649" s="90"/>
      <c r="D1649" s="90"/>
      <c r="E1649" s="90"/>
      <c r="F1649" s="90"/>
      <c r="G1649" s="90"/>
      <c r="H1649" s="90"/>
      <c r="I1649" s="90"/>
      <c r="J1649" s="90"/>
      <c r="K1649" s="90"/>
      <c r="L1649" s="90"/>
      <c r="M1649" s="90"/>
      <c r="N1649" s="90"/>
      <c r="O1649" s="90"/>
      <c r="P1649" s="90"/>
    </row>
    <row r="1650" spans="1:16" ht="13.2">
      <c r="A1650" s="90"/>
      <c r="B1650" s="92"/>
      <c r="C1650" s="90"/>
      <c r="D1650" s="90"/>
      <c r="E1650" s="90"/>
      <c r="F1650" s="90"/>
      <c r="G1650" s="90"/>
      <c r="H1650" s="90"/>
      <c r="I1650" s="90"/>
      <c r="J1650" s="90"/>
      <c r="K1650" s="90"/>
      <c r="L1650" s="90"/>
      <c r="M1650" s="90"/>
      <c r="N1650" s="90"/>
      <c r="O1650" s="90"/>
      <c r="P1650" s="90"/>
    </row>
    <row r="1651" spans="1:16" ht="13.2">
      <c r="A1651" s="90"/>
      <c r="B1651" s="92"/>
      <c r="C1651" s="90"/>
      <c r="D1651" s="90"/>
      <c r="E1651" s="90"/>
      <c r="F1651" s="90"/>
      <c r="G1651" s="90"/>
      <c r="H1651" s="90"/>
      <c r="I1651" s="90"/>
      <c r="J1651" s="90"/>
      <c r="K1651" s="90"/>
      <c r="L1651" s="90"/>
      <c r="M1651" s="90"/>
      <c r="N1651" s="90"/>
      <c r="O1651" s="90"/>
      <c r="P1651" s="90"/>
    </row>
    <row r="1652" spans="1:16" ht="13.2">
      <c r="A1652" s="90"/>
      <c r="B1652" s="92"/>
      <c r="C1652" s="90"/>
      <c r="D1652" s="90"/>
      <c r="E1652" s="90"/>
      <c r="F1652" s="90"/>
      <c r="G1652" s="90"/>
      <c r="H1652" s="90"/>
      <c r="I1652" s="90"/>
      <c r="J1652" s="90"/>
      <c r="K1652" s="90"/>
      <c r="L1652" s="90"/>
      <c r="M1652" s="90"/>
      <c r="N1652" s="90"/>
      <c r="O1652" s="90"/>
      <c r="P1652" s="90"/>
    </row>
    <row r="1653" spans="1:16" ht="13.2">
      <c r="A1653" s="90"/>
      <c r="B1653" s="92"/>
      <c r="C1653" s="90"/>
      <c r="D1653" s="90"/>
      <c r="E1653" s="90"/>
      <c r="F1653" s="90"/>
      <c r="G1653" s="90"/>
      <c r="H1653" s="90"/>
      <c r="I1653" s="90"/>
      <c r="J1653" s="90"/>
      <c r="K1653" s="90"/>
      <c r="L1653" s="90"/>
      <c r="M1653" s="90"/>
      <c r="N1653" s="90"/>
      <c r="O1653" s="90"/>
      <c r="P1653" s="90"/>
    </row>
    <row r="1654" spans="1:16" ht="13.2">
      <c r="A1654" s="90"/>
      <c r="B1654" s="92"/>
      <c r="C1654" s="90"/>
      <c r="D1654" s="90"/>
      <c r="E1654" s="90"/>
      <c r="F1654" s="90"/>
      <c r="G1654" s="90"/>
      <c r="H1654" s="90"/>
      <c r="I1654" s="90"/>
      <c r="J1654" s="90"/>
      <c r="K1654" s="90"/>
      <c r="L1654" s="90"/>
      <c r="M1654" s="90"/>
      <c r="N1654" s="90"/>
      <c r="O1654" s="90"/>
      <c r="P1654" s="90"/>
    </row>
    <row r="1655" spans="1:16" ht="13.2">
      <c r="A1655" s="90"/>
      <c r="B1655" s="92"/>
      <c r="C1655" s="90"/>
      <c r="D1655" s="90"/>
      <c r="E1655" s="90"/>
      <c r="F1655" s="90"/>
      <c r="G1655" s="90"/>
      <c r="H1655" s="90"/>
      <c r="I1655" s="90"/>
      <c r="J1655" s="90"/>
      <c r="K1655" s="90"/>
      <c r="L1655" s="90"/>
      <c r="M1655" s="90"/>
      <c r="N1655" s="90"/>
      <c r="O1655" s="90"/>
      <c r="P1655" s="90"/>
    </row>
    <row r="1656" spans="1:16" ht="13.2">
      <c r="A1656" s="90"/>
      <c r="B1656" s="92"/>
      <c r="C1656" s="90"/>
      <c r="D1656" s="90"/>
      <c r="E1656" s="90"/>
      <c r="F1656" s="90"/>
      <c r="G1656" s="90"/>
      <c r="H1656" s="90"/>
      <c r="I1656" s="90"/>
      <c r="J1656" s="90"/>
      <c r="K1656" s="90"/>
      <c r="L1656" s="90"/>
      <c r="M1656" s="90"/>
      <c r="N1656" s="90"/>
      <c r="O1656" s="90"/>
      <c r="P1656" s="90"/>
    </row>
    <row r="1657" spans="1:16" ht="13.2">
      <c r="A1657" s="90"/>
      <c r="B1657" s="92"/>
      <c r="C1657" s="90"/>
      <c r="D1657" s="90"/>
      <c r="E1657" s="90"/>
      <c r="F1657" s="90"/>
      <c r="G1657" s="90"/>
      <c r="H1657" s="90"/>
      <c r="I1657" s="90"/>
      <c r="J1657" s="90"/>
      <c r="K1657" s="90"/>
      <c r="L1657" s="90"/>
      <c r="M1657" s="90"/>
      <c r="N1657" s="90"/>
      <c r="O1657" s="90"/>
      <c r="P1657" s="90"/>
    </row>
    <row r="1658" spans="1:16" ht="13.2">
      <c r="A1658" s="90"/>
      <c r="B1658" s="92"/>
      <c r="C1658" s="90"/>
      <c r="D1658" s="90"/>
      <c r="E1658" s="90"/>
      <c r="F1658" s="90"/>
      <c r="G1658" s="90"/>
      <c r="H1658" s="90"/>
      <c r="I1658" s="90"/>
      <c r="J1658" s="90"/>
      <c r="K1658" s="90"/>
      <c r="L1658" s="90"/>
      <c r="M1658" s="90"/>
      <c r="N1658" s="90"/>
      <c r="O1658" s="90"/>
      <c r="P1658" s="90"/>
    </row>
    <row r="1659" spans="1:16" ht="13.2">
      <c r="A1659" s="90"/>
      <c r="B1659" s="92"/>
      <c r="C1659" s="90"/>
      <c r="D1659" s="90"/>
      <c r="E1659" s="90"/>
      <c r="F1659" s="90"/>
      <c r="G1659" s="90"/>
      <c r="H1659" s="90"/>
      <c r="I1659" s="90"/>
      <c r="J1659" s="90"/>
      <c r="K1659" s="90"/>
      <c r="L1659" s="90"/>
      <c r="M1659" s="90"/>
      <c r="N1659" s="90"/>
      <c r="O1659" s="90"/>
      <c r="P1659" s="90"/>
    </row>
    <row r="1660" spans="1:16" ht="13.2">
      <c r="A1660" s="90"/>
      <c r="B1660" s="92"/>
      <c r="C1660" s="90"/>
      <c r="D1660" s="90"/>
      <c r="E1660" s="90"/>
      <c r="F1660" s="90"/>
      <c r="G1660" s="90"/>
      <c r="H1660" s="90"/>
      <c r="I1660" s="90"/>
      <c r="J1660" s="90"/>
      <c r="K1660" s="90"/>
      <c r="L1660" s="90"/>
      <c r="M1660" s="90"/>
      <c r="N1660" s="90"/>
      <c r="O1660" s="90"/>
      <c r="P1660" s="90"/>
    </row>
    <row r="1661" spans="1:16" ht="13.2">
      <c r="A1661" s="90"/>
      <c r="B1661" s="92"/>
      <c r="C1661" s="90"/>
      <c r="D1661" s="90"/>
      <c r="E1661" s="90"/>
      <c r="F1661" s="90"/>
      <c r="G1661" s="90"/>
      <c r="H1661" s="90"/>
      <c r="I1661" s="90"/>
      <c r="J1661" s="90"/>
      <c r="K1661" s="90"/>
      <c r="L1661" s="90"/>
      <c r="M1661" s="90"/>
      <c r="N1661" s="90"/>
      <c r="O1661" s="90"/>
      <c r="P1661" s="90"/>
    </row>
    <row r="1662" spans="1:16" ht="13.2">
      <c r="A1662" s="90"/>
      <c r="B1662" s="92"/>
      <c r="C1662" s="90"/>
      <c r="D1662" s="90"/>
      <c r="E1662" s="90"/>
      <c r="F1662" s="90"/>
      <c r="G1662" s="90"/>
      <c r="H1662" s="90"/>
      <c r="I1662" s="90"/>
      <c r="J1662" s="90"/>
      <c r="K1662" s="90"/>
      <c r="L1662" s="90"/>
      <c r="M1662" s="90"/>
      <c r="N1662" s="90"/>
      <c r="O1662" s="90"/>
      <c r="P1662" s="90"/>
    </row>
    <row r="1663" spans="1:16" ht="13.2">
      <c r="A1663" s="90"/>
      <c r="B1663" s="92"/>
      <c r="C1663" s="90"/>
      <c r="D1663" s="90"/>
      <c r="E1663" s="90"/>
      <c r="F1663" s="90"/>
      <c r="G1663" s="90"/>
      <c r="H1663" s="90"/>
      <c r="I1663" s="90"/>
      <c r="J1663" s="90"/>
      <c r="K1663" s="90"/>
      <c r="L1663" s="90"/>
      <c r="M1663" s="90"/>
      <c r="N1663" s="90"/>
      <c r="O1663" s="90"/>
      <c r="P1663" s="90"/>
    </row>
    <row r="1664" spans="1:16" ht="13.2">
      <c r="A1664" s="90"/>
      <c r="B1664" s="92"/>
      <c r="C1664" s="90"/>
      <c r="D1664" s="90"/>
      <c r="E1664" s="90"/>
      <c r="F1664" s="90"/>
      <c r="G1664" s="90"/>
      <c r="H1664" s="90"/>
      <c r="I1664" s="90"/>
      <c r="J1664" s="90"/>
      <c r="K1664" s="90"/>
      <c r="L1664" s="90"/>
      <c r="M1664" s="90"/>
      <c r="N1664" s="90"/>
      <c r="O1664" s="90"/>
      <c r="P1664" s="90"/>
    </row>
    <row r="1665" spans="1:16" ht="13.2">
      <c r="A1665" s="90"/>
      <c r="B1665" s="92"/>
      <c r="C1665" s="90"/>
      <c r="D1665" s="90"/>
      <c r="E1665" s="90"/>
      <c r="F1665" s="90"/>
      <c r="G1665" s="90"/>
      <c r="H1665" s="90"/>
      <c r="I1665" s="90"/>
      <c r="J1665" s="90"/>
      <c r="K1665" s="90"/>
      <c r="L1665" s="90"/>
      <c r="M1665" s="90"/>
      <c r="N1665" s="90"/>
      <c r="O1665" s="90"/>
      <c r="P1665" s="90"/>
    </row>
    <row r="1666" spans="1:16" ht="13.2">
      <c r="A1666" s="90"/>
      <c r="B1666" s="92"/>
      <c r="C1666" s="90"/>
      <c r="D1666" s="90"/>
      <c r="E1666" s="90"/>
      <c r="F1666" s="90"/>
      <c r="G1666" s="90"/>
      <c r="H1666" s="90"/>
      <c r="I1666" s="90"/>
      <c r="J1666" s="90"/>
      <c r="K1666" s="90"/>
      <c r="L1666" s="90"/>
      <c r="M1666" s="90"/>
      <c r="N1666" s="90"/>
      <c r="O1666" s="90"/>
      <c r="P1666" s="90"/>
    </row>
    <row r="1667" spans="1:16" ht="13.2">
      <c r="A1667" s="90"/>
      <c r="B1667" s="92"/>
      <c r="C1667" s="90"/>
      <c r="D1667" s="90"/>
      <c r="E1667" s="90"/>
      <c r="F1667" s="90"/>
      <c r="G1667" s="90"/>
      <c r="H1667" s="90"/>
      <c r="I1667" s="90"/>
      <c r="J1667" s="90"/>
      <c r="K1667" s="90"/>
      <c r="L1667" s="90"/>
      <c r="M1667" s="90"/>
      <c r="N1667" s="90"/>
      <c r="O1667" s="90"/>
      <c r="P1667" s="90"/>
    </row>
    <row r="1668" spans="1:16" ht="13.2">
      <c r="A1668" s="90"/>
      <c r="B1668" s="92"/>
      <c r="C1668" s="90"/>
      <c r="D1668" s="90"/>
      <c r="E1668" s="90"/>
      <c r="F1668" s="90"/>
      <c r="G1668" s="90"/>
      <c r="H1668" s="90"/>
      <c r="I1668" s="90"/>
      <c r="J1668" s="90"/>
      <c r="K1668" s="90"/>
      <c r="L1668" s="90"/>
      <c r="M1668" s="90"/>
      <c r="N1668" s="90"/>
      <c r="O1668" s="90"/>
      <c r="P1668" s="90"/>
    </row>
    <row r="1669" spans="1:16" ht="13.2">
      <c r="A1669" s="90"/>
      <c r="B1669" s="92"/>
      <c r="C1669" s="90"/>
      <c r="D1669" s="90"/>
      <c r="E1669" s="90"/>
      <c r="F1669" s="90"/>
      <c r="G1669" s="90"/>
      <c r="H1669" s="90"/>
      <c r="I1669" s="90"/>
      <c r="J1669" s="90"/>
      <c r="K1669" s="90"/>
      <c r="L1669" s="90"/>
      <c r="M1669" s="90"/>
      <c r="N1669" s="90"/>
      <c r="O1669" s="90"/>
      <c r="P1669" s="90"/>
    </row>
    <row r="1670" spans="1:16" ht="13.2">
      <c r="A1670" s="90"/>
      <c r="B1670" s="92"/>
      <c r="C1670" s="90"/>
      <c r="D1670" s="90"/>
      <c r="E1670" s="90"/>
      <c r="F1670" s="90"/>
      <c r="G1670" s="90"/>
      <c r="H1670" s="90"/>
      <c r="I1670" s="90"/>
      <c r="J1670" s="90"/>
      <c r="K1670" s="90"/>
      <c r="L1670" s="90"/>
      <c r="M1670" s="90"/>
      <c r="N1670" s="90"/>
      <c r="O1670" s="90"/>
      <c r="P1670" s="90"/>
    </row>
    <row r="1671" spans="1:16" ht="13.2">
      <c r="A1671" s="90"/>
      <c r="B1671" s="92"/>
      <c r="C1671" s="90"/>
      <c r="D1671" s="90"/>
      <c r="E1671" s="90"/>
      <c r="F1671" s="90"/>
      <c r="G1671" s="90"/>
      <c r="H1671" s="90"/>
      <c r="I1671" s="90"/>
      <c r="J1671" s="90"/>
      <c r="K1671" s="90"/>
      <c r="L1671" s="90"/>
      <c r="M1671" s="90"/>
      <c r="N1671" s="90"/>
      <c r="O1671" s="90"/>
      <c r="P1671" s="90"/>
    </row>
    <row r="1672" spans="1:16" ht="13.2">
      <c r="A1672" s="90"/>
      <c r="B1672" s="92"/>
      <c r="C1672" s="90"/>
      <c r="D1672" s="90"/>
      <c r="E1672" s="90"/>
      <c r="F1672" s="90"/>
      <c r="G1672" s="90"/>
      <c r="H1672" s="90"/>
      <c r="I1672" s="90"/>
      <c r="J1672" s="90"/>
      <c r="K1672" s="90"/>
      <c r="L1672" s="90"/>
      <c r="M1672" s="90"/>
      <c r="N1672" s="90"/>
      <c r="O1672" s="90"/>
      <c r="P1672" s="90"/>
    </row>
    <row r="1673" spans="1:16" ht="13.2">
      <c r="A1673" s="90"/>
      <c r="B1673" s="92"/>
      <c r="C1673" s="90"/>
      <c r="D1673" s="90"/>
      <c r="E1673" s="90"/>
      <c r="F1673" s="90"/>
      <c r="G1673" s="90"/>
      <c r="H1673" s="90"/>
      <c r="I1673" s="90"/>
      <c r="J1673" s="90"/>
      <c r="K1673" s="90"/>
      <c r="L1673" s="90"/>
      <c r="M1673" s="90"/>
      <c r="N1673" s="90"/>
      <c r="O1673" s="90"/>
      <c r="P1673" s="90"/>
    </row>
    <row r="1674" spans="1:16" ht="13.2">
      <c r="A1674" s="90"/>
      <c r="B1674" s="92"/>
      <c r="C1674" s="90"/>
      <c r="D1674" s="90"/>
      <c r="E1674" s="90"/>
      <c r="F1674" s="90"/>
      <c r="G1674" s="90"/>
      <c r="H1674" s="90"/>
      <c r="I1674" s="90"/>
      <c r="J1674" s="90"/>
      <c r="K1674" s="90"/>
      <c r="L1674" s="90"/>
      <c r="M1674" s="90"/>
      <c r="N1674" s="90"/>
      <c r="O1674" s="90"/>
      <c r="P1674" s="90"/>
    </row>
    <row r="1675" spans="1:16" ht="13.2">
      <c r="A1675" s="90"/>
      <c r="B1675" s="92"/>
      <c r="C1675" s="90"/>
      <c r="D1675" s="90"/>
      <c r="E1675" s="90"/>
      <c r="F1675" s="90"/>
      <c r="G1675" s="90"/>
      <c r="H1675" s="90"/>
      <c r="I1675" s="90"/>
      <c r="J1675" s="90"/>
      <c r="K1675" s="90"/>
      <c r="L1675" s="90"/>
      <c r="M1675" s="90"/>
      <c r="N1675" s="90"/>
      <c r="O1675" s="90"/>
      <c r="P1675" s="90"/>
    </row>
    <row r="1676" spans="1:16" ht="13.2">
      <c r="A1676" s="90"/>
      <c r="B1676" s="92"/>
      <c r="C1676" s="90"/>
      <c r="D1676" s="90"/>
      <c r="E1676" s="90"/>
      <c r="F1676" s="90"/>
      <c r="G1676" s="90"/>
      <c r="H1676" s="90"/>
      <c r="I1676" s="90"/>
      <c r="J1676" s="90"/>
      <c r="K1676" s="90"/>
      <c r="L1676" s="90"/>
      <c r="M1676" s="90"/>
      <c r="N1676" s="90"/>
      <c r="O1676" s="90"/>
      <c r="P1676" s="90"/>
    </row>
    <row r="1677" spans="1:16" ht="13.2">
      <c r="A1677" s="90"/>
      <c r="B1677" s="92"/>
      <c r="C1677" s="90"/>
      <c r="D1677" s="90"/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</row>
    <row r="1678" spans="1:16" ht="13.2">
      <c r="A1678" s="90"/>
      <c r="B1678" s="92"/>
      <c r="C1678" s="90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</row>
    <row r="1679" spans="1:16" ht="13.2">
      <c r="A1679" s="90"/>
      <c r="B1679" s="92"/>
      <c r="C1679" s="90"/>
      <c r="D1679" s="90"/>
      <c r="E1679" s="90"/>
      <c r="F1679" s="90"/>
      <c r="G1679" s="90"/>
      <c r="H1679" s="90"/>
      <c r="I1679" s="90"/>
      <c r="J1679" s="90"/>
      <c r="K1679" s="90"/>
      <c r="L1679" s="90"/>
      <c r="M1679" s="90"/>
      <c r="N1679" s="90"/>
      <c r="O1679" s="90"/>
      <c r="P1679" s="90"/>
    </row>
    <row r="1680" spans="1:16" ht="13.2">
      <c r="A1680" s="90"/>
      <c r="B1680" s="92"/>
      <c r="C1680" s="90"/>
      <c r="D1680" s="90"/>
      <c r="E1680" s="90"/>
      <c r="F1680" s="90"/>
      <c r="G1680" s="90"/>
      <c r="H1680" s="90"/>
      <c r="I1680" s="90"/>
      <c r="J1680" s="90"/>
      <c r="K1680" s="90"/>
      <c r="L1680" s="90"/>
      <c r="M1680" s="90"/>
      <c r="N1680" s="90"/>
      <c r="O1680" s="90"/>
      <c r="P1680" s="90"/>
    </row>
    <row r="1681" spans="1:16" ht="13.2">
      <c r="A1681" s="90"/>
      <c r="B1681" s="92"/>
      <c r="C1681" s="90"/>
      <c r="D1681" s="90"/>
      <c r="E1681" s="90"/>
      <c r="F1681" s="90"/>
      <c r="G1681" s="90"/>
      <c r="H1681" s="90"/>
      <c r="I1681" s="90"/>
      <c r="J1681" s="90"/>
      <c r="K1681" s="90"/>
      <c r="L1681" s="90"/>
      <c r="M1681" s="90"/>
      <c r="N1681" s="90"/>
      <c r="O1681" s="90"/>
      <c r="P1681" s="90"/>
    </row>
    <row r="1682" spans="1:16" ht="13.2">
      <c r="A1682" s="90"/>
      <c r="B1682" s="92"/>
      <c r="C1682" s="90"/>
      <c r="D1682" s="90"/>
      <c r="E1682" s="90"/>
      <c r="F1682" s="90"/>
      <c r="G1682" s="90"/>
      <c r="H1682" s="90"/>
      <c r="I1682" s="90"/>
      <c r="J1682" s="90"/>
      <c r="K1682" s="90"/>
      <c r="L1682" s="90"/>
      <c r="M1682" s="90"/>
      <c r="N1682" s="90"/>
      <c r="O1682" s="90"/>
      <c r="P1682" s="90"/>
    </row>
    <row r="1683" spans="1:16" ht="13.2">
      <c r="A1683" s="90"/>
      <c r="B1683" s="92"/>
      <c r="C1683" s="90"/>
      <c r="D1683" s="90"/>
      <c r="E1683" s="90"/>
      <c r="F1683" s="90"/>
      <c r="G1683" s="90"/>
      <c r="H1683" s="90"/>
      <c r="I1683" s="90"/>
      <c r="J1683" s="90"/>
      <c r="K1683" s="90"/>
      <c r="L1683" s="90"/>
      <c r="M1683" s="90"/>
      <c r="N1683" s="90"/>
      <c r="O1683" s="90"/>
      <c r="P1683" s="90"/>
    </row>
    <row r="1684" spans="1:16" ht="13.2">
      <c r="A1684" s="90"/>
      <c r="B1684" s="92"/>
      <c r="C1684" s="90"/>
      <c r="D1684" s="90"/>
      <c r="E1684" s="90"/>
      <c r="F1684" s="90"/>
      <c r="G1684" s="90"/>
      <c r="H1684" s="90"/>
      <c r="I1684" s="90"/>
      <c r="J1684" s="90"/>
      <c r="K1684" s="90"/>
      <c r="L1684" s="90"/>
      <c r="M1684" s="90"/>
      <c r="N1684" s="90"/>
      <c r="O1684" s="90"/>
      <c r="P1684" s="90"/>
    </row>
    <row r="1685" spans="1:16" ht="13.2">
      <c r="A1685" s="90"/>
      <c r="B1685" s="92"/>
      <c r="C1685" s="90"/>
      <c r="D1685" s="90"/>
      <c r="E1685" s="90"/>
      <c r="F1685" s="90"/>
      <c r="G1685" s="90"/>
      <c r="H1685" s="90"/>
      <c r="I1685" s="90"/>
      <c r="J1685" s="90"/>
      <c r="K1685" s="90"/>
      <c r="L1685" s="90"/>
      <c r="M1685" s="90"/>
      <c r="N1685" s="90"/>
      <c r="O1685" s="90"/>
      <c r="P1685" s="90"/>
    </row>
    <row r="1686" spans="1:16" ht="13.2">
      <c r="A1686" s="90"/>
      <c r="B1686" s="92"/>
      <c r="C1686" s="90"/>
      <c r="D1686" s="90"/>
      <c r="E1686" s="90"/>
      <c r="F1686" s="90"/>
      <c r="G1686" s="90"/>
      <c r="H1686" s="90"/>
      <c r="I1686" s="90"/>
      <c r="J1686" s="90"/>
      <c r="K1686" s="90"/>
      <c r="L1686" s="90"/>
      <c r="M1686" s="90"/>
      <c r="N1686" s="90"/>
      <c r="O1686" s="90"/>
      <c r="P1686" s="90"/>
    </row>
    <row r="1687" spans="1:16" ht="13.2">
      <c r="A1687" s="90"/>
      <c r="B1687" s="92"/>
      <c r="C1687" s="90"/>
      <c r="D1687" s="90"/>
      <c r="E1687" s="90"/>
      <c r="F1687" s="90"/>
      <c r="G1687" s="90"/>
      <c r="H1687" s="90"/>
      <c r="I1687" s="90"/>
      <c r="J1687" s="90"/>
      <c r="K1687" s="90"/>
      <c r="L1687" s="90"/>
      <c r="M1687" s="90"/>
      <c r="N1687" s="90"/>
      <c r="O1687" s="90"/>
      <c r="P1687" s="90"/>
    </row>
    <row r="1688" spans="1:16" ht="13.2">
      <c r="A1688" s="90"/>
      <c r="B1688" s="92"/>
      <c r="C1688" s="90"/>
      <c r="D1688" s="90"/>
      <c r="E1688" s="90"/>
      <c r="F1688" s="90"/>
      <c r="G1688" s="90"/>
      <c r="H1688" s="90"/>
      <c r="I1688" s="90"/>
      <c r="J1688" s="90"/>
      <c r="K1688" s="90"/>
      <c r="L1688" s="90"/>
      <c r="M1688" s="90"/>
      <c r="N1688" s="90"/>
      <c r="O1688" s="90"/>
      <c r="P1688" s="90"/>
    </row>
    <row r="1689" spans="1:16" ht="13.2">
      <c r="A1689" s="90"/>
      <c r="B1689" s="92"/>
      <c r="C1689" s="90"/>
      <c r="D1689" s="90"/>
      <c r="E1689" s="90"/>
      <c r="F1689" s="90"/>
      <c r="G1689" s="90"/>
      <c r="H1689" s="90"/>
      <c r="I1689" s="90"/>
      <c r="J1689" s="90"/>
      <c r="K1689" s="90"/>
      <c r="L1689" s="90"/>
      <c r="M1689" s="90"/>
      <c r="N1689" s="90"/>
      <c r="O1689" s="90"/>
      <c r="P1689" s="90"/>
    </row>
    <row r="1690" spans="1:16" ht="13.2">
      <c r="A1690" s="90"/>
      <c r="B1690" s="92"/>
      <c r="C1690" s="90"/>
      <c r="D1690" s="90"/>
      <c r="E1690" s="90"/>
      <c r="F1690" s="90"/>
      <c r="G1690" s="90"/>
      <c r="H1690" s="90"/>
      <c r="I1690" s="90"/>
      <c r="J1690" s="90"/>
      <c r="K1690" s="90"/>
      <c r="L1690" s="90"/>
      <c r="M1690" s="90"/>
      <c r="N1690" s="90"/>
      <c r="O1690" s="90"/>
      <c r="P1690" s="90"/>
    </row>
    <row r="1691" spans="1:16" ht="13.2">
      <c r="A1691" s="90"/>
      <c r="B1691" s="92"/>
      <c r="C1691" s="90"/>
      <c r="D1691" s="90"/>
      <c r="E1691" s="90"/>
      <c r="F1691" s="90"/>
      <c r="G1691" s="90"/>
      <c r="H1691" s="90"/>
      <c r="I1691" s="90"/>
      <c r="J1691" s="90"/>
      <c r="K1691" s="90"/>
      <c r="L1691" s="90"/>
      <c r="M1691" s="90"/>
      <c r="N1691" s="90"/>
      <c r="O1691" s="90"/>
      <c r="P1691" s="90"/>
    </row>
    <row r="1692" spans="1:16" ht="13.2">
      <c r="A1692" s="90"/>
      <c r="B1692" s="92"/>
      <c r="C1692" s="90"/>
      <c r="D1692" s="90"/>
      <c r="E1692" s="90"/>
      <c r="F1692" s="90"/>
      <c r="G1692" s="90"/>
      <c r="H1692" s="90"/>
      <c r="I1692" s="90"/>
      <c r="J1692" s="90"/>
      <c r="K1692" s="90"/>
      <c r="L1692" s="90"/>
      <c r="M1692" s="90"/>
      <c r="N1692" s="90"/>
      <c r="O1692" s="90"/>
      <c r="P1692" s="90"/>
    </row>
    <row r="1693" spans="1:16" ht="13.2">
      <c r="A1693" s="90"/>
      <c r="B1693" s="92"/>
      <c r="C1693" s="90"/>
      <c r="D1693" s="90"/>
      <c r="E1693" s="90"/>
      <c r="F1693" s="90"/>
      <c r="G1693" s="90"/>
      <c r="H1693" s="90"/>
      <c r="I1693" s="90"/>
      <c r="J1693" s="90"/>
      <c r="K1693" s="90"/>
      <c r="L1693" s="90"/>
      <c r="M1693" s="90"/>
      <c r="N1693" s="90"/>
      <c r="O1693" s="90"/>
      <c r="P1693" s="90"/>
    </row>
    <row r="1694" spans="1:16" ht="13.2">
      <c r="A1694" s="90"/>
      <c r="B1694" s="92"/>
      <c r="C1694" s="90"/>
      <c r="D1694" s="90"/>
      <c r="E1694" s="90"/>
      <c r="F1694" s="90"/>
      <c r="G1694" s="90"/>
      <c r="H1694" s="90"/>
      <c r="I1694" s="90"/>
      <c r="J1694" s="90"/>
      <c r="K1694" s="90"/>
      <c r="L1694" s="90"/>
      <c r="M1694" s="90"/>
      <c r="N1694" s="90"/>
      <c r="O1694" s="90"/>
      <c r="P1694" s="90"/>
    </row>
    <row r="1695" spans="1:16" ht="13.2">
      <c r="A1695" s="90"/>
      <c r="B1695" s="92"/>
      <c r="C1695" s="90"/>
      <c r="D1695" s="90"/>
      <c r="E1695" s="90"/>
      <c r="F1695" s="90"/>
      <c r="G1695" s="90"/>
      <c r="H1695" s="90"/>
      <c r="I1695" s="90"/>
      <c r="J1695" s="90"/>
      <c r="K1695" s="90"/>
      <c r="L1695" s="90"/>
      <c r="M1695" s="90"/>
      <c r="N1695" s="90"/>
      <c r="O1695" s="90"/>
      <c r="P1695" s="90"/>
    </row>
    <row r="1696" spans="1:16" ht="13.2">
      <c r="A1696" s="90"/>
      <c r="B1696" s="92"/>
      <c r="C1696" s="90"/>
      <c r="D1696" s="90"/>
      <c r="E1696" s="90"/>
      <c r="F1696" s="90"/>
      <c r="G1696" s="90"/>
      <c r="H1696" s="90"/>
      <c r="I1696" s="90"/>
      <c r="J1696" s="90"/>
      <c r="K1696" s="90"/>
      <c r="L1696" s="90"/>
      <c r="M1696" s="90"/>
      <c r="N1696" s="90"/>
      <c r="O1696" s="90"/>
      <c r="P1696" s="90"/>
    </row>
    <row r="1697" spans="1:16" ht="13.2">
      <c r="A1697" s="90"/>
      <c r="B1697" s="92"/>
      <c r="C1697" s="90"/>
      <c r="D1697" s="90"/>
      <c r="E1697" s="90"/>
      <c r="F1697" s="90"/>
      <c r="G1697" s="90"/>
      <c r="H1697" s="90"/>
      <c r="I1697" s="90"/>
      <c r="J1697" s="90"/>
      <c r="K1697" s="90"/>
      <c r="L1697" s="90"/>
      <c r="M1697" s="90"/>
      <c r="N1697" s="90"/>
      <c r="O1697" s="90"/>
      <c r="P1697" s="90"/>
    </row>
    <row r="1698" spans="1:16" ht="13.2">
      <c r="A1698" s="90"/>
      <c r="B1698" s="92"/>
      <c r="C1698" s="90"/>
      <c r="D1698" s="90"/>
      <c r="E1698" s="90"/>
      <c r="F1698" s="90"/>
      <c r="G1698" s="90"/>
      <c r="H1698" s="90"/>
      <c r="I1698" s="90"/>
      <c r="J1698" s="90"/>
      <c r="K1698" s="90"/>
      <c r="L1698" s="90"/>
      <c r="M1698" s="90"/>
      <c r="N1698" s="90"/>
      <c r="O1698" s="90"/>
      <c r="P1698" s="90"/>
    </row>
    <row r="1699" spans="1:16" ht="13.2">
      <c r="A1699" s="90"/>
      <c r="B1699" s="92"/>
      <c r="C1699" s="90"/>
      <c r="D1699" s="90"/>
      <c r="E1699" s="90"/>
      <c r="F1699" s="90"/>
      <c r="G1699" s="90"/>
      <c r="H1699" s="90"/>
      <c r="I1699" s="90"/>
      <c r="J1699" s="90"/>
      <c r="K1699" s="90"/>
      <c r="L1699" s="90"/>
      <c r="M1699" s="90"/>
      <c r="N1699" s="90"/>
      <c r="O1699" s="90"/>
      <c r="P1699" s="90"/>
    </row>
    <row r="1700" spans="1:16" ht="13.2">
      <c r="A1700" s="90"/>
      <c r="B1700" s="92"/>
      <c r="C1700" s="90"/>
      <c r="D1700" s="90"/>
      <c r="E1700" s="90"/>
      <c r="F1700" s="90"/>
      <c r="G1700" s="90"/>
      <c r="H1700" s="90"/>
      <c r="I1700" s="90"/>
      <c r="J1700" s="90"/>
      <c r="K1700" s="90"/>
      <c r="L1700" s="90"/>
      <c r="M1700" s="90"/>
      <c r="N1700" s="90"/>
      <c r="O1700" s="90"/>
      <c r="P1700" s="90"/>
    </row>
    <row r="1701" spans="1:16" ht="13.2">
      <c r="A1701" s="90"/>
      <c r="B1701" s="92"/>
      <c r="C1701" s="90"/>
      <c r="D1701" s="90"/>
      <c r="E1701" s="90"/>
      <c r="F1701" s="90"/>
      <c r="G1701" s="90"/>
      <c r="H1701" s="90"/>
      <c r="I1701" s="90"/>
      <c r="J1701" s="90"/>
      <c r="K1701" s="90"/>
      <c r="L1701" s="90"/>
      <c r="M1701" s="90"/>
      <c r="N1701" s="90"/>
      <c r="O1701" s="90"/>
      <c r="P1701" s="90"/>
    </row>
    <row r="1702" spans="1:16" ht="13.2">
      <c r="A1702" s="90"/>
      <c r="B1702" s="92"/>
      <c r="C1702" s="90"/>
      <c r="D1702" s="90"/>
      <c r="E1702" s="90"/>
      <c r="F1702" s="90"/>
      <c r="G1702" s="90"/>
      <c r="H1702" s="90"/>
      <c r="I1702" s="90"/>
      <c r="J1702" s="90"/>
      <c r="K1702" s="90"/>
      <c r="L1702" s="90"/>
      <c r="M1702" s="90"/>
      <c r="N1702" s="90"/>
      <c r="O1702" s="90"/>
      <c r="P1702" s="90"/>
    </row>
    <row r="1703" spans="1:16" ht="13.2">
      <c r="A1703" s="90"/>
      <c r="B1703" s="92"/>
      <c r="C1703" s="90"/>
      <c r="D1703" s="90"/>
      <c r="E1703" s="90"/>
      <c r="F1703" s="90"/>
      <c r="G1703" s="90"/>
      <c r="H1703" s="90"/>
      <c r="I1703" s="90"/>
      <c r="J1703" s="90"/>
      <c r="K1703" s="90"/>
      <c r="L1703" s="90"/>
      <c r="M1703" s="90"/>
      <c r="N1703" s="90"/>
      <c r="O1703" s="90"/>
      <c r="P1703" s="90"/>
    </row>
    <row r="1704" spans="1:16" ht="13.2">
      <c r="A1704" s="90"/>
      <c r="B1704" s="92"/>
      <c r="C1704" s="90"/>
      <c r="D1704" s="90"/>
      <c r="E1704" s="90"/>
      <c r="F1704" s="90"/>
      <c r="G1704" s="90"/>
      <c r="H1704" s="90"/>
      <c r="I1704" s="90"/>
      <c r="J1704" s="90"/>
      <c r="K1704" s="90"/>
      <c r="L1704" s="90"/>
      <c r="M1704" s="90"/>
      <c r="N1704" s="90"/>
      <c r="O1704" s="90"/>
      <c r="P1704" s="90"/>
    </row>
    <row r="1705" spans="1:16" ht="13.2">
      <c r="A1705" s="90"/>
      <c r="B1705" s="92"/>
      <c r="C1705" s="90"/>
      <c r="D1705" s="90"/>
      <c r="E1705" s="90"/>
      <c r="F1705" s="90"/>
      <c r="G1705" s="90"/>
      <c r="H1705" s="90"/>
      <c r="I1705" s="90"/>
      <c r="J1705" s="90"/>
      <c r="K1705" s="90"/>
      <c r="L1705" s="90"/>
      <c r="M1705" s="90"/>
      <c r="N1705" s="90"/>
      <c r="O1705" s="90"/>
      <c r="P1705" s="90"/>
    </row>
    <row r="1706" spans="1:16" ht="13.2">
      <c r="A1706" s="90"/>
      <c r="B1706" s="92"/>
      <c r="C1706" s="90"/>
      <c r="D1706" s="90"/>
      <c r="E1706" s="90"/>
      <c r="F1706" s="90"/>
      <c r="G1706" s="90"/>
      <c r="H1706" s="90"/>
      <c r="I1706" s="90"/>
      <c r="J1706" s="90"/>
      <c r="K1706" s="90"/>
      <c r="L1706" s="90"/>
      <c r="M1706" s="90"/>
      <c r="N1706" s="90"/>
      <c r="O1706" s="90"/>
      <c r="P1706" s="90"/>
    </row>
    <row r="1707" spans="1:16" ht="13.2">
      <c r="A1707" s="90"/>
      <c r="B1707" s="92"/>
      <c r="C1707" s="90"/>
      <c r="D1707" s="90"/>
      <c r="E1707" s="90"/>
      <c r="F1707" s="90"/>
      <c r="G1707" s="90"/>
      <c r="H1707" s="90"/>
      <c r="I1707" s="90"/>
      <c r="J1707" s="90"/>
      <c r="K1707" s="90"/>
      <c r="L1707" s="90"/>
      <c r="M1707" s="90"/>
      <c r="N1707" s="90"/>
      <c r="O1707" s="90"/>
      <c r="P1707" s="90"/>
    </row>
    <row r="1708" spans="1:16" ht="13.2">
      <c r="A1708" s="90"/>
      <c r="B1708" s="92"/>
      <c r="C1708" s="90"/>
      <c r="D1708" s="90"/>
      <c r="E1708" s="90"/>
      <c r="F1708" s="90"/>
      <c r="G1708" s="90"/>
      <c r="H1708" s="90"/>
      <c r="I1708" s="90"/>
      <c r="J1708" s="90"/>
      <c r="K1708" s="90"/>
      <c r="L1708" s="90"/>
      <c r="M1708" s="90"/>
      <c r="N1708" s="90"/>
      <c r="O1708" s="90"/>
      <c r="P1708" s="90"/>
    </row>
    <row r="1709" spans="1:16" ht="13.2">
      <c r="A1709" s="90"/>
      <c r="B1709" s="92"/>
      <c r="C1709" s="90"/>
      <c r="D1709" s="90"/>
      <c r="E1709" s="90"/>
      <c r="F1709" s="90"/>
      <c r="G1709" s="90"/>
      <c r="H1709" s="90"/>
      <c r="I1709" s="90"/>
      <c r="J1709" s="90"/>
      <c r="K1709" s="90"/>
      <c r="L1709" s="90"/>
      <c r="M1709" s="90"/>
      <c r="N1709" s="90"/>
      <c r="O1709" s="90"/>
      <c r="P1709" s="90"/>
    </row>
    <row r="1710" spans="1:16" ht="13.2">
      <c r="A1710" s="90"/>
      <c r="B1710" s="92"/>
      <c r="C1710" s="90"/>
      <c r="D1710" s="90"/>
      <c r="E1710" s="90"/>
      <c r="F1710" s="90"/>
      <c r="G1710" s="90"/>
      <c r="H1710" s="90"/>
      <c r="I1710" s="90"/>
      <c r="J1710" s="90"/>
      <c r="K1710" s="90"/>
      <c r="L1710" s="90"/>
      <c r="M1710" s="90"/>
      <c r="N1710" s="90"/>
      <c r="O1710" s="90"/>
      <c r="P1710" s="90"/>
    </row>
    <row r="1711" spans="1:16" ht="13.2">
      <c r="A1711" s="90"/>
      <c r="B1711" s="92"/>
      <c r="C1711" s="90"/>
      <c r="D1711" s="90"/>
      <c r="E1711" s="90"/>
      <c r="F1711" s="90"/>
      <c r="G1711" s="90"/>
      <c r="H1711" s="90"/>
      <c r="I1711" s="90"/>
      <c r="J1711" s="90"/>
      <c r="K1711" s="90"/>
      <c r="L1711" s="90"/>
      <c r="M1711" s="90"/>
      <c r="N1711" s="90"/>
      <c r="O1711" s="90"/>
      <c r="P1711" s="90"/>
    </row>
    <row r="1712" spans="1:16" ht="13.2">
      <c r="A1712" s="90"/>
      <c r="B1712" s="92"/>
      <c r="C1712" s="90"/>
      <c r="D1712" s="90"/>
      <c r="E1712" s="90"/>
      <c r="F1712" s="90"/>
      <c r="G1712" s="90"/>
      <c r="H1712" s="90"/>
      <c r="I1712" s="90"/>
      <c r="J1712" s="90"/>
      <c r="K1712" s="90"/>
      <c r="L1712" s="90"/>
      <c r="M1712" s="90"/>
      <c r="N1712" s="90"/>
      <c r="O1712" s="90"/>
      <c r="P1712" s="90"/>
    </row>
    <row r="1713" spans="1:16" ht="13.2">
      <c r="A1713" s="90"/>
      <c r="B1713" s="92"/>
      <c r="C1713" s="90"/>
      <c r="D1713" s="90"/>
      <c r="E1713" s="90"/>
      <c r="F1713" s="90"/>
      <c r="G1713" s="90"/>
      <c r="H1713" s="90"/>
      <c r="I1713" s="90"/>
      <c r="J1713" s="90"/>
      <c r="K1713" s="90"/>
      <c r="L1713" s="90"/>
      <c r="M1713" s="90"/>
      <c r="N1713" s="90"/>
      <c r="O1713" s="90"/>
      <c r="P1713" s="90"/>
    </row>
    <row r="1714" spans="1:16" ht="13.2">
      <c r="A1714" s="90"/>
      <c r="B1714" s="92"/>
      <c r="C1714" s="90"/>
      <c r="D1714" s="90"/>
      <c r="E1714" s="90"/>
      <c r="F1714" s="90"/>
      <c r="G1714" s="90"/>
      <c r="H1714" s="90"/>
      <c r="I1714" s="90"/>
      <c r="J1714" s="90"/>
      <c r="K1714" s="90"/>
      <c r="L1714" s="90"/>
      <c r="M1714" s="90"/>
      <c r="N1714" s="90"/>
      <c r="O1714" s="90"/>
      <c r="P1714" s="90"/>
    </row>
    <row r="1715" spans="1:16" ht="13.2">
      <c r="A1715" s="90"/>
      <c r="B1715" s="92"/>
      <c r="C1715" s="90"/>
      <c r="D1715" s="90"/>
      <c r="E1715" s="90"/>
      <c r="F1715" s="90"/>
      <c r="G1715" s="90"/>
      <c r="H1715" s="90"/>
      <c r="I1715" s="90"/>
      <c r="J1715" s="90"/>
      <c r="K1715" s="90"/>
      <c r="L1715" s="90"/>
      <c r="M1715" s="90"/>
      <c r="N1715" s="90"/>
      <c r="O1715" s="90"/>
      <c r="P1715" s="90"/>
    </row>
    <row r="1716" spans="1:16" ht="13.2">
      <c r="A1716" s="90"/>
      <c r="B1716" s="92"/>
      <c r="C1716" s="90"/>
      <c r="D1716" s="90"/>
      <c r="E1716" s="90"/>
      <c r="F1716" s="90"/>
      <c r="G1716" s="90"/>
      <c r="H1716" s="90"/>
      <c r="I1716" s="90"/>
      <c r="J1716" s="90"/>
      <c r="K1716" s="90"/>
      <c r="L1716" s="90"/>
      <c r="M1716" s="90"/>
      <c r="N1716" s="90"/>
      <c r="O1716" s="90"/>
      <c r="P1716" s="90"/>
    </row>
    <row r="1717" spans="1:16" ht="13.2">
      <c r="A1717" s="90"/>
      <c r="B1717" s="92"/>
      <c r="C1717" s="90"/>
      <c r="D1717" s="90"/>
      <c r="E1717" s="90"/>
      <c r="F1717" s="90"/>
      <c r="G1717" s="90"/>
      <c r="H1717" s="90"/>
      <c r="I1717" s="90"/>
      <c r="J1717" s="90"/>
      <c r="K1717" s="90"/>
      <c r="L1717" s="90"/>
      <c r="M1717" s="90"/>
      <c r="N1717" s="90"/>
      <c r="O1717" s="90"/>
      <c r="P1717" s="90"/>
    </row>
    <row r="1718" spans="1:16" ht="13.2">
      <c r="A1718" s="90"/>
      <c r="B1718" s="92"/>
      <c r="C1718" s="90"/>
      <c r="D1718" s="90"/>
      <c r="E1718" s="90"/>
      <c r="F1718" s="90"/>
      <c r="G1718" s="90"/>
      <c r="H1718" s="90"/>
      <c r="I1718" s="90"/>
      <c r="J1718" s="90"/>
      <c r="K1718" s="90"/>
      <c r="L1718" s="90"/>
      <c r="M1718" s="90"/>
      <c r="N1718" s="90"/>
      <c r="O1718" s="90"/>
      <c r="P1718" s="90"/>
    </row>
    <row r="1719" spans="1:16" ht="13.2">
      <c r="A1719" s="90"/>
      <c r="B1719" s="92"/>
      <c r="C1719" s="90"/>
      <c r="D1719" s="90"/>
      <c r="E1719" s="90"/>
      <c r="F1719" s="90"/>
      <c r="G1719" s="90"/>
      <c r="H1719" s="90"/>
      <c r="I1719" s="90"/>
      <c r="J1719" s="90"/>
      <c r="K1719" s="90"/>
      <c r="L1719" s="90"/>
      <c r="M1719" s="90"/>
      <c r="N1719" s="90"/>
      <c r="O1719" s="90"/>
      <c r="P1719" s="90"/>
    </row>
    <row r="1720" spans="1:16" ht="13.2">
      <c r="A1720" s="90"/>
      <c r="B1720" s="92"/>
      <c r="C1720" s="90"/>
      <c r="D1720" s="90"/>
      <c r="E1720" s="90"/>
      <c r="F1720" s="90"/>
      <c r="G1720" s="90"/>
      <c r="H1720" s="90"/>
      <c r="I1720" s="90"/>
      <c r="J1720" s="90"/>
      <c r="K1720" s="90"/>
      <c r="L1720" s="90"/>
      <c r="M1720" s="90"/>
      <c r="N1720" s="90"/>
      <c r="O1720" s="90"/>
      <c r="P1720" s="90"/>
    </row>
    <row r="1721" spans="1:16" ht="13.2">
      <c r="A1721" s="90"/>
      <c r="B1721" s="92"/>
      <c r="C1721" s="90"/>
      <c r="D1721" s="90"/>
      <c r="E1721" s="90"/>
      <c r="F1721" s="90"/>
      <c r="G1721" s="90"/>
      <c r="H1721" s="90"/>
      <c r="I1721" s="90"/>
      <c r="J1721" s="90"/>
      <c r="K1721" s="90"/>
      <c r="L1721" s="90"/>
      <c r="M1721" s="90"/>
      <c r="N1721" s="90"/>
      <c r="O1721" s="90"/>
      <c r="P1721" s="90"/>
    </row>
    <row r="1722" spans="1:16" ht="13.2">
      <c r="A1722" s="90"/>
      <c r="B1722" s="92"/>
      <c r="C1722" s="90"/>
      <c r="D1722" s="90"/>
      <c r="E1722" s="90"/>
      <c r="F1722" s="90"/>
      <c r="G1722" s="90"/>
      <c r="H1722" s="90"/>
      <c r="I1722" s="90"/>
      <c r="J1722" s="90"/>
      <c r="K1722" s="90"/>
      <c r="L1722" s="90"/>
      <c r="M1722" s="90"/>
      <c r="N1722" s="90"/>
      <c r="O1722" s="90"/>
      <c r="P1722" s="90"/>
    </row>
    <row r="1723" spans="1:16" ht="13.2">
      <c r="A1723" s="90"/>
      <c r="B1723" s="92"/>
      <c r="C1723" s="90"/>
      <c r="D1723" s="90"/>
      <c r="E1723" s="90"/>
      <c r="F1723" s="90"/>
      <c r="G1723" s="90"/>
      <c r="H1723" s="90"/>
      <c r="I1723" s="90"/>
      <c r="J1723" s="90"/>
      <c r="K1723" s="90"/>
      <c r="L1723" s="90"/>
      <c r="M1723" s="90"/>
      <c r="N1723" s="90"/>
      <c r="O1723" s="90"/>
      <c r="P1723" s="90"/>
    </row>
    <row r="1724" spans="1:16" ht="13.2">
      <c r="A1724" s="90"/>
      <c r="B1724" s="92"/>
      <c r="C1724" s="90"/>
      <c r="D1724" s="90"/>
      <c r="E1724" s="90"/>
      <c r="F1724" s="90"/>
      <c r="G1724" s="90"/>
      <c r="H1724" s="90"/>
      <c r="I1724" s="90"/>
      <c r="J1724" s="90"/>
      <c r="K1724" s="90"/>
      <c r="L1724" s="90"/>
      <c r="M1724" s="90"/>
      <c r="N1724" s="90"/>
      <c r="O1724" s="90"/>
      <c r="P1724" s="90"/>
    </row>
    <row r="1725" spans="1:16" ht="13.2">
      <c r="A1725" s="90"/>
      <c r="B1725" s="92"/>
      <c r="C1725" s="90"/>
      <c r="D1725" s="90"/>
      <c r="E1725" s="90"/>
      <c r="F1725" s="90"/>
      <c r="G1725" s="90"/>
      <c r="H1725" s="90"/>
      <c r="I1725" s="90"/>
      <c r="J1725" s="90"/>
      <c r="K1725" s="90"/>
      <c r="L1725" s="90"/>
      <c r="M1725" s="90"/>
      <c r="N1725" s="90"/>
      <c r="O1725" s="90"/>
      <c r="P1725" s="90"/>
    </row>
    <row r="1726" spans="1:16" ht="13.2">
      <c r="A1726" s="90"/>
      <c r="B1726" s="92"/>
      <c r="C1726" s="90"/>
      <c r="D1726" s="90"/>
      <c r="E1726" s="90"/>
      <c r="F1726" s="90"/>
      <c r="G1726" s="90"/>
      <c r="H1726" s="90"/>
      <c r="I1726" s="90"/>
      <c r="J1726" s="90"/>
      <c r="K1726" s="90"/>
      <c r="L1726" s="90"/>
      <c r="M1726" s="90"/>
      <c r="N1726" s="90"/>
      <c r="O1726" s="90"/>
      <c r="P1726" s="90"/>
    </row>
    <row r="1727" spans="1:16" ht="13.2">
      <c r="A1727" s="90"/>
      <c r="B1727" s="92"/>
      <c r="C1727" s="90"/>
      <c r="D1727" s="90"/>
      <c r="E1727" s="90"/>
      <c r="F1727" s="90"/>
      <c r="G1727" s="90"/>
      <c r="H1727" s="90"/>
      <c r="I1727" s="90"/>
      <c r="J1727" s="90"/>
      <c r="K1727" s="90"/>
      <c r="L1727" s="90"/>
      <c r="M1727" s="90"/>
      <c r="N1727" s="90"/>
      <c r="O1727" s="90"/>
      <c r="P1727" s="90"/>
    </row>
    <row r="1728" spans="1:16" ht="13.2">
      <c r="A1728" s="90"/>
      <c r="B1728" s="92"/>
      <c r="C1728" s="90"/>
      <c r="D1728" s="90"/>
      <c r="E1728" s="90"/>
      <c r="F1728" s="90"/>
      <c r="G1728" s="90"/>
      <c r="H1728" s="90"/>
      <c r="I1728" s="90"/>
      <c r="J1728" s="90"/>
      <c r="K1728" s="90"/>
      <c r="L1728" s="90"/>
      <c r="M1728" s="90"/>
      <c r="N1728" s="90"/>
      <c r="O1728" s="90"/>
      <c r="P1728" s="90"/>
    </row>
    <row r="1729" spans="1:16" ht="13.2">
      <c r="A1729" s="90"/>
      <c r="B1729" s="92"/>
      <c r="C1729" s="90"/>
      <c r="D1729" s="90"/>
      <c r="E1729" s="90"/>
      <c r="F1729" s="90"/>
      <c r="G1729" s="90"/>
      <c r="H1729" s="90"/>
      <c r="I1729" s="90"/>
      <c r="J1729" s="90"/>
      <c r="K1729" s="90"/>
      <c r="L1729" s="90"/>
      <c r="M1729" s="90"/>
      <c r="N1729" s="90"/>
      <c r="O1729" s="90"/>
      <c r="P1729" s="90"/>
    </row>
    <row r="1730" spans="1:16" ht="13.2">
      <c r="A1730" s="90"/>
      <c r="B1730" s="92"/>
      <c r="C1730" s="90"/>
      <c r="D1730" s="90"/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</row>
    <row r="1731" spans="1:16" ht="13.2">
      <c r="A1731" s="90"/>
      <c r="B1731" s="92"/>
      <c r="C1731" s="90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</row>
    <row r="1732" spans="1:16" ht="13.2">
      <c r="A1732" s="90"/>
      <c r="B1732" s="92"/>
      <c r="C1732" s="90"/>
      <c r="D1732" s="90"/>
      <c r="E1732" s="90"/>
      <c r="F1732" s="90"/>
      <c r="G1732" s="90"/>
      <c r="H1732" s="90"/>
      <c r="I1732" s="90"/>
      <c r="J1732" s="90"/>
      <c r="K1732" s="90"/>
      <c r="L1732" s="90"/>
      <c r="M1732" s="90"/>
      <c r="N1732" s="90"/>
      <c r="O1732" s="90"/>
      <c r="P1732" s="90"/>
    </row>
    <row r="1733" spans="1:16" ht="13.2">
      <c r="A1733" s="90"/>
      <c r="B1733" s="92"/>
      <c r="C1733" s="90"/>
      <c r="D1733" s="90"/>
      <c r="E1733" s="90"/>
      <c r="F1733" s="90"/>
      <c r="G1733" s="90"/>
      <c r="H1733" s="90"/>
      <c r="I1733" s="90"/>
      <c r="J1733" s="90"/>
      <c r="K1733" s="90"/>
      <c r="L1733" s="90"/>
      <c r="M1733" s="90"/>
      <c r="N1733" s="90"/>
      <c r="O1733" s="90"/>
      <c r="P1733" s="90"/>
    </row>
    <row r="1734" spans="1:16" ht="13.2">
      <c r="A1734" s="90"/>
      <c r="B1734" s="92"/>
      <c r="C1734" s="90"/>
      <c r="D1734" s="90"/>
      <c r="E1734" s="90"/>
      <c r="F1734" s="90"/>
      <c r="G1734" s="90"/>
      <c r="H1734" s="90"/>
      <c r="I1734" s="90"/>
      <c r="J1734" s="90"/>
      <c r="K1734" s="90"/>
      <c r="L1734" s="90"/>
      <c r="M1734" s="90"/>
      <c r="N1734" s="90"/>
      <c r="O1734" s="90"/>
      <c r="P1734" s="90"/>
    </row>
    <row r="1735" spans="1:16" ht="13.2">
      <c r="A1735" s="90"/>
      <c r="B1735" s="92"/>
      <c r="C1735" s="90"/>
      <c r="D1735" s="90"/>
      <c r="E1735" s="90"/>
      <c r="F1735" s="90"/>
      <c r="G1735" s="90"/>
      <c r="H1735" s="90"/>
      <c r="I1735" s="90"/>
      <c r="J1735" s="90"/>
      <c r="K1735" s="90"/>
      <c r="L1735" s="90"/>
      <c r="M1735" s="90"/>
      <c r="N1735" s="90"/>
      <c r="O1735" s="90"/>
      <c r="P1735" s="90"/>
    </row>
    <row r="1736" spans="1:16" ht="13.2">
      <c r="A1736" s="90"/>
      <c r="B1736" s="92"/>
      <c r="C1736" s="90"/>
      <c r="D1736" s="90"/>
      <c r="E1736" s="90"/>
      <c r="F1736" s="90"/>
      <c r="G1736" s="90"/>
      <c r="H1736" s="90"/>
      <c r="I1736" s="90"/>
      <c r="J1736" s="90"/>
      <c r="K1736" s="90"/>
      <c r="L1736" s="90"/>
      <c r="M1736" s="90"/>
      <c r="N1736" s="90"/>
      <c r="O1736" s="90"/>
      <c r="P1736" s="90"/>
    </row>
    <row r="1737" spans="1:16" ht="13.2">
      <c r="A1737" s="90"/>
      <c r="B1737" s="92"/>
      <c r="C1737" s="90"/>
      <c r="D1737" s="90"/>
      <c r="E1737" s="90"/>
      <c r="F1737" s="90"/>
      <c r="G1737" s="90"/>
      <c r="H1737" s="90"/>
      <c r="I1737" s="90"/>
      <c r="J1737" s="90"/>
      <c r="K1737" s="90"/>
      <c r="L1737" s="90"/>
      <c r="M1737" s="90"/>
      <c r="N1737" s="90"/>
      <c r="O1737" s="90"/>
      <c r="P1737" s="90"/>
    </row>
    <row r="1738" spans="1:16" ht="13.2">
      <c r="A1738" s="90"/>
      <c r="B1738" s="92"/>
      <c r="C1738" s="90"/>
      <c r="D1738" s="90"/>
      <c r="E1738" s="90"/>
      <c r="F1738" s="90"/>
      <c r="G1738" s="90"/>
      <c r="H1738" s="90"/>
      <c r="I1738" s="90"/>
      <c r="J1738" s="90"/>
      <c r="K1738" s="90"/>
      <c r="L1738" s="90"/>
      <c r="M1738" s="90"/>
      <c r="N1738" s="90"/>
      <c r="O1738" s="90"/>
      <c r="P1738" s="90"/>
    </row>
    <row r="1739" spans="1:16" ht="13.2">
      <c r="A1739" s="90"/>
      <c r="B1739" s="92"/>
      <c r="C1739" s="90"/>
      <c r="D1739" s="90"/>
      <c r="E1739" s="90"/>
      <c r="F1739" s="90"/>
      <c r="G1739" s="90"/>
      <c r="H1739" s="90"/>
      <c r="I1739" s="90"/>
      <c r="J1739" s="90"/>
      <c r="K1739" s="90"/>
      <c r="L1739" s="90"/>
      <c r="M1739" s="90"/>
      <c r="N1739" s="90"/>
      <c r="O1739" s="90"/>
      <c r="P1739" s="90"/>
    </row>
    <row r="1740" spans="1:16" ht="13.2">
      <c r="A1740" s="90"/>
      <c r="B1740" s="92"/>
      <c r="C1740" s="90"/>
      <c r="D1740" s="90"/>
      <c r="E1740" s="90"/>
      <c r="F1740" s="90"/>
      <c r="G1740" s="90"/>
      <c r="H1740" s="90"/>
      <c r="I1740" s="90"/>
      <c r="J1740" s="90"/>
      <c r="K1740" s="90"/>
      <c r="L1740" s="90"/>
      <c r="M1740" s="90"/>
      <c r="N1740" s="90"/>
      <c r="O1740" s="90"/>
      <c r="P1740" s="90"/>
    </row>
    <row r="1741" spans="1:16" ht="13.2">
      <c r="A1741" s="90"/>
      <c r="B1741" s="92"/>
      <c r="C1741" s="90"/>
      <c r="D1741" s="90"/>
      <c r="E1741" s="90"/>
      <c r="F1741" s="90"/>
      <c r="G1741" s="90"/>
      <c r="H1741" s="90"/>
      <c r="I1741" s="90"/>
      <c r="J1741" s="90"/>
      <c r="K1741" s="90"/>
      <c r="L1741" s="90"/>
      <c r="M1741" s="90"/>
      <c r="N1741" s="90"/>
      <c r="O1741" s="90"/>
      <c r="P1741" s="90"/>
    </row>
    <row r="1742" spans="1:16" ht="13.2">
      <c r="A1742" s="90"/>
      <c r="B1742" s="92"/>
      <c r="C1742" s="90"/>
      <c r="D1742" s="90"/>
      <c r="E1742" s="90"/>
      <c r="F1742" s="90"/>
      <c r="G1742" s="90"/>
      <c r="H1742" s="90"/>
      <c r="I1742" s="90"/>
      <c r="J1742" s="90"/>
      <c r="K1742" s="90"/>
      <c r="L1742" s="90"/>
      <c r="M1742" s="90"/>
      <c r="N1742" s="90"/>
      <c r="O1742" s="90"/>
      <c r="P1742" s="90"/>
    </row>
    <row r="1743" spans="1:16" ht="13.2">
      <c r="A1743" s="90"/>
      <c r="B1743" s="92"/>
      <c r="C1743" s="90"/>
      <c r="D1743" s="90"/>
      <c r="E1743" s="90"/>
      <c r="F1743" s="90"/>
      <c r="G1743" s="90"/>
      <c r="H1743" s="90"/>
      <c r="I1743" s="90"/>
      <c r="J1743" s="90"/>
      <c r="K1743" s="90"/>
      <c r="L1743" s="90"/>
      <c r="M1743" s="90"/>
      <c r="N1743" s="90"/>
      <c r="O1743" s="90"/>
      <c r="P1743" s="90"/>
    </row>
    <row r="1744" spans="1:16" ht="13.2">
      <c r="A1744" s="90"/>
      <c r="B1744" s="92"/>
      <c r="C1744" s="90"/>
      <c r="D1744" s="90"/>
      <c r="E1744" s="90"/>
      <c r="F1744" s="90"/>
      <c r="G1744" s="90"/>
      <c r="H1744" s="90"/>
      <c r="I1744" s="90"/>
      <c r="J1744" s="90"/>
      <c r="K1744" s="90"/>
      <c r="L1744" s="90"/>
      <c r="M1744" s="90"/>
      <c r="N1744" s="90"/>
      <c r="O1744" s="90"/>
      <c r="P1744" s="90"/>
    </row>
    <row r="1745" spans="1:16" ht="13.2">
      <c r="A1745" s="90"/>
      <c r="B1745" s="92"/>
      <c r="C1745" s="90"/>
      <c r="D1745" s="90"/>
      <c r="E1745" s="90"/>
      <c r="F1745" s="90"/>
      <c r="G1745" s="90"/>
      <c r="H1745" s="90"/>
      <c r="I1745" s="90"/>
      <c r="J1745" s="90"/>
      <c r="K1745" s="90"/>
      <c r="L1745" s="90"/>
      <c r="M1745" s="90"/>
      <c r="N1745" s="90"/>
      <c r="O1745" s="90"/>
      <c r="P1745" s="90"/>
    </row>
    <row r="1746" spans="1:16" ht="13.2">
      <c r="A1746" s="90"/>
      <c r="B1746" s="92"/>
      <c r="C1746" s="90"/>
      <c r="D1746" s="90"/>
      <c r="E1746" s="90"/>
      <c r="F1746" s="90"/>
      <c r="G1746" s="90"/>
      <c r="H1746" s="90"/>
      <c r="I1746" s="90"/>
      <c r="J1746" s="90"/>
      <c r="K1746" s="90"/>
      <c r="L1746" s="90"/>
      <c r="M1746" s="90"/>
      <c r="N1746" s="90"/>
      <c r="O1746" s="90"/>
      <c r="P1746" s="90"/>
    </row>
    <row r="1747" spans="1:16" ht="13.2">
      <c r="A1747" s="90"/>
      <c r="B1747" s="92"/>
      <c r="C1747" s="90"/>
      <c r="D1747" s="90"/>
      <c r="E1747" s="90"/>
      <c r="F1747" s="90"/>
      <c r="G1747" s="90"/>
      <c r="H1747" s="90"/>
      <c r="I1747" s="90"/>
      <c r="J1747" s="90"/>
      <c r="K1747" s="90"/>
      <c r="L1747" s="90"/>
      <c r="M1747" s="90"/>
      <c r="N1747" s="90"/>
      <c r="O1747" s="90"/>
      <c r="P1747" s="90"/>
    </row>
    <row r="1748" spans="1:16" ht="13.2">
      <c r="A1748" s="90"/>
      <c r="B1748" s="92"/>
      <c r="C1748" s="90"/>
      <c r="D1748" s="90"/>
      <c r="E1748" s="90"/>
      <c r="F1748" s="90"/>
      <c r="G1748" s="90"/>
      <c r="H1748" s="90"/>
      <c r="I1748" s="90"/>
      <c r="J1748" s="90"/>
      <c r="K1748" s="90"/>
      <c r="L1748" s="90"/>
      <c r="M1748" s="90"/>
      <c r="N1748" s="90"/>
      <c r="O1748" s="90"/>
      <c r="P1748" s="90"/>
    </row>
    <row r="1749" spans="1:16" ht="13.2">
      <c r="A1749" s="90"/>
      <c r="B1749" s="92"/>
      <c r="C1749" s="90"/>
      <c r="D1749" s="90"/>
      <c r="E1749" s="90"/>
      <c r="F1749" s="90"/>
      <c r="G1749" s="90"/>
      <c r="H1749" s="90"/>
      <c r="I1749" s="90"/>
      <c r="J1749" s="90"/>
      <c r="K1749" s="90"/>
      <c r="L1749" s="90"/>
      <c r="M1749" s="90"/>
      <c r="N1749" s="90"/>
      <c r="O1749" s="90"/>
      <c r="P1749" s="90"/>
    </row>
    <row r="1750" spans="1:16" ht="13.2">
      <c r="A1750" s="90"/>
      <c r="B1750" s="92"/>
      <c r="C1750" s="90"/>
      <c r="D1750" s="90"/>
      <c r="E1750" s="90"/>
      <c r="F1750" s="90"/>
      <c r="G1750" s="90"/>
      <c r="H1750" s="90"/>
      <c r="I1750" s="90"/>
      <c r="J1750" s="90"/>
      <c r="K1750" s="90"/>
      <c r="L1750" s="90"/>
      <c r="M1750" s="90"/>
      <c r="N1750" s="90"/>
      <c r="O1750" s="90"/>
      <c r="P1750" s="90"/>
    </row>
    <row r="1751" spans="1:16" ht="13.2">
      <c r="A1751" s="90"/>
      <c r="B1751" s="92"/>
      <c r="C1751" s="90"/>
      <c r="D1751" s="90"/>
      <c r="E1751" s="90"/>
      <c r="F1751" s="90"/>
      <c r="G1751" s="90"/>
      <c r="H1751" s="90"/>
      <c r="I1751" s="90"/>
      <c r="J1751" s="90"/>
      <c r="K1751" s="90"/>
      <c r="L1751" s="90"/>
      <c r="M1751" s="90"/>
      <c r="N1751" s="90"/>
      <c r="O1751" s="90"/>
      <c r="P1751" s="90"/>
    </row>
    <row r="1752" spans="1:16" ht="13.2">
      <c r="A1752" s="90"/>
      <c r="B1752" s="92"/>
      <c r="C1752" s="90"/>
      <c r="D1752" s="90"/>
      <c r="E1752" s="90"/>
      <c r="F1752" s="90"/>
      <c r="G1752" s="90"/>
      <c r="H1752" s="90"/>
      <c r="I1752" s="90"/>
      <c r="J1752" s="90"/>
      <c r="K1752" s="90"/>
      <c r="L1752" s="90"/>
      <c r="M1752" s="90"/>
      <c r="N1752" s="90"/>
      <c r="O1752" s="90"/>
      <c r="P1752" s="90"/>
    </row>
    <row r="1753" spans="1:16" ht="13.2">
      <c r="A1753" s="90"/>
      <c r="B1753" s="92"/>
      <c r="C1753" s="90"/>
      <c r="D1753" s="90"/>
      <c r="E1753" s="90"/>
      <c r="F1753" s="90"/>
      <c r="G1753" s="90"/>
      <c r="H1753" s="90"/>
      <c r="I1753" s="90"/>
      <c r="J1753" s="90"/>
      <c r="K1753" s="90"/>
      <c r="L1753" s="90"/>
      <c r="M1753" s="90"/>
      <c r="N1753" s="90"/>
      <c r="O1753" s="90"/>
      <c r="P1753" s="90"/>
    </row>
    <row r="1754" spans="1:16" ht="13.2">
      <c r="A1754" s="90"/>
      <c r="B1754" s="92"/>
      <c r="C1754" s="90"/>
      <c r="D1754" s="90"/>
      <c r="E1754" s="90"/>
      <c r="F1754" s="90"/>
      <c r="G1754" s="90"/>
      <c r="H1754" s="90"/>
      <c r="I1754" s="90"/>
      <c r="J1754" s="90"/>
      <c r="K1754" s="90"/>
      <c r="L1754" s="90"/>
      <c r="M1754" s="90"/>
      <c r="N1754" s="90"/>
      <c r="O1754" s="90"/>
      <c r="P1754" s="90"/>
    </row>
    <row r="1755" spans="1:16" ht="13.2">
      <c r="A1755" s="90"/>
      <c r="B1755" s="92"/>
      <c r="C1755" s="90"/>
      <c r="D1755" s="90"/>
      <c r="E1755" s="90"/>
      <c r="F1755" s="90"/>
      <c r="G1755" s="90"/>
      <c r="H1755" s="90"/>
      <c r="I1755" s="90"/>
      <c r="J1755" s="90"/>
      <c r="K1755" s="90"/>
      <c r="L1755" s="90"/>
      <c r="M1755" s="90"/>
      <c r="N1755" s="90"/>
      <c r="O1755" s="90"/>
      <c r="P1755" s="90"/>
    </row>
    <row r="1756" spans="1:16" ht="13.2">
      <c r="A1756" s="90"/>
      <c r="B1756" s="92"/>
      <c r="C1756" s="90"/>
      <c r="D1756" s="90"/>
      <c r="E1756" s="90"/>
      <c r="F1756" s="90"/>
      <c r="G1756" s="90"/>
      <c r="H1756" s="90"/>
      <c r="I1756" s="90"/>
      <c r="J1756" s="90"/>
      <c r="K1756" s="90"/>
      <c r="L1756" s="90"/>
      <c r="M1756" s="90"/>
      <c r="N1756" s="90"/>
      <c r="O1756" s="90"/>
      <c r="P1756" s="90"/>
    </row>
    <row r="1757" spans="1:16" ht="13.2">
      <c r="A1757" s="90"/>
      <c r="B1757" s="92"/>
      <c r="C1757" s="90"/>
      <c r="D1757" s="90"/>
      <c r="E1757" s="90"/>
      <c r="F1757" s="90"/>
      <c r="G1757" s="90"/>
      <c r="H1757" s="90"/>
      <c r="I1757" s="90"/>
      <c r="J1757" s="90"/>
      <c r="K1757" s="90"/>
      <c r="L1757" s="90"/>
      <c r="M1757" s="90"/>
      <c r="N1757" s="90"/>
      <c r="O1757" s="90"/>
      <c r="P1757" s="90"/>
    </row>
    <row r="1758" spans="1:16" ht="13.2">
      <c r="A1758" s="90"/>
      <c r="B1758" s="92"/>
      <c r="C1758" s="90"/>
      <c r="D1758" s="90"/>
      <c r="E1758" s="90"/>
      <c r="F1758" s="90"/>
      <c r="G1758" s="90"/>
      <c r="H1758" s="90"/>
      <c r="I1758" s="90"/>
      <c r="J1758" s="90"/>
      <c r="K1758" s="90"/>
      <c r="L1758" s="90"/>
      <c r="M1758" s="90"/>
      <c r="N1758" s="90"/>
      <c r="O1758" s="90"/>
      <c r="P1758" s="90"/>
    </row>
    <row r="1759" spans="1:16" ht="13.2">
      <c r="A1759" s="90"/>
      <c r="B1759" s="92"/>
      <c r="C1759" s="90"/>
      <c r="D1759" s="90"/>
      <c r="E1759" s="90"/>
      <c r="F1759" s="90"/>
      <c r="G1759" s="90"/>
      <c r="H1759" s="90"/>
      <c r="I1759" s="90"/>
      <c r="J1759" s="90"/>
      <c r="K1759" s="90"/>
      <c r="L1759" s="90"/>
      <c r="M1759" s="90"/>
      <c r="N1759" s="90"/>
      <c r="O1759" s="90"/>
      <c r="P1759" s="90"/>
    </row>
    <row r="1760" spans="1:16" ht="13.2">
      <c r="A1760" s="90"/>
      <c r="B1760" s="92"/>
      <c r="C1760" s="90"/>
      <c r="D1760" s="90"/>
      <c r="E1760" s="90"/>
      <c r="F1760" s="90"/>
      <c r="G1760" s="90"/>
      <c r="H1760" s="90"/>
      <c r="I1760" s="90"/>
      <c r="J1760" s="90"/>
      <c r="K1760" s="90"/>
      <c r="L1760" s="90"/>
      <c r="M1760" s="90"/>
      <c r="N1760" s="90"/>
      <c r="O1760" s="90"/>
      <c r="P1760" s="90"/>
    </row>
    <row r="1761" spans="1:16" ht="13.2">
      <c r="A1761" s="90"/>
      <c r="B1761" s="92"/>
      <c r="C1761" s="90"/>
      <c r="D1761" s="90"/>
      <c r="E1761" s="90"/>
      <c r="F1761" s="90"/>
      <c r="G1761" s="90"/>
      <c r="H1761" s="90"/>
      <c r="I1761" s="90"/>
      <c r="J1761" s="90"/>
      <c r="K1761" s="90"/>
      <c r="L1761" s="90"/>
      <c r="M1761" s="90"/>
      <c r="N1761" s="90"/>
      <c r="O1761" s="90"/>
      <c r="P1761" s="90"/>
    </row>
    <row r="1762" spans="1:16" ht="13.2">
      <c r="A1762" s="90"/>
      <c r="B1762" s="92"/>
      <c r="C1762" s="90"/>
      <c r="D1762" s="90"/>
      <c r="E1762" s="90"/>
      <c r="F1762" s="90"/>
      <c r="G1762" s="90"/>
      <c r="H1762" s="90"/>
      <c r="I1762" s="90"/>
      <c r="J1762" s="90"/>
      <c r="K1762" s="90"/>
      <c r="L1762" s="90"/>
      <c r="M1762" s="90"/>
      <c r="N1762" s="90"/>
      <c r="O1762" s="90"/>
      <c r="P1762" s="90"/>
    </row>
    <row r="1763" spans="1:16" ht="13.2">
      <c r="A1763" s="90"/>
      <c r="B1763" s="92"/>
      <c r="C1763" s="90"/>
      <c r="D1763" s="90"/>
      <c r="E1763" s="90"/>
      <c r="F1763" s="90"/>
      <c r="G1763" s="90"/>
      <c r="H1763" s="90"/>
      <c r="I1763" s="90"/>
      <c r="J1763" s="90"/>
      <c r="K1763" s="90"/>
      <c r="L1763" s="90"/>
      <c r="M1763" s="90"/>
      <c r="N1763" s="90"/>
      <c r="O1763" s="90"/>
      <c r="P1763" s="90"/>
    </row>
    <row r="1764" spans="1:16" ht="13.2">
      <c r="A1764" s="90"/>
      <c r="B1764" s="92"/>
      <c r="C1764" s="90"/>
      <c r="D1764" s="90"/>
      <c r="E1764" s="90"/>
      <c r="F1764" s="90"/>
      <c r="G1764" s="90"/>
      <c r="H1764" s="90"/>
      <c r="I1764" s="90"/>
      <c r="J1764" s="90"/>
      <c r="K1764" s="90"/>
      <c r="L1764" s="90"/>
      <c r="M1764" s="90"/>
      <c r="N1764" s="90"/>
      <c r="O1764" s="90"/>
      <c r="P1764" s="90"/>
    </row>
    <row r="1765" spans="1:16" ht="13.2">
      <c r="A1765" s="90"/>
      <c r="B1765" s="92"/>
      <c r="C1765" s="90"/>
      <c r="D1765" s="90"/>
      <c r="E1765" s="90"/>
      <c r="F1765" s="90"/>
      <c r="G1765" s="90"/>
      <c r="H1765" s="90"/>
      <c r="I1765" s="90"/>
      <c r="J1765" s="90"/>
      <c r="K1765" s="90"/>
      <c r="L1765" s="90"/>
      <c r="M1765" s="90"/>
      <c r="N1765" s="90"/>
      <c r="O1765" s="90"/>
      <c r="P1765" s="90"/>
    </row>
    <row r="1766" spans="1:16" ht="13.2">
      <c r="A1766" s="90"/>
      <c r="B1766" s="92"/>
      <c r="C1766" s="90"/>
      <c r="D1766" s="90"/>
      <c r="E1766" s="90"/>
      <c r="F1766" s="90"/>
      <c r="G1766" s="90"/>
      <c r="H1766" s="90"/>
      <c r="I1766" s="90"/>
      <c r="J1766" s="90"/>
      <c r="K1766" s="90"/>
      <c r="L1766" s="90"/>
      <c r="M1766" s="90"/>
      <c r="N1766" s="90"/>
      <c r="O1766" s="90"/>
      <c r="P1766" s="90"/>
    </row>
    <row r="1767" spans="1:16" ht="13.2">
      <c r="A1767" s="90"/>
      <c r="B1767" s="92"/>
      <c r="C1767" s="90"/>
      <c r="D1767" s="90"/>
      <c r="E1767" s="90"/>
      <c r="F1767" s="90"/>
      <c r="G1767" s="90"/>
      <c r="H1767" s="90"/>
      <c r="I1767" s="90"/>
      <c r="J1767" s="90"/>
      <c r="K1767" s="90"/>
      <c r="L1767" s="90"/>
      <c r="M1767" s="90"/>
      <c r="N1767" s="90"/>
      <c r="O1767" s="90"/>
      <c r="P1767" s="90"/>
    </row>
    <row r="1768" spans="1:16" ht="13.2">
      <c r="A1768" s="90"/>
      <c r="B1768" s="92"/>
      <c r="C1768" s="90"/>
      <c r="D1768" s="90"/>
      <c r="E1768" s="90"/>
      <c r="F1768" s="90"/>
      <c r="G1768" s="90"/>
      <c r="H1768" s="90"/>
      <c r="I1768" s="90"/>
      <c r="J1768" s="90"/>
      <c r="K1768" s="90"/>
      <c r="L1768" s="90"/>
      <c r="M1768" s="90"/>
      <c r="N1768" s="90"/>
      <c r="O1768" s="90"/>
      <c r="P1768" s="90"/>
    </row>
    <row r="1769" spans="1:16" ht="13.2">
      <c r="A1769" s="90"/>
      <c r="B1769" s="92"/>
      <c r="C1769" s="90"/>
      <c r="D1769" s="90"/>
      <c r="E1769" s="90"/>
      <c r="F1769" s="90"/>
      <c r="G1769" s="90"/>
      <c r="H1769" s="90"/>
      <c r="I1769" s="90"/>
      <c r="J1769" s="90"/>
      <c r="K1769" s="90"/>
      <c r="L1769" s="90"/>
      <c r="M1769" s="90"/>
      <c r="N1769" s="90"/>
      <c r="O1769" s="90"/>
      <c r="P1769" s="90"/>
    </row>
    <row r="1770" spans="1:16" ht="13.2">
      <c r="A1770" s="90"/>
      <c r="B1770" s="92"/>
      <c r="C1770" s="90"/>
      <c r="D1770" s="90"/>
      <c r="E1770" s="90"/>
      <c r="F1770" s="90"/>
      <c r="G1770" s="90"/>
      <c r="H1770" s="90"/>
      <c r="I1770" s="90"/>
      <c r="J1770" s="90"/>
      <c r="K1770" s="90"/>
      <c r="L1770" s="90"/>
      <c r="M1770" s="90"/>
      <c r="N1770" s="90"/>
      <c r="O1770" s="90"/>
      <c r="P1770" s="90"/>
    </row>
    <row r="1771" spans="1:16" ht="13.2">
      <c r="A1771" s="90"/>
      <c r="B1771" s="92"/>
      <c r="C1771" s="90"/>
      <c r="D1771" s="90"/>
      <c r="E1771" s="90"/>
      <c r="F1771" s="90"/>
      <c r="G1771" s="90"/>
      <c r="H1771" s="90"/>
      <c r="I1771" s="90"/>
      <c r="J1771" s="90"/>
      <c r="K1771" s="90"/>
      <c r="L1771" s="90"/>
      <c r="M1771" s="90"/>
      <c r="N1771" s="90"/>
      <c r="O1771" s="90"/>
      <c r="P1771" s="90"/>
    </row>
    <row r="1772" spans="1:16" ht="13.2">
      <c r="A1772" s="90"/>
      <c r="B1772" s="92"/>
      <c r="C1772" s="90"/>
      <c r="D1772" s="90"/>
      <c r="E1772" s="90"/>
      <c r="F1772" s="90"/>
      <c r="G1772" s="90"/>
      <c r="H1772" s="90"/>
      <c r="I1772" s="90"/>
      <c r="J1772" s="90"/>
      <c r="K1772" s="90"/>
      <c r="L1772" s="90"/>
      <c r="M1772" s="90"/>
      <c r="N1772" s="90"/>
      <c r="O1772" s="90"/>
      <c r="P1772" s="90"/>
    </row>
    <row r="1773" spans="1:16" ht="13.2">
      <c r="A1773" s="90"/>
      <c r="B1773" s="92"/>
      <c r="C1773" s="90"/>
      <c r="D1773" s="90"/>
      <c r="E1773" s="90"/>
      <c r="F1773" s="90"/>
      <c r="G1773" s="90"/>
      <c r="H1773" s="90"/>
      <c r="I1773" s="90"/>
      <c r="J1773" s="90"/>
      <c r="K1773" s="90"/>
      <c r="L1773" s="90"/>
      <c r="M1773" s="90"/>
      <c r="N1773" s="90"/>
      <c r="O1773" s="90"/>
      <c r="P1773" s="90"/>
    </row>
    <row r="1774" spans="1:16" ht="13.2">
      <c r="A1774" s="90"/>
      <c r="B1774" s="92"/>
      <c r="C1774" s="90"/>
      <c r="D1774" s="90"/>
      <c r="E1774" s="90"/>
      <c r="F1774" s="90"/>
      <c r="G1774" s="90"/>
      <c r="H1774" s="90"/>
      <c r="I1774" s="90"/>
      <c r="J1774" s="90"/>
      <c r="K1774" s="90"/>
      <c r="L1774" s="90"/>
      <c r="M1774" s="90"/>
      <c r="N1774" s="90"/>
      <c r="O1774" s="90"/>
      <c r="P1774" s="90"/>
    </row>
    <row r="1775" spans="1:16" ht="13.2">
      <c r="A1775" s="90"/>
      <c r="B1775" s="92"/>
      <c r="C1775" s="90"/>
      <c r="D1775" s="90"/>
      <c r="E1775" s="90"/>
      <c r="F1775" s="90"/>
      <c r="G1775" s="90"/>
      <c r="H1775" s="90"/>
      <c r="I1775" s="90"/>
      <c r="J1775" s="90"/>
      <c r="K1775" s="90"/>
      <c r="L1775" s="90"/>
      <c r="M1775" s="90"/>
      <c r="N1775" s="90"/>
      <c r="O1775" s="90"/>
      <c r="P1775" s="90"/>
    </row>
    <row r="1776" spans="1:16" ht="13.2">
      <c r="A1776" s="90"/>
      <c r="B1776" s="92"/>
      <c r="C1776" s="90"/>
      <c r="D1776" s="90"/>
      <c r="E1776" s="90"/>
      <c r="F1776" s="90"/>
      <c r="G1776" s="90"/>
      <c r="H1776" s="90"/>
      <c r="I1776" s="90"/>
      <c r="J1776" s="90"/>
      <c r="K1776" s="90"/>
      <c r="L1776" s="90"/>
      <c r="M1776" s="90"/>
      <c r="N1776" s="90"/>
      <c r="O1776" s="90"/>
      <c r="P1776" s="90"/>
    </row>
    <row r="1777" spans="1:16" ht="13.2">
      <c r="A1777" s="90"/>
      <c r="B1777" s="92"/>
      <c r="C1777" s="90"/>
      <c r="D1777" s="90"/>
      <c r="E1777" s="90"/>
      <c r="F1777" s="90"/>
      <c r="G1777" s="90"/>
      <c r="H1777" s="90"/>
      <c r="I1777" s="90"/>
      <c r="J1777" s="90"/>
      <c r="K1777" s="90"/>
      <c r="L1777" s="90"/>
      <c r="M1777" s="90"/>
      <c r="N1777" s="90"/>
      <c r="O1777" s="90"/>
      <c r="P1777" s="90"/>
    </row>
    <row r="1778" spans="1:16" ht="13.2">
      <c r="A1778" s="90"/>
      <c r="B1778" s="92"/>
      <c r="C1778" s="90"/>
      <c r="D1778" s="90"/>
      <c r="E1778" s="90"/>
      <c r="F1778" s="90"/>
      <c r="G1778" s="90"/>
      <c r="H1778" s="90"/>
      <c r="I1778" s="90"/>
      <c r="J1778" s="90"/>
      <c r="K1778" s="90"/>
      <c r="L1778" s="90"/>
      <c r="M1778" s="90"/>
      <c r="N1778" s="90"/>
      <c r="O1778" s="90"/>
      <c r="P1778" s="90"/>
    </row>
    <row r="1779" spans="1:16" ht="13.2">
      <c r="A1779" s="90"/>
      <c r="B1779" s="92"/>
      <c r="C1779" s="90"/>
      <c r="D1779" s="90"/>
      <c r="E1779" s="90"/>
      <c r="F1779" s="90"/>
      <c r="G1779" s="90"/>
      <c r="H1779" s="90"/>
      <c r="I1779" s="90"/>
      <c r="J1779" s="90"/>
      <c r="K1779" s="90"/>
      <c r="L1779" s="90"/>
      <c r="M1779" s="90"/>
      <c r="N1779" s="90"/>
      <c r="O1779" s="90"/>
      <c r="P1779" s="90"/>
    </row>
    <row r="1780" spans="1:16" ht="13.2">
      <c r="A1780" s="90"/>
      <c r="B1780" s="92"/>
      <c r="C1780" s="90"/>
      <c r="D1780" s="90"/>
      <c r="E1780" s="90"/>
      <c r="F1780" s="90"/>
      <c r="G1780" s="90"/>
      <c r="H1780" s="90"/>
      <c r="I1780" s="90"/>
      <c r="J1780" s="90"/>
      <c r="K1780" s="90"/>
      <c r="L1780" s="90"/>
      <c r="M1780" s="90"/>
      <c r="N1780" s="90"/>
      <c r="O1780" s="90"/>
      <c r="P1780" s="90"/>
    </row>
    <row r="1781" spans="1:16" ht="13.2">
      <c r="A1781" s="90"/>
      <c r="B1781" s="92"/>
      <c r="C1781" s="90"/>
      <c r="D1781" s="90"/>
      <c r="E1781" s="90"/>
      <c r="F1781" s="90"/>
      <c r="G1781" s="90"/>
      <c r="H1781" s="90"/>
      <c r="I1781" s="90"/>
      <c r="J1781" s="90"/>
      <c r="K1781" s="90"/>
      <c r="L1781" s="90"/>
      <c r="M1781" s="90"/>
      <c r="N1781" s="90"/>
      <c r="O1781" s="90"/>
      <c r="P1781" s="90"/>
    </row>
    <row r="1782" spans="1:16" ht="13.2">
      <c r="A1782" s="90"/>
      <c r="B1782" s="92"/>
      <c r="C1782" s="90"/>
      <c r="D1782" s="90"/>
      <c r="E1782" s="90"/>
      <c r="F1782" s="90"/>
      <c r="G1782" s="90"/>
      <c r="H1782" s="90"/>
      <c r="I1782" s="90"/>
      <c r="J1782" s="90"/>
      <c r="K1782" s="90"/>
      <c r="L1782" s="90"/>
      <c r="M1782" s="90"/>
      <c r="N1782" s="90"/>
      <c r="O1782" s="90"/>
      <c r="P1782" s="90"/>
    </row>
    <row r="1783" spans="1:16" ht="13.2">
      <c r="A1783" s="90"/>
      <c r="B1783" s="92"/>
      <c r="C1783" s="90"/>
      <c r="D1783" s="90"/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</row>
    <row r="1784" spans="1:16" ht="13.2">
      <c r="A1784" s="90"/>
      <c r="B1784" s="92"/>
      <c r="C1784" s="90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</row>
    <row r="1785" spans="1:16" ht="13.2">
      <c r="A1785" s="90"/>
      <c r="B1785" s="92"/>
      <c r="C1785" s="90"/>
      <c r="D1785" s="90"/>
      <c r="E1785" s="90"/>
      <c r="F1785" s="90"/>
      <c r="G1785" s="90"/>
      <c r="H1785" s="90"/>
      <c r="I1785" s="90"/>
      <c r="J1785" s="90"/>
      <c r="K1785" s="90"/>
      <c r="L1785" s="90"/>
      <c r="M1785" s="90"/>
      <c r="N1785" s="90"/>
      <c r="O1785" s="90"/>
      <c r="P1785" s="90"/>
    </row>
    <row r="1786" spans="1:16" ht="13.2">
      <c r="A1786" s="90"/>
      <c r="B1786" s="92"/>
      <c r="C1786" s="90"/>
      <c r="D1786" s="90"/>
      <c r="E1786" s="90"/>
      <c r="F1786" s="90"/>
      <c r="G1786" s="90"/>
      <c r="H1786" s="90"/>
      <c r="I1786" s="90"/>
      <c r="J1786" s="90"/>
      <c r="K1786" s="90"/>
      <c r="L1786" s="90"/>
      <c r="M1786" s="90"/>
      <c r="N1786" s="90"/>
      <c r="O1786" s="90"/>
      <c r="P1786" s="90"/>
    </row>
    <row r="1787" spans="1:16" ht="13.2">
      <c r="A1787" s="90"/>
      <c r="B1787" s="92"/>
      <c r="C1787" s="90"/>
      <c r="D1787" s="90"/>
      <c r="E1787" s="90"/>
      <c r="F1787" s="90"/>
      <c r="G1787" s="90"/>
      <c r="H1787" s="90"/>
      <c r="I1787" s="90"/>
      <c r="J1787" s="90"/>
      <c r="K1787" s="90"/>
      <c r="L1787" s="90"/>
      <c r="M1787" s="90"/>
      <c r="N1787" s="90"/>
      <c r="O1787" s="90"/>
      <c r="P1787" s="90"/>
    </row>
    <row r="1788" spans="1:16" ht="13.2">
      <c r="A1788" s="90"/>
      <c r="B1788" s="92"/>
      <c r="C1788" s="90"/>
      <c r="D1788" s="90"/>
      <c r="E1788" s="90"/>
      <c r="F1788" s="90"/>
      <c r="G1788" s="90"/>
      <c r="H1788" s="90"/>
      <c r="I1788" s="90"/>
      <c r="J1788" s="90"/>
      <c r="K1788" s="90"/>
      <c r="L1788" s="90"/>
      <c r="M1788" s="90"/>
      <c r="N1788" s="90"/>
      <c r="O1788" s="90"/>
      <c r="P1788" s="90"/>
    </row>
    <row r="1789" spans="1:16" ht="13.2">
      <c r="A1789" s="90"/>
      <c r="B1789" s="92"/>
      <c r="C1789" s="90"/>
      <c r="D1789" s="90"/>
      <c r="E1789" s="90"/>
      <c r="F1789" s="90"/>
      <c r="G1789" s="90"/>
      <c r="H1789" s="90"/>
      <c r="I1789" s="90"/>
      <c r="J1789" s="90"/>
      <c r="K1789" s="90"/>
      <c r="L1789" s="90"/>
      <c r="M1789" s="90"/>
      <c r="N1789" s="90"/>
      <c r="O1789" s="90"/>
      <c r="P1789" s="90"/>
    </row>
    <row r="1790" spans="1:16" ht="13.2">
      <c r="A1790" s="90"/>
      <c r="B1790" s="92"/>
      <c r="C1790" s="90"/>
      <c r="D1790" s="90"/>
      <c r="E1790" s="90"/>
      <c r="F1790" s="90"/>
      <c r="G1790" s="90"/>
      <c r="H1790" s="90"/>
      <c r="I1790" s="90"/>
      <c r="J1790" s="90"/>
      <c r="K1790" s="90"/>
      <c r="L1790" s="90"/>
      <c r="M1790" s="90"/>
      <c r="N1790" s="90"/>
      <c r="O1790" s="90"/>
      <c r="P1790" s="90"/>
    </row>
    <row r="1791" spans="1:16" ht="13.2">
      <c r="A1791" s="90"/>
      <c r="B1791" s="92"/>
      <c r="C1791" s="90"/>
      <c r="D1791" s="90"/>
      <c r="E1791" s="90"/>
      <c r="F1791" s="90"/>
      <c r="G1791" s="90"/>
      <c r="H1791" s="90"/>
      <c r="I1791" s="90"/>
      <c r="J1791" s="90"/>
      <c r="K1791" s="90"/>
      <c r="L1791" s="90"/>
      <c r="M1791" s="90"/>
      <c r="N1791" s="90"/>
      <c r="O1791" s="90"/>
      <c r="P1791" s="90"/>
    </row>
    <row r="1792" spans="1:16" ht="13.2">
      <c r="A1792" s="90"/>
      <c r="B1792" s="92"/>
      <c r="C1792" s="90"/>
      <c r="D1792" s="90"/>
      <c r="E1792" s="90"/>
      <c r="F1792" s="90"/>
      <c r="G1792" s="90"/>
      <c r="H1792" s="90"/>
      <c r="I1792" s="90"/>
      <c r="J1792" s="90"/>
      <c r="K1792" s="90"/>
      <c r="L1792" s="90"/>
      <c r="M1792" s="90"/>
      <c r="N1792" s="90"/>
      <c r="O1792" s="90"/>
      <c r="P1792" s="90"/>
    </row>
    <row r="1793" spans="1:16" ht="13.2">
      <c r="A1793" s="90"/>
      <c r="B1793" s="92"/>
      <c r="C1793" s="90"/>
      <c r="D1793" s="90"/>
      <c r="E1793" s="90"/>
      <c r="F1793" s="90"/>
      <c r="G1793" s="90"/>
      <c r="H1793" s="90"/>
      <c r="I1793" s="90"/>
      <c r="J1793" s="90"/>
      <c r="K1793" s="90"/>
      <c r="L1793" s="90"/>
      <c r="M1793" s="90"/>
      <c r="N1793" s="90"/>
      <c r="O1793" s="90"/>
      <c r="P1793" s="90"/>
    </row>
    <row r="1794" spans="1:16" ht="13.2">
      <c r="A1794" s="90"/>
      <c r="B1794" s="92"/>
      <c r="C1794" s="90"/>
      <c r="D1794" s="90"/>
      <c r="E1794" s="90"/>
      <c r="F1794" s="90"/>
      <c r="G1794" s="90"/>
      <c r="H1794" s="90"/>
      <c r="I1794" s="90"/>
      <c r="J1794" s="90"/>
      <c r="K1794" s="90"/>
      <c r="L1794" s="90"/>
      <c r="M1794" s="90"/>
      <c r="N1794" s="90"/>
      <c r="O1794" s="90"/>
      <c r="P1794" s="90"/>
    </row>
    <row r="1795" spans="1:16" ht="13.2">
      <c r="A1795" s="90"/>
      <c r="B1795" s="92"/>
      <c r="C1795" s="90"/>
      <c r="D1795" s="90"/>
      <c r="E1795" s="90"/>
      <c r="F1795" s="90"/>
      <c r="G1795" s="90"/>
      <c r="H1795" s="90"/>
      <c r="I1795" s="90"/>
      <c r="J1795" s="90"/>
      <c r="K1795" s="90"/>
      <c r="L1795" s="90"/>
      <c r="M1795" s="90"/>
      <c r="N1795" s="90"/>
      <c r="O1795" s="90"/>
      <c r="P1795" s="90"/>
    </row>
    <row r="1796" spans="1:16" ht="13.2">
      <c r="A1796" s="90"/>
      <c r="B1796" s="92"/>
      <c r="C1796" s="90"/>
      <c r="D1796" s="90"/>
      <c r="E1796" s="90"/>
      <c r="F1796" s="90"/>
      <c r="G1796" s="90"/>
      <c r="H1796" s="90"/>
      <c r="I1796" s="90"/>
      <c r="J1796" s="90"/>
      <c r="K1796" s="90"/>
      <c r="L1796" s="90"/>
      <c r="M1796" s="90"/>
      <c r="N1796" s="90"/>
      <c r="O1796" s="90"/>
      <c r="P1796" s="90"/>
    </row>
    <row r="1797" spans="1:16" ht="13.2">
      <c r="A1797" s="90"/>
      <c r="B1797" s="92"/>
      <c r="C1797" s="90"/>
      <c r="D1797" s="90"/>
      <c r="E1797" s="90"/>
      <c r="F1797" s="90"/>
      <c r="G1797" s="90"/>
      <c r="H1797" s="90"/>
      <c r="I1797" s="90"/>
      <c r="J1797" s="90"/>
      <c r="K1797" s="90"/>
      <c r="L1797" s="90"/>
      <c r="M1797" s="90"/>
      <c r="N1797" s="90"/>
      <c r="O1797" s="90"/>
      <c r="P1797" s="90"/>
    </row>
    <row r="1798" spans="1:16" ht="13.2">
      <c r="A1798" s="90"/>
      <c r="B1798" s="92"/>
      <c r="C1798" s="90"/>
      <c r="D1798" s="90"/>
      <c r="E1798" s="90"/>
      <c r="F1798" s="90"/>
      <c r="G1798" s="90"/>
      <c r="H1798" s="90"/>
      <c r="I1798" s="90"/>
      <c r="J1798" s="90"/>
      <c r="K1798" s="90"/>
      <c r="L1798" s="90"/>
      <c r="M1798" s="90"/>
      <c r="N1798" s="90"/>
      <c r="O1798" s="90"/>
      <c r="P1798" s="90"/>
    </row>
    <row r="1799" spans="1:16" ht="13.2">
      <c r="A1799" s="90"/>
      <c r="B1799" s="92"/>
      <c r="C1799" s="90"/>
      <c r="D1799" s="90"/>
      <c r="E1799" s="90"/>
      <c r="F1799" s="90"/>
      <c r="G1799" s="90"/>
      <c r="H1799" s="90"/>
      <c r="I1799" s="90"/>
      <c r="J1799" s="90"/>
      <c r="K1799" s="90"/>
      <c r="L1799" s="90"/>
      <c r="M1799" s="90"/>
      <c r="N1799" s="90"/>
      <c r="O1799" s="90"/>
      <c r="P1799" s="90"/>
    </row>
    <row r="1800" spans="1:16" ht="13.2">
      <c r="A1800" s="90"/>
      <c r="B1800" s="92"/>
      <c r="C1800" s="90"/>
      <c r="D1800" s="90"/>
      <c r="E1800" s="90"/>
      <c r="F1800" s="90"/>
      <c r="G1800" s="90"/>
      <c r="H1800" s="90"/>
      <c r="I1800" s="90"/>
      <c r="J1800" s="90"/>
      <c r="K1800" s="90"/>
      <c r="L1800" s="90"/>
      <c r="M1800" s="90"/>
      <c r="N1800" s="90"/>
      <c r="O1800" s="90"/>
      <c r="P1800" s="90"/>
    </row>
    <row r="1801" spans="1:16" ht="13.2">
      <c r="A1801" s="90"/>
      <c r="B1801" s="92"/>
      <c r="C1801" s="90"/>
      <c r="D1801" s="90"/>
      <c r="E1801" s="90"/>
      <c r="F1801" s="90"/>
      <c r="G1801" s="90"/>
      <c r="H1801" s="90"/>
      <c r="I1801" s="90"/>
      <c r="J1801" s="90"/>
      <c r="K1801" s="90"/>
      <c r="L1801" s="90"/>
      <c r="M1801" s="90"/>
      <c r="N1801" s="90"/>
      <c r="O1801" s="90"/>
      <c r="P1801" s="90"/>
    </row>
    <row r="1802" spans="1:16" ht="13.2">
      <c r="A1802" s="90"/>
      <c r="B1802" s="92"/>
      <c r="C1802" s="90"/>
      <c r="D1802" s="90"/>
      <c r="E1802" s="90"/>
      <c r="F1802" s="90"/>
      <c r="G1802" s="90"/>
      <c r="H1802" s="90"/>
      <c r="I1802" s="90"/>
      <c r="J1802" s="90"/>
      <c r="K1802" s="90"/>
      <c r="L1802" s="90"/>
      <c r="M1802" s="90"/>
      <c r="N1802" s="90"/>
      <c r="O1802" s="90"/>
      <c r="P1802" s="90"/>
    </row>
    <row r="1803" spans="1:16" ht="13.2">
      <c r="A1803" s="90"/>
      <c r="B1803" s="92"/>
      <c r="C1803" s="90"/>
      <c r="D1803" s="90"/>
      <c r="E1803" s="90"/>
      <c r="F1803" s="90"/>
      <c r="G1803" s="90"/>
      <c r="H1803" s="90"/>
      <c r="I1803" s="90"/>
      <c r="J1803" s="90"/>
      <c r="K1803" s="90"/>
      <c r="L1803" s="90"/>
      <c r="M1803" s="90"/>
      <c r="N1803" s="90"/>
      <c r="O1803" s="90"/>
      <c r="P1803" s="90"/>
    </row>
    <row r="1804" spans="1:16" ht="13.2">
      <c r="A1804" s="90"/>
      <c r="B1804" s="92"/>
      <c r="C1804" s="90"/>
      <c r="D1804" s="90"/>
      <c r="E1804" s="90"/>
      <c r="F1804" s="90"/>
      <c r="G1804" s="90"/>
      <c r="H1804" s="90"/>
      <c r="I1804" s="90"/>
      <c r="J1804" s="90"/>
      <c r="K1804" s="90"/>
      <c r="L1804" s="90"/>
      <c r="M1804" s="90"/>
      <c r="N1804" s="90"/>
      <c r="O1804" s="90"/>
      <c r="P1804" s="90"/>
    </row>
    <row r="1805" spans="1:16" ht="13.2">
      <c r="A1805" s="90"/>
      <c r="B1805" s="92"/>
      <c r="C1805" s="90"/>
      <c r="D1805" s="90"/>
      <c r="E1805" s="90"/>
      <c r="F1805" s="90"/>
      <c r="G1805" s="90"/>
      <c r="H1805" s="90"/>
      <c r="I1805" s="90"/>
      <c r="J1805" s="90"/>
      <c r="K1805" s="90"/>
      <c r="L1805" s="90"/>
      <c r="M1805" s="90"/>
      <c r="N1805" s="90"/>
      <c r="O1805" s="90"/>
      <c r="P1805" s="90"/>
    </row>
    <row r="1806" spans="1:16" ht="13.2">
      <c r="A1806" s="90"/>
      <c r="B1806" s="92"/>
      <c r="C1806" s="90"/>
      <c r="D1806" s="90"/>
      <c r="E1806" s="90"/>
      <c r="F1806" s="90"/>
      <c r="G1806" s="90"/>
      <c r="H1806" s="90"/>
      <c r="I1806" s="90"/>
      <c r="J1806" s="90"/>
      <c r="K1806" s="90"/>
      <c r="L1806" s="90"/>
      <c r="M1806" s="90"/>
      <c r="N1806" s="90"/>
      <c r="O1806" s="90"/>
      <c r="P1806" s="90"/>
    </row>
    <row r="1807" spans="1:16" ht="13.2">
      <c r="A1807" s="90"/>
      <c r="B1807" s="92"/>
      <c r="C1807" s="90"/>
      <c r="D1807" s="90"/>
      <c r="E1807" s="90"/>
      <c r="F1807" s="90"/>
      <c r="G1807" s="90"/>
      <c r="H1807" s="90"/>
      <c r="I1807" s="90"/>
      <c r="J1807" s="90"/>
      <c r="K1807" s="90"/>
      <c r="L1807" s="90"/>
      <c r="M1807" s="90"/>
      <c r="N1807" s="90"/>
      <c r="O1807" s="90"/>
      <c r="P1807" s="90"/>
    </row>
    <row r="1808" spans="1:16" ht="13.2">
      <c r="A1808" s="90"/>
      <c r="B1808" s="92"/>
      <c r="C1808" s="90"/>
      <c r="D1808" s="90"/>
      <c r="E1808" s="90"/>
      <c r="F1808" s="90"/>
      <c r="G1808" s="90"/>
      <c r="H1808" s="90"/>
      <c r="I1808" s="90"/>
      <c r="J1808" s="90"/>
      <c r="K1808" s="90"/>
      <c r="L1808" s="90"/>
      <c r="M1808" s="90"/>
      <c r="N1808" s="90"/>
      <c r="O1808" s="90"/>
      <c r="P1808" s="90"/>
    </row>
    <row r="1809" spans="1:16" ht="13.2">
      <c r="A1809" s="90"/>
      <c r="B1809" s="92"/>
      <c r="C1809" s="90"/>
      <c r="D1809" s="90"/>
      <c r="E1809" s="90"/>
      <c r="F1809" s="90"/>
      <c r="G1809" s="90"/>
      <c r="H1809" s="90"/>
      <c r="I1809" s="90"/>
      <c r="J1809" s="90"/>
      <c r="K1809" s="90"/>
      <c r="L1809" s="90"/>
      <c r="M1809" s="90"/>
      <c r="N1809" s="90"/>
      <c r="O1809" s="90"/>
      <c r="P1809" s="90"/>
    </row>
    <row r="1810" spans="1:16" ht="13.2">
      <c r="A1810" s="90"/>
      <c r="B1810" s="92"/>
      <c r="C1810" s="90"/>
      <c r="D1810" s="90"/>
      <c r="E1810" s="90"/>
      <c r="F1810" s="90"/>
      <c r="G1810" s="90"/>
      <c r="H1810" s="90"/>
      <c r="I1810" s="90"/>
      <c r="J1810" s="90"/>
      <c r="K1810" s="90"/>
      <c r="L1810" s="90"/>
      <c r="M1810" s="90"/>
      <c r="N1810" s="90"/>
      <c r="O1810" s="90"/>
      <c r="P1810" s="90"/>
    </row>
    <row r="1811" spans="1:16" ht="13.2">
      <c r="A1811" s="90"/>
      <c r="B1811" s="92"/>
      <c r="C1811" s="90"/>
      <c r="D1811" s="90"/>
      <c r="E1811" s="90"/>
      <c r="F1811" s="90"/>
      <c r="G1811" s="90"/>
      <c r="H1811" s="90"/>
      <c r="I1811" s="90"/>
      <c r="J1811" s="90"/>
      <c r="K1811" s="90"/>
      <c r="L1811" s="90"/>
      <c r="M1811" s="90"/>
      <c r="N1811" s="90"/>
      <c r="O1811" s="90"/>
      <c r="P1811" s="90"/>
    </row>
    <row r="1812" spans="1:16" ht="13.2">
      <c r="A1812" s="90"/>
      <c r="B1812" s="92"/>
      <c r="C1812" s="90"/>
      <c r="D1812" s="90"/>
      <c r="E1812" s="90"/>
      <c r="F1812" s="90"/>
      <c r="G1812" s="90"/>
      <c r="H1812" s="90"/>
      <c r="I1812" s="90"/>
      <c r="J1812" s="90"/>
      <c r="K1812" s="90"/>
      <c r="L1812" s="90"/>
      <c r="M1812" s="90"/>
      <c r="N1812" s="90"/>
      <c r="O1812" s="90"/>
      <c r="P1812" s="90"/>
    </row>
    <row r="1813" spans="1:16" ht="13.2">
      <c r="A1813" s="90"/>
      <c r="B1813" s="92"/>
      <c r="C1813" s="90"/>
      <c r="D1813" s="90"/>
      <c r="E1813" s="90"/>
      <c r="F1813" s="90"/>
      <c r="G1813" s="90"/>
      <c r="H1813" s="90"/>
      <c r="I1813" s="90"/>
      <c r="J1813" s="90"/>
      <c r="K1813" s="90"/>
      <c r="L1813" s="90"/>
      <c r="M1813" s="90"/>
      <c r="N1813" s="90"/>
      <c r="O1813" s="90"/>
      <c r="P1813" s="90"/>
    </row>
    <row r="1814" spans="1:16" ht="13.2">
      <c r="A1814" s="90"/>
      <c r="B1814" s="92"/>
      <c r="C1814" s="90"/>
      <c r="D1814" s="90"/>
      <c r="E1814" s="90"/>
      <c r="F1814" s="90"/>
      <c r="G1814" s="90"/>
      <c r="H1814" s="90"/>
      <c r="I1814" s="90"/>
      <c r="J1814" s="90"/>
      <c r="K1814" s="90"/>
      <c r="L1814" s="90"/>
      <c r="M1814" s="90"/>
      <c r="N1814" s="90"/>
      <c r="O1814" s="90"/>
      <c r="P1814" s="90"/>
    </row>
    <row r="1815" spans="1:16" ht="13.2">
      <c r="A1815" s="90"/>
      <c r="B1815" s="92"/>
      <c r="C1815" s="90"/>
      <c r="D1815" s="90"/>
      <c r="E1815" s="90"/>
      <c r="F1815" s="90"/>
      <c r="G1815" s="90"/>
      <c r="H1815" s="90"/>
      <c r="I1815" s="90"/>
      <c r="J1815" s="90"/>
      <c r="K1815" s="90"/>
      <c r="L1815" s="90"/>
      <c r="M1815" s="90"/>
      <c r="N1815" s="90"/>
      <c r="O1815" s="90"/>
      <c r="P1815" s="90"/>
    </row>
    <row r="1816" spans="1:16" ht="13.2">
      <c r="A1816" s="90"/>
      <c r="B1816" s="92"/>
      <c r="C1816" s="90"/>
      <c r="D1816" s="90"/>
      <c r="E1816" s="90"/>
      <c r="F1816" s="90"/>
      <c r="G1816" s="90"/>
      <c r="H1816" s="90"/>
      <c r="I1816" s="90"/>
      <c r="J1816" s="90"/>
      <c r="K1816" s="90"/>
      <c r="L1816" s="90"/>
      <c r="M1816" s="90"/>
      <c r="N1816" s="90"/>
      <c r="O1816" s="90"/>
      <c r="P1816" s="90"/>
    </row>
    <row r="1817" spans="1:16" ht="13.2">
      <c r="A1817" s="90"/>
      <c r="B1817" s="92"/>
      <c r="C1817" s="90"/>
      <c r="D1817" s="90"/>
      <c r="E1817" s="90"/>
      <c r="F1817" s="90"/>
      <c r="G1817" s="90"/>
      <c r="H1817" s="90"/>
      <c r="I1817" s="90"/>
      <c r="J1817" s="90"/>
      <c r="K1817" s="90"/>
      <c r="L1817" s="90"/>
      <c r="M1817" s="90"/>
      <c r="N1817" s="90"/>
      <c r="O1817" s="90"/>
      <c r="P1817" s="90"/>
    </row>
    <row r="1818" spans="1:16" ht="13.2">
      <c r="A1818" s="90"/>
      <c r="B1818" s="92"/>
      <c r="C1818" s="90"/>
      <c r="D1818" s="90"/>
      <c r="E1818" s="90"/>
      <c r="F1818" s="90"/>
      <c r="G1818" s="90"/>
      <c r="H1818" s="90"/>
      <c r="I1818" s="90"/>
      <c r="J1818" s="90"/>
      <c r="K1818" s="90"/>
      <c r="L1818" s="90"/>
      <c r="M1818" s="90"/>
      <c r="N1818" s="90"/>
      <c r="O1818" s="90"/>
      <c r="P1818" s="90"/>
    </row>
    <row r="1819" spans="1:16" ht="13.2">
      <c r="A1819" s="90"/>
      <c r="B1819" s="92"/>
      <c r="C1819" s="90"/>
      <c r="D1819" s="90"/>
      <c r="E1819" s="90"/>
      <c r="F1819" s="90"/>
      <c r="G1819" s="90"/>
      <c r="H1819" s="90"/>
      <c r="I1819" s="90"/>
      <c r="J1819" s="90"/>
      <c r="K1819" s="90"/>
      <c r="L1819" s="90"/>
      <c r="M1819" s="90"/>
      <c r="N1819" s="90"/>
      <c r="O1819" s="90"/>
      <c r="P1819" s="90"/>
    </row>
    <row r="1820" spans="1:16" ht="13.2">
      <c r="A1820" s="90"/>
      <c r="B1820" s="92"/>
      <c r="C1820" s="90"/>
      <c r="D1820" s="90"/>
      <c r="E1820" s="90"/>
      <c r="F1820" s="90"/>
      <c r="G1820" s="90"/>
      <c r="H1820" s="90"/>
      <c r="I1820" s="90"/>
      <c r="J1820" s="90"/>
      <c r="K1820" s="90"/>
      <c r="L1820" s="90"/>
      <c r="M1820" s="90"/>
      <c r="N1820" s="90"/>
      <c r="O1820" s="90"/>
      <c r="P1820" s="90"/>
    </row>
    <row r="1821" spans="1:16" ht="13.2">
      <c r="A1821" s="90"/>
      <c r="B1821" s="92"/>
      <c r="C1821" s="90"/>
      <c r="D1821" s="90"/>
      <c r="E1821" s="90"/>
      <c r="F1821" s="90"/>
      <c r="G1821" s="90"/>
      <c r="H1821" s="90"/>
      <c r="I1821" s="90"/>
      <c r="J1821" s="90"/>
      <c r="K1821" s="90"/>
      <c r="L1821" s="90"/>
      <c r="M1821" s="90"/>
      <c r="N1821" s="90"/>
      <c r="O1821" s="90"/>
      <c r="P1821" s="90"/>
    </row>
    <row r="1822" spans="1:16" ht="13.2">
      <c r="A1822" s="90"/>
      <c r="B1822" s="92"/>
      <c r="C1822" s="90"/>
      <c r="D1822" s="90"/>
      <c r="E1822" s="90"/>
      <c r="F1822" s="90"/>
      <c r="G1822" s="90"/>
      <c r="H1822" s="90"/>
      <c r="I1822" s="90"/>
      <c r="J1822" s="90"/>
      <c r="K1822" s="90"/>
      <c r="L1822" s="90"/>
      <c r="M1822" s="90"/>
      <c r="N1822" s="90"/>
      <c r="O1822" s="90"/>
      <c r="P1822" s="90"/>
    </row>
    <row r="1823" spans="1:16" ht="13.2">
      <c r="A1823" s="90"/>
      <c r="B1823" s="92"/>
      <c r="C1823" s="90"/>
      <c r="D1823" s="90"/>
      <c r="E1823" s="90"/>
      <c r="F1823" s="90"/>
      <c r="G1823" s="90"/>
      <c r="H1823" s="90"/>
      <c r="I1823" s="90"/>
      <c r="J1823" s="90"/>
      <c r="K1823" s="90"/>
      <c r="L1823" s="90"/>
      <c r="M1823" s="90"/>
      <c r="N1823" s="90"/>
      <c r="O1823" s="90"/>
      <c r="P1823" s="90"/>
    </row>
    <row r="1824" spans="1:16" ht="13.2">
      <c r="A1824" s="90"/>
      <c r="B1824" s="92"/>
      <c r="C1824" s="90"/>
      <c r="D1824" s="90"/>
      <c r="E1824" s="90"/>
      <c r="F1824" s="90"/>
      <c r="G1824" s="90"/>
      <c r="H1824" s="90"/>
      <c r="I1824" s="90"/>
      <c r="J1824" s="90"/>
      <c r="K1824" s="90"/>
      <c r="L1824" s="90"/>
      <c r="M1824" s="90"/>
      <c r="N1824" s="90"/>
      <c r="O1824" s="90"/>
      <c r="P1824" s="90"/>
    </row>
    <row r="1825" spans="1:16" ht="13.2">
      <c r="A1825" s="90"/>
      <c r="B1825" s="92"/>
      <c r="C1825" s="90"/>
      <c r="D1825" s="90"/>
      <c r="E1825" s="90"/>
      <c r="F1825" s="90"/>
      <c r="G1825" s="90"/>
      <c r="H1825" s="90"/>
      <c r="I1825" s="90"/>
      <c r="J1825" s="90"/>
      <c r="K1825" s="90"/>
      <c r="L1825" s="90"/>
      <c r="M1825" s="90"/>
      <c r="N1825" s="90"/>
      <c r="O1825" s="90"/>
      <c r="P1825" s="90"/>
    </row>
    <row r="1826" spans="1:16" ht="13.2">
      <c r="A1826" s="90"/>
      <c r="B1826" s="92"/>
      <c r="C1826" s="90"/>
      <c r="D1826" s="90"/>
      <c r="E1826" s="90"/>
      <c r="F1826" s="90"/>
      <c r="G1826" s="90"/>
      <c r="H1826" s="90"/>
      <c r="I1826" s="90"/>
      <c r="J1826" s="90"/>
      <c r="K1826" s="90"/>
      <c r="L1826" s="90"/>
      <c r="M1826" s="90"/>
      <c r="N1826" s="90"/>
      <c r="O1826" s="90"/>
      <c r="P1826" s="90"/>
    </row>
    <row r="1827" spans="1:16" ht="13.2">
      <c r="A1827" s="90"/>
      <c r="B1827" s="92"/>
      <c r="C1827" s="90"/>
      <c r="D1827" s="90"/>
      <c r="E1827" s="90"/>
      <c r="F1827" s="90"/>
      <c r="G1827" s="90"/>
      <c r="H1827" s="90"/>
      <c r="I1827" s="90"/>
      <c r="J1827" s="90"/>
      <c r="K1827" s="90"/>
      <c r="L1827" s="90"/>
      <c r="M1827" s="90"/>
      <c r="N1827" s="90"/>
      <c r="O1827" s="90"/>
      <c r="P1827" s="90"/>
    </row>
    <row r="1828" spans="1:16" ht="13.2">
      <c r="A1828" s="90"/>
      <c r="B1828" s="92"/>
      <c r="C1828" s="90"/>
      <c r="D1828" s="90"/>
      <c r="E1828" s="90"/>
      <c r="F1828" s="90"/>
      <c r="G1828" s="90"/>
      <c r="H1828" s="90"/>
      <c r="I1828" s="90"/>
      <c r="J1828" s="90"/>
      <c r="K1828" s="90"/>
      <c r="L1828" s="90"/>
      <c r="M1828" s="90"/>
      <c r="N1828" s="90"/>
      <c r="O1828" s="90"/>
      <c r="P1828" s="90"/>
    </row>
    <row r="1829" spans="1:16" ht="13.2">
      <c r="A1829" s="90"/>
      <c r="B1829" s="92"/>
      <c r="C1829" s="90"/>
      <c r="D1829" s="90"/>
      <c r="E1829" s="90"/>
      <c r="F1829" s="90"/>
      <c r="G1829" s="90"/>
      <c r="H1829" s="90"/>
      <c r="I1829" s="90"/>
      <c r="J1829" s="90"/>
      <c r="K1829" s="90"/>
      <c r="L1829" s="90"/>
      <c r="M1829" s="90"/>
      <c r="N1829" s="90"/>
      <c r="O1829" s="90"/>
      <c r="P1829" s="90"/>
    </row>
    <row r="1830" spans="1:16" ht="13.2">
      <c r="A1830" s="90"/>
      <c r="B1830" s="92"/>
      <c r="C1830" s="90"/>
      <c r="D1830" s="90"/>
      <c r="E1830" s="90"/>
      <c r="F1830" s="90"/>
      <c r="G1830" s="90"/>
      <c r="H1830" s="90"/>
      <c r="I1830" s="90"/>
      <c r="J1830" s="90"/>
      <c r="K1830" s="90"/>
      <c r="L1830" s="90"/>
      <c r="M1830" s="90"/>
      <c r="N1830" s="90"/>
      <c r="O1830" s="90"/>
      <c r="P1830" s="90"/>
    </row>
    <row r="1831" spans="1:16" ht="13.2">
      <c r="A1831" s="90"/>
      <c r="B1831" s="92"/>
      <c r="C1831" s="90"/>
      <c r="D1831" s="90"/>
      <c r="E1831" s="90"/>
      <c r="F1831" s="90"/>
      <c r="G1831" s="90"/>
      <c r="H1831" s="90"/>
      <c r="I1831" s="90"/>
      <c r="J1831" s="90"/>
      <c r="K1831" s="90"/>
      <c r="L1831" s="90"/>
      <c r="M1831" s="90"/>
      <c r="N1831" s="90"/>
      <c r="O1831" s="90"/>
      <c r="P1831" s="90"/>
    </row>
    <row r="1832" spans="1:16" ht="13.2">
      <c r="A1832" s="90"/>
      <c r="B1832" s="92"/>
      <c r="C1832" s="90"/>
      <c r="D1832" s="90"/>
      <c r="E1832" s="90"/>
      <c r="F1832" s="90"/>
      <c r="G1832" s="90"/>
      <c r="H1832" s="90"/>
      <c r="I1832" s="90"/>
      <c r="J1832" s="90"/>
      <c r="K1832" s="90"/>
      <c r="L1832" s="90"/>
      <c r="M1832" s="90"/>
      <c r="N1832" s="90"/>
      <c r="O1832" s="90"/>
      <c r="P1832" s="90"/>
    </row>
    <row r="1833" spans="1:16" ht="13.2">
      <c r="A1833" s="90"/>
      <c r="B1833" s="92"/>
      <c r="C1833" s="90"/>
      <c r="D1833" s="90"/>
      <c r="E1833" s="90"/>
      <c r="F1833" s="90"/>
      <c r="G1833" s="90"/>
      <c r="H1833" s="90"/>
      <c r="I1833" s="90"/>
      <c r="J1833" s="90"/>
      <c r="K1833" s="90"/>
      <c r="L1833" s="90"/>
      <c r="M1833" s="90"/>
      <c r="N1833" s="90"/>
      <c r="O1833" s="90"/>
      <c r="P1833" s="90"/>
    </row>
    <row r="1834" spans="1:16" ht="13.2">
      <c r="A1834" s="90"/>
      <c r="B1834" s="92"/>
      <c r="C1834" s="90"/>
      <c r="D1834" s="90"/>
      <c r="E1834" s="90"/>
      <c r="F1834" s="90"/>
      <c r="G1834" s="90"/>
      <c r="H1834" s="90"/>
      <c r="I1834" s="90"/>
      <c r="J1834" s="90"/>
      <c r="K1834" s="90"/>
      <c r="L1834" s="90"/>
      <c r="M1834" s="90"/>
      <c r="N1834" s="90"/>
      <c r="O1834" s="90"/>
      <c r="P1834" s="90"/>
    </row>
    <row r="1835" spans="1:16" ht="13.2">
      <c r="A1835" s="90"/>
      <c r="B1835" s="92"/>
      <c r="C1835" s="90"/>
      <c r="D1835" s="90"/>
      <c r="E1835" s="90"/>
      <c r="F1835" s="90"/>
      <c r="G1835" s="90"/>
      <c r="H1835" s="90"/>
      <c r="I1835" s="90"/>
      <c r="J1835" s="90"/>
      <c r="K1835" s="90"/>
      <c r="L1835" s="90"/>
      <c r="M1835" s="90"/>
      <c r="N1835" s="90"/>
      <c r="O1835" s="90"/>
      <c r="P1835" s="90"/>
    </row>
    <row r="1836" spans="1:16" ht="13.2">
      <c r="A1836" s="90"/>
      <c r="B1836" s="92"/>
      <c r="C1836" s="90"/>
      <c r="D1836" s="90"/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</row>
    <row r="1837" spans="1:16" ht="13.2">
      <c r="A1837" s="90"/>
      <c r="B1837" s="92"/>
      <c r="C1837" s="90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</row>
    <row r="1838" spans="1:16" ht="13.2">
      <c r="A1838" s="90"/>
      <c r="B1838" s="92"/>
      <c r="C1838" s="90"/>
      <c r="D1838" s="90"/>
      <c r="E1838" s="90"/>
      <c r="F1838" s="90"/>
      <c r="G1838" s="90"/>
      <c r="H1838" s="90"/>
      <c r="I1838" s="90"/>
      <c r="J1838" s="90"/>
      <c r="K1838" s="90"/>
      <c r="L1838" s="90"/>
      <c r="M1838" s="90"/>
      <c r="N1838" s="90"/>
      <c r="O1838" s="90"/>
      <c r="P1838" s="90"/>
    </row>
    <row r="1839" spans="1:16" ht="13.2">
      <c r="A1839" s="90"/>
      <c r="B1839" s="92"/>
      <c r="C1839" s="90"/>
      <c r="D1839" s="90"/>
      <c r="E1839" s="90"/>
      <c r="F1839" s="90"/>
      <c r="G1839" s="90"/>
      <c r="H1839" s="90"/>
      <c r="I1839" s="90"/>
      <c r="J1839" s="90"/>
      <c r="K1839" s="90"/>
      <c r="L1839" s="90"/>
      <c r="M1839" s="90"/>
      <c r="N1839" s="90"/>
      <c r="O1839" s="90"/>
      <c r="P1839" s="90"/>
    </row>
    <row r="1840" spans="1:16" ht="13.2">
      <c r="A1840" s="90"/>
      <c r="B1840" s="92"/>
      <c r="C1840" s="90"/>
      <c r="D1840" s="90"/>
      <c r="E1840" s="90"/>
      <c r="F1840" s="90"/>
      <c r="G1840" s="90"/>
      <c r="H1840" s="90"/>
      <c r="I1840" s="90"/>
      <c r="J1840" s="90"/>
      <c r="K1840" s="90"/>
      <c r="L1840" s="90"/>
      <c r="M1840" s="90"/>
      <c r="N1840" s="90"/>
      <c r="O1840" s="90"/>
      <c r="P1840" s="90"/>
    </row>
    <row r="1841" spans="1:16" ht="13.2">
      <c r="A1841" s="90"/>
      <c r="B1841" s="92"/>
      <c r="C1841" s="90"/>
      <c r="D1841" s="90"/>
      <c r="E1841" s="90"/>
      <c r="F1841" s="90"/>
      <c r="G1841" s="90"/>
      <c r="H1841" s="90"/>
      <c r="I1841" s="90"/>
      <c r="J1841" s="90"/>
      <c r="K1841" s="90"/>
      <c r="L1841" s="90"/>
      <c r="M1841" s="90"/>
      <c r="N1841" s="90"/>
      <c r="O1841" s="90"/>
      <c r="P1841" s="90"/>
    </row>
    <row r="1842" spans="1:16" ht="13.2">
      <c r="A1842" s="90"/>
      <c r="B1842" s="92"/>
      <c r="C1842" s="90"/>
      <c r="D1842" s="90"/>
      <c r="E1842" s="90"/>
      <c r="F1842" s="90"/>
      <c r="G1842" s="90"/>
      <c r="H1842" s="90"/>
      <c r="I1842" s="90"/>
      <c r="J1842" s="90"/>
      <c r="K1842" s="90"/>
      <c r="L1842" s="90"/>
      <c r="M1842" s="90"/>
      <c r="N1842" s="90"/>
      <c r="O1842" s="90"/>
      <c r="P1842" s="90"/>
    </row>
    <row r="1843" spans="1:16" ht="13.2">
      <c r="A1843" s="90"/>
      <c r="B1843" s="92"/>
      <c r="C1843" s="90"/>
      <c r="D1843" s="90"/>
      <c r="E1843" s="90"/>
      <c r="F1843" s="90"/>
      <c r="G1843" s="90"/>
      <c r="H1843" s="90"/>
      <c r="I1843" s="90"/>
      <c r="J1843" s="90"/>
      <c r="K1843" s="90"/>
      <c r="L1843" s="90"/>
      <c r="M1843" s="90"/>
      <c r="N1843" s="90"/>
      <c r="O1843" s="90"/>
      <c r="P1843" s="90"/>
    </row>
    <row r="1844" spans="1:16" ht="13.2">
      <c r="A1844" s="90"/>
      <c r="B1844" s="92"/>
      <c r="C1844" s="90"/>
      <c r="D1844" s="90"/>
      <c r="E1844" s="90"/>
      <c r="F1844" s="90"/>
      <c r="G1844" s="90"/>
      <c r="H1844" s="90"/>
      <c r="I1844" s="90"/>
      <c r="J1844" s="90"/>
      <c r="K1844" s="90"/>
      <c r="L1844" s="90"/>
      <c r="M1844" s="90"/>
      <c r="N1844" s="90"/>
      <c r="O1844" s="90"/>
      <c r="P1844" s="90"/>
    </row>
    <row r="1845" spans="1:16" ht="13.2">
      <c r="A1845" s="90"/>
      <c r="B1845" s="92"/>
      <c r="C1845" s="90"/>
      <c r="D1845" s="90"/>
      <c r="E1845" s="90"/>
      <c r="F1845" s="90"/>
      <c r="G1845" s="90"/>
      <c r="H1845" s="90"/>
      <c r="I1845" s="90"/>
      <c r="J1845" s="90"/>
      <c r="K1845" s="90"/>
      <c r="L1845" s="90"/>
      <c r="M1845" s="90"/>
      <c r="N1845" s="90"/>
      <c r="O1845" s="90"/>
      <c r="P1845" s="90"/>
    </row>
    <row r="1846" spans="1:16" ht="13.2">
      <c r="A1846" s="90"/>
      <c r="B1846" s="92"/>
      <c r="C1846" s="90"/>
      <c r="D1846" s="90"/>
      <c r="E1846" s="90"/>
      <c r="F1846" s="90"/>
      <c r="G1846" s="90"/>
      <c r="H1846" s="90"/>
      <c r="I1846" s="90"/>
      <c r="J1846" s="90"/>
      <c r="K1846" s="90"/>
      <c r="L1846" s="90"/>
      <c r="M1846" s="90"/>
      <c r="N1846" s="90"/>
      <c r="O1846" s="90"/>
      <c r="P1846" s="90"/>
    </row>
    <row r="1847" spans="1:16" ht="13.2">
      <c r="A1847" s="90"/>
      <c r="B1847" s="92"/>
      <c r="C1847" s="90"/>
      <c r="D1847" s="90"/>
      <c r="E1847" s="90"/>
      <c r="F1847" s="90"/>
      <c r="G1847" s="90"/>
      <c r="H1847" s="90"/>
      <c r="I1847" s="90"/>
      <c r="J1847" s="90"/>
      <c r="K1847" s="90"/>
      <c r="L1847" s="90"/>
      <c r="M1847" s="90"/>
      <c r="N1847" s="90"/>
      <c r="O1847" s="90"/>
      <c r="P1847" s="90"/>
    </row>
    <row r="1848" spans="1:16" ht="13.2">
      <c r="A1848" s="90"/>
      <c r="B1848" s="92"/>
      <c r="C1848" s="90"/>
      <c r="D1848" s="90"/>
      <c r="E1848" s="90"/>
      <c r="F1848" s="90"/>
      <c r="G1848" s="90"/>
      <c r="H1848" s="90"/>
      <c r="I1848" s="90"/>
      <c r="J1848" s="90"/>
      <c r="K1848" s="90"/>
      <c r="L1848" s="90"/>
      <c r="M1848" s="90"/>
      <c r="N1848" s="90"/>
      <c r="O1848" s="90"/>
      <c r="P1848" s="90"/>
    </row>
    <row r="1849" spans="1:16" ht="13.2">
      <c r="A1849" s="90"/>
      <c r="B1849" s="92"/>
      <c r="C1849" s="90"/>
      <c r="D1849" s="90"/>
      <c r="E1849" s="90"/>
      <c r="F1849" s="90"/>
      <c r="G1849" s="90"/>
      <c r="H1849" s="90"/>
      <c r="I1849" s="90"/>
      <c r="J1849" s="90"/>
      <c r="K1849" s="90"/>
      <c r="L1849" s="90"/>
      <c r="M1849" s="90"/>
      <c r="N1849" s="90"/>
      <c r="O1849" s="90"/>
      <c r="P1849" s="90"/>
    </row>
    <row r="1850" spans="1:16" ht="13.2">
      <c r="A1850" s="90"/>
      <c r="B1850" s="92"/>
      <c r="C1850" s="90"/>
      <c r="D1850" s="90"/>
      <c r="E1850" s="90"/>
      <c r="F1850" s="90"/>
      <c r="G1850" s="90"/>
      <c r="H1850" s="90"/>
      <c r="I1850" s="90"/>
      <c r="J1850" s="90"/>
      <c r="K1850" s="90"/>
      <c r="L1850" s="90"/>
      <c r="M1850" s="90"/>
      <c r="N1850" s="90"/>
      <c r="O1850" s="90"/>
      <c r="P1850" s="90"/>
    </row>
    <row r="1851" spans="1:16" ht="13.2">
      <c r="A1851" s="90"/>
      <c r="B1851" s="92"/>
      <c r="C1851" s="90"/>
      <c r="D1851" s="90"/>
      <c r="E1851" s="90"/>
      <c r="F1851" s="90"/>
      <c r="G1851" s="90"/>
      <c r="H1851" s="90"/>
      <c r="I1851" s="90"/>
      <c r="J1851" s="90"/>
      <c r="K1851" s="90"/>
      <c r="L1851" s="90"/>
      <c r="M1851" s="90"/>
      <c r="N1851" s="90"/>
      <c r="O1851" s="90"/>
      <c r="P1851" s="90"/>
    </row>
    <row r="1852" spans="1:16" ht="13.2">
      <c r="A1852" s="90"/>
      <c r="B1852" s="92"/>
      <c r="C1852" s="90"/>
      <c r="D1852" s="90"/>
      <c r="E1852" s="90"/>
      <c r="F1852" s="90"/>
      <c r="G1852" s="90"/>
      <c r="H1852" s="90"/>
      <c r="I1852" s="90"/>
      <c r="J1852" s="90"/>
      <c r="K1852" s="90"/>
      <c r="L1852" s="90"/>
      <c r="M1852" s="90"/>
      <c r="N1852" s="90"/>
      <c r="O1852" s="90"/>
      <c r="P1852" s="90"/>
    </row>
    <row r="1853" spans="1:16" ht="13.2">
      <c r="A1853" s="90"/>
      <c r="B1853" s="92"/>
      <c r="C1853" s="90"/>
      <c r="D1853" s="90"/>
      <c r="E1853" s="90"/>
      <c r="F1853" s="90"/>
      <c r="G1853" s="90"/>
      <c r="H1853" s="90"/>
      <c r="I1853" s="90"/>
      <c r="J1853" s="90"/>
      <c r="K1853" s="90"/>
      <c r="L1853" s="90"/>
      <c r="M1853" s="90"/>
      <c r="N1853" s="90"/>
      <c r="O1853" s="90"/>
      <c r="P1853" s="90"/>
    </row>
    <row r="1854" spans="1:16" ht="13.2">
      <c r="A1854" s="90"/>
      <c r="B1854" s="92"/>
      <c r="C1854" s="90"/>
      <c r="D1854" s="90"/>
      <c r="E1854" s="90"/>
      <c r="F1854" s="90"/>
      <c r="G1854" s="90"/>
      <c r="H1854" s="90"/>
      <c r="I1854" s="90"/>
      <c r="J1854" s="90"/>
      <c r="K1854" s="90"/>
      <c r="L1854" s="90"/>
      <c r="M1854" s="90"/>
      <c r="N1854" s="90"/>
      <c r="O1854" s="90"/>
      <c r="P1854" s="90"/>
    </row>
    <row r="1855" spans="1:16" ht="13.2">
      <c r="A1855" s="90"/>
      <c r="B1855" s="92"/>
      <c r="C1855" s="90"/>
      <c r="D1855" s="90"/>
      <c r="E1855" s="90"/>
      <c r="F1855" s="90"/>
      <c r="G1855" s="90"/>
      <c r="H1855" s="90"/>
      <c r="I1855" s="90"/>
      <c r="J1855" s="90"/>
      <c r="K1855" s="90"/>
      <c r="L1855" s="90"/>
      <c r="M1855" s="90"/>
      <c r="N1855" s="90"/>
      <c r="O1855" s="90"/>
      <c r="P1855" s="90"/>
    </row>
    <row r="1856" spans="1:16" ht="13.2">
      <c r="A1856" s="90"/>
      <c r="B1856" s="92"/>
      <c r="C1856" s="90"/>
      <c r="D1856" s="90"/>
      <c r="E1856" s="90"/>
      <c r="F1856" s="90"/>
      <c r="G1856" s="90"/>
      <c r="H1856" s="90"/>
      <c r="I1856" s="90"/>
      <c r="J1856" s="90"/>
      <c r="K1856" s="90"/>
      <c r="L1856" s="90"/>
      <c r="M1856" s="90"/>
      <c r="N1856" s="90"/>
      <c r="O1856" s="90"/>
      <c r="P1856" s="90"/>
    </row>
    <row r="1857" spans="1:16" ht="13.2">
      <c r="A1857" s="90"/>
      <c r="B1857" s="92"/>
      <c r="C1857" s="90"/>
      <c r="D1857" s="90"/>
      <c r="E1857" s="90"/>
      <c r="F1857" s="90"/>
      <c r="G1857" s="90"/>
      <c r="H1857" s="90"/>
      <c r="I1857" s="90"/>
      <c r="J1857" s="90"/>
      <c r="K1857" s="90"/>
      <c r="L1857" s="90"/>
      <c r="M1857" s="90"/>
      <c r="N1857" s="90"/>
      <c r="O1857" s="90"/>
      <c r="P1857" s="90"/>
    </row>
    <row r="1858" spans="1:16" ht="13.2">
      <c r="A1858" s="90"/>
      <c r="B1858" s="92"/>
      <c r="C1858" s="90"/>
      <c r="D1858" s="90"/>
      <c r="E1858" s="90"/>
      <c r="F1858" s="90"/>
      <c r="G1858" s="90"/>
      <c r="H1858" s="90"/>
      <c r="I1858" s="90"/>
      <c r="J1858" s="90"/>
      <c r="K1858" s="90"/>
      <c r="L1858" s="90"/>
      <c r="M1858" s="90"/>
      <c r="N1858" s="90"/>
      <c r="O1858" s="90"/>
      <c r="P1858" s="90"/>
    </row>
    <row r="1859" spans="1:16" ht="13.2">
      <c r="A1859" s="90"/>
      <c r="B1859" s="92"/>
      <c r="C1859" s="90"/>
      <c r="D1859" s="90"/>
      <c r="E1859" s="90"/>
      <c r="F1859" s="90"/>
      <c r="G1859" s="90"/>
      <c r="H1859" s="90"/>
      <c r="I1859" s="90"/>
      <c r="J1859" s="90"/>
      <c r="K1859" s="90"/>
      <c r="L1859" s="90"/>
      <c r="M1859" s="90"/>
      <c r="N1859" s="90"/>
      <c r="O1859" s="90"/>
      <c r="P1859" s="90"/>
    </row>
    <row r="1860" spans="1:16" ht="13.2">
      <c r="A1860" s="90"/>
      <c r="B1860" s="92"/>
      <c r="C1860" s="90"/>
      <c r="D1860" s="90"/>
      <c r="E1860" s="90"/>
      <c r="F1860" s="90"/>
      <c r="G1860" s="90"/>
      <c r="H1860" s="90"/>
      <c r="I1860" s="90"/>
      <c r="J1860" s="90"/>
      <c r="K1860" s="90"/>
      <c r="L1860" s="90"/>
      <c r="M1860" s="90"/>
      <c r="N1860" s="90"/>
      <c r="O1860" s="90"/>
      <c r="P1860" s="90"/>
    </row>
    <row r="1861" spans="1:16" ht="13.2">
      <c r="A1861" s="90"/>
      <c r="B1861" s="92"/>
      <c r="C1861" s="90"/>
      <c r="D1861" s="90"/>
      <c r="E1861" s="90"/>
      <c r="F1861" s="90"/>
      <c r="G1861" s="90"/>
      <c r="H1861" s="90"/>
      <c r="I1861" s="90"/>
      <c r="J1861" s="90"/>
      <c r="K1861" s="90"/>
      <c r="L1861" s="90"/>
      <c r="M1861" s="90"/>
      <c r="N1861" s="90"/>
      <c r="O1861" s="90"/>
      <c r="P1861" s="90"/>
    </row>
    <row r="1862" spans="1:16" ht="13.2">
      <c r="A1862" s="90"/>
      <c r="B1862" s="92"/>
      <c r="C1862" s="90"/>
      <c r="D1862" s="90"/>
      <c r="E1862" s="90"/>
      <c r="F1862" s="90"/>
      <c r="G1862" s="90"/>
      <c r="H1862" s="90"/>
      <c r="I1862" s="90"/>
      <c r="J1862" s="90"/>
      <c r="K1862" s="90"/>
      <c r="L1862" s="90"/>
      <c r="M1862" s="90"/>
      <c r="N1862" s="90"/>
      <c r="O1862" s="90"/>
      <c r="P1862" s="90"/>
    </row>
    <row r="1863" spans="1:16" ht="13.2">
      <c r="A1863" s="90"/>
      <c r="B1863" s="92"/>
      <c r="C1863" s="90"/>
      <c r="D1863" s="90"/>
      <c r="E1863" s="90"/>
      <c r="F1863" s="90"/>
      <c r="G1863" s="90"/>
      <c r="H1863" s="90"/>
      <c r="I1863" s="90"/>
      <c r="J1863" s="90"/>
      <c r="K1863" s="90"/>
      <c r="L1863" s="90"/>
      <c r="M1863" s="90"/>
      <c r="N1863" s="90"/>
      <c r="O1863" s="90"/>
      <c r="P1863" s="90"/>
    </row>
    <row r="1864" spans="1:16" ht="13.2">
      <c r="A1864" s="90"/>
      <c r="B1864" s="92"/>
      <c r="C1864" s="90"/>
      <c r="D1864" s="90"/>
      <c r="E1864" s="90"/>
      <c r="F1864" s="90"/>
      <c r="G1864" s="90"/>
      <c r="H1864" s="90"/>
      <c r="I1864" s="90"/>
      <c r="J1864" s="90"/>
      <c r="K1864" s="90"/>
      <c r="L1864" s="90"/>
      <c r="M1864" s="90"/>
      <c r="N1864" s="90"/>
      <c r="O1864" s="90"/>
      <c r="P1864" s="90"/>
    </row>
    <row r="1865" spans="1:16" ht="13.2">
      <c r="A1865" s="90"/>
      <c r="B1865" s="92"/>
      <c r="C1865" s="90"/>
      <c r="D1865" s="90"/>
      <c r="E1865" s="90"/>
      <c r="F1865" s="90"/>
      <c r="G1865" s="90"/>
      <c r="H1865" s="90"/>
      <c r="I1865" s="90"/>
      <c r="J1865" s="90"/>
      <c r="K1865" s="90"/>
      <c r="L1865" s="90"/>
      <c r="M1865" s="90"/>
      <c r="N1865" s="90"/>
      <c r="O1865" s="90"/>
      <c r="P1865" s="90"/>
    </row>
    <row r="1866" spans="1:16" ht="13.2">
      <c r="A1866" s="90"/>
      <c r="B1866" s="92"/>
      <c r="C1866" s="90"/>
      <c r="D1866" s="90"/>
      <c r="E1866" s="90"/>
      <c r="F1866" s="90"/>
      <c r="G1866" s="90"/>
      <c r="H1866" s="90"/>
      <c r="I1866" s="90"/>
      <c r="J1866" s="90"/>
      <c r="K1866" s="90"/>
      <c r="L1866" s="90"/>
      <c r="M1866" s="90"/>
      <c r="N1866" s="90"/>
      <c r="O1866" s="90"/>
      <c r="P1866" s="90"/>
    </row>
    <row r="1867" spans="1:16" ht="13.2">
      <c r="A1867" s="90"/>
      <c r="B1867" s="92"/>
      <c r="C1867" s="90"/>
      <c r="D1867" s="90"/>
      <c r="E1867" s="90"/>
      <c r="F1867" s="90"/>
      <c r="G1867" s="90"/>
      <c r="H1867" s="90"/>
      <c r="I1867" s="90"/>
      <c r="J1867" s="90"/>
      <c r="K1867" s="90"/>
      <c r="L1867" s="90"/>
      <c r="M1867" s="90"/>
      <c r="N1867" s="90"/>
      <c r="O1867" s="90"/>
      <c r="P1867" s="90"/>
    </row>
    <row r="1868" spans="1:16" ht="13.2">
      <c r="A1868" s="90"/>
      <c r="B1868" s="92"/>
      <c r="C1868" s="90"/>
      <c r="D1868" s="90"/>
      <c r="E1868" s="90"/>
      <c r="F1868" s="90"/>
      <c r="G1868" s="90"/>
      <c r="H1868" s="90"/>
      <c r="I1868" s="90"/>
      <c r="J1868" s="90"/>
      <c r="K1868" s="90"/>
      <c r="L1868" s="90"/>
      <c r="M1868" s="90"/>
      <c r="N1868" s="90"/>
      <c r="O1868" s="90"/>
      <c r="P1868" s="90"/>
    </row>
    <row r="1869" spans="1:16" ht="13.2">
      <c r="A1869" s="90"/>
      <c r="B1869" s="92"/>
      <c r="C1869" s="90"/>
      <c r="D1869" s="90"/>
      <c r="E1869" s="90"/>
      <c r="F1869" s="90"/>
      <c r="G1869" s="90"/>
      <c r="H1869" s="90"/>
      <c r="I1869" s="90"/>
      <c r="J1869" s="90"/>
      <c r="K1869" s="90"/>
      <c r="L1869" s="90"/>
      <c r="M1869" s="90"/>
      <c r="N1869" s="90"/>
      <c r="O1869" s="90"/>
      <c r="P1869" s="90"/>
    </row>
    <row r="1870" spans="1:16" ht="13.2">
      <c r="A1870" s="90"/>
      <c r="B1870" s="92"/>
      <c r="C1870" s="90"/>
      <c r="D1870" s="90"/>
      <c r="E1870" s="90"/>
      <c r="F1870" s="90"/>
      <c r="G1870" s="90"/>
      <c r="H1870" s="90"/>
      <c r="I1870" s="90"/>
      <c r="J1870" s="90"/>
      <c r="K1870" s="90"/>
      <c r="L1870" s="90"/>
      <c r="M1870" s="90"/>
      <c r="N1870" s="90"/>
      <c r="O1870" s="90"/>
      <c r="P1870" s="90"/>
    </row>
    <row r="1871" spans="1:16" ht="13.2">
      <c r="A1871" s="90"/>
      <c r="B1871" s="92"/>
      <c r="C1871" s="90"/>
      <c r="D1871" s="90"/>
      <c r="E1871" s="90"/>
      <c r="F1871" s="90"/>
      <c r="G1871" s="90"/>
      <c r="H1871" s="90"/>
      <c r="I1871" s="90"/>
      <c r="J1871" s="90"/>
      <c r="K1871" s="90"/>
      <c r="L1871" s="90"/>
      <c r="M1871" s="90"/>
      <c r="N1871" s="90"/>
      <c r="O1871" s="90"/>
      <c r="P1871" s="90"/>
    </row>
    <row r="1872" spans="1:16" ht="13.2">
      <c r="A1872" s="90"/>
      <c r="B1872" s="92"/>
      <c r="C1872" s="90"/>
      <c r="D1872" s="90"/>
      <c r="E1872" s="90"/>
      <c r="F1872" s="90"/>
      <c r="G1872" s="90"/>
      <c r="H1872" s="90"/>
      <c r="I1872" s="90"/>
      <c r="J1872" s="90"/>
      <c r="K1872" s="90"/>
      <c r="L1872" s="90"/>
      <c r="M1872" s="90"/>
      <c r="N1872" s="90"/>
      <c r="O1872" s="90"/>
      <c r="P1872" s="90"/>
    </row>
    <row r="1873" spans="1:16" ht="13.2">
      <c r="A1873" s="90"/>
      <c r="B1873" s="92"/>
      <c r="C1873" s="90"/>
      <c r="D1873" s="90"/>
      <c r="E1873" s="90"/>
      <c r="F1873" s="90"/>
      <c r="G1873" s="90"/>
      <c r="H1873" s="90"/>
      <c r="I1873" s="90"/>
      <c r="J1873" s="90"/>
      <c r="K1873" s="90"/>
      <c r="L1873" s="90"/>
      <c r="M1873" s="90"/>
      <c r="N1873" s="90"/>
      <c r="O1873" s="90"/>
      <c r="P1873" s="90"/>
    </row>
    <row r="1874" spans="1:16" ht="13.2">
      <c r="A1874" s="90"/>
      <c r="B1874" s="92"/>
      <c r="C1874" s="90"/>
      <c r="D1874" s="90"/>
      <c r="E1874" s="90"/>
      <c r="F1874" s="90"/>
      <c r="G1874" s="90"/>
      <c r="H1874" s="90"/>
      <c r="I1874" s="90"/>
      <c r="J1874" s="90"/>
      <c r="K1874" s="90"/>
      <c r="L1874" s="90"/>
      <c r="M1874" s="90"/>
      <c r="N1874" s="90"/>
      <c r="O1874" s="90"/>
      <c r="P1874" s="90"/>
    </row>
    <row r="1875" spans="1:16" ht="13.2">
      <c r="A1875" s="90"/>
      <c r="B1875" s="92"/>
      <c r="C1875" s="90"/>
      <c r="D1875" s="90"/>
      <c r="E1875" s="90"/>
      <c r="F1875" s="90"/>
      <c r="G1875" s="90"/>
      <c r="H1875" s="90"/>
      <c r="I1875" s="90"/>
      <c r="J1875" s="90"/>
      <c r="K1875" s="90"/>
      <c r="L1875" s="90"/>
      <c r="M1875" s="90"/>
      <c r="N1875" s="90"/>
      <c r="O1875" s="90"/>
      <c r="P1875" s="90"/>
    </row>
    <row r="1876" spans="1:16" ht="13.2">
      <c r="A1876" s="90"/>
      <c r="B1876" s="92"/>
      <c r="C1876" s="90"/>
      <c r="D1876" s="90"/>
      <c r="E1876" s="90"/>
      <c r="F1876" s="90"/>
      <c r="G1876" s="90"/>
      <c r="H1876" s="90"/>
      <c r="I1876" s="90"/>
      <c r="J1876" s="90"/>
      <c r="K1876" s="90"/>
      <c r="L1876" s="90"/>
      <c r="M1876" s="90"/>
      <c r="N1876" s="90"/>
      <c r="O1876" s="90"/>
      <c r="P1876" s="90"/>
    </row>
    <row r="1877" spans="1:16" ht="13.2">
      <c r="A1877" s="90"/>
      <c r="B1877" s="92"/>
      <c r="C1877" s="90"/>
      <c r="D1877" s="90"/>
      <c r="E1877" s="90"/>
      <c r="F1877" s="90"/>
      <c r="G1877" s="90"/>
      <c r="H1877" s="90"/>
      <c r="I1877" s="90"/>
      <c r="J1877" s="90"/>
      <c r="K1877" s="90"/>
      <c r="L1877" s="90"/>
      <c r="M1877" s="90"/>
      <c r="N1877" s="90"/>
      <c r="O1877" s="90"/>
      <c r="P1877" s="90"/>
    </row>
    <row r="1878" spans="1:16" ht="13.2">
      <c r="A1878" s="90"/>
      <c r="B1878" s="92"/>
      <c r="C1878" s="90"/>
      <c r="D1878" s="90"/>
      <c r="E1878" s="90"/>
      <c r="F1878" s="90"/>
      <c r="G1878" s="90"/>
      <c r="H1878" s="90"/>
      <c r="I1878" s="90"/>
      <c r="J1878" s="90"/>
      <c r="K1878" s="90"/>
      <c r="L1878" s="90"/>
      <c r="M1878" s="90"/>
      <c r="N1878" s="90"/>
      <c r="O1878" s="90"/>
      <c r="P1878" s="90"/>
    </row>
    <row r="1879" spans="1:16" ht="13.2">
      <c r="A1879" s="90"/>
      <c r="B1879" s="92"/>
      <c r="C1879" s="90"/>
      <c r="D1879" s="90"/>
      <c r="E1879" s="90"/>
      <c r="F1879" s="90"/>
      <c r="G1879" s="90"/>
      <c r="H1879" s="90"/>
      <c r="I1879" s="90"/>
      <c r="J1879" s="90"/>
      <c r="K1879" s="90"/>
      <c r="L1879" s="90"/>
      <c r="M1879" s="90"/>
      <c r="N1879" s="90"/>
      <c r="O1879" s="90"/>
      <c r="P1879" s="90"/>
    </row>
    <row r="1880" spans="1:16" ht="13.2">
      <c r="A1880" s="90"/>
      <c r="B1880" s="92"/>
      <c r="C1880" s="90"/>
      <c r="D1880" s="90"/>
      <c r="E1880" s="90"/>
      <c r="F1880" s="90"/>
      <c r="G1880" s="90"/>
      <c r="H1880" s="90"/>
      <c r="I1880" s="90"/>
      <c r="J1880" s="90"/>
      <c r="K1880" s="90"/>
      <c r="L1880" s="90"/>
      <c r="M1880" s="90"/>
      <c r="N1880" s="90"/>
      <c r="O1880" s="90"/>
      <c r="P1880" s="90"/>
    </row>
    <row r="1881" spans="1:16" ht="13.2">
      <c r="A1881" s="90"/>
      <c r="B1881" s="92"/>
      <c r="C1881" s="90"/>
      <c r="D1881" s="90"/>
      <c r="E1881" s="90"/>
      <c r="F1881" s="90"/>
      <c r="G1881" s="90"/>
      <c r="H1881" s="90"/>
      <c r="I1881" s="90"/>
      <c r="J1881" s="90"/>
      <c r="K1881" s="90"/>
      <c r="L1881" s="90"/>
      <c r="M1881" s="90"/>
      <c r="N1881" s="90"/>
      <c r="O1881" s="90"/>
      <c r="P1881" s="90"/>
    </row>
    <row r="1882" spans="1:16" ht="13.2">
      <c r="A1882" s="90"/>
      <c r="B1882" s="92"/>
      <c r="C1882" s="90"/>
      <c r="D1882" s="90"/>
      <c r="E1882" s="90"/>
      <c r="F1882" s="90"/>
      <c r="G1882" s="90"/>
      <c r="H1882" s="90"/>
      <c r="I1882" s="90"/>
      <c r="J1882" s="90"/>
      <c r="K1882" s="90"/>
      <c r="L1882" s="90"/>
      <c r="M1882" s="90"/>
      <c r="N1882" s="90"/>
      <c r="O1882" s="90"/>
      <c r="P1882" s="90"/>
    </row>
    <row r="1883" spans="1:16" ht="13.2">
      <c r="A1883" s="90"/>
      <c r="B1883" s="92"/>
      <c r="C1883" s="90"/>
      <c r="D1883" s="90"/>
      <c r="E1883" s="90"/>
      <c r="F1883" s="90"/>
      <c r="G1883" s="90"/>
      <c r="H1883" s="90"/>
      <c r="I1883" s="90"/>
      <c r="J1883" s="90"/>
      <c r="K1883" s="90"/>
      <c r="L1883" s="90"/>
      <c r="M1883" s="90"/>
      <c r="N1883" s="90"/>
      <c r="O1883" s="90"/>
      <c r="P1883" s="90"/>
    </row>
    <row r="1884" spans="1:16" ht="13.2">
      <c r="A1884" s="90"/>
      <c r="B1884" s="92"/>
      <c r="C1884" s="90"/>
      <c r="D1884" s="90"/>
      <c r="E1884" s="90"/>
      <c r="F1884" s="90"/>
      <c r="G1884" s="90"/>
      <c r="H1884" s="90"/>
      <c r="I1884" s="90"/>
      <c r="J1884" s="90"/>
      <c r="K1884" s="90"/>
      <c r="L1884" s="90"/>
      <c r="M1884" s="90"/>
      <c r="N1884" s="90"/>
      <c r="O1884" s="90"/>
      <c r="P1884" s="90"/>
    </row>
    <row r="1885" spans="1:16" ht="13.2">
      <c r="A1885" s="90"/>
      <c r="B1885" s="92"/>
      <c r="C1885" s="90"/>
      <c r="D1885" s="90"/>
      <c r="E1885" s="90"/>
      <c r="F1885" s="90"/>
      <c r="G1885" s="90"/>
      <c r="H1885" s="90"/>
      <c r="I1885" s="90"/>
      <c r="J1885" s="90"/>
      <c r="K1885" s="90"/>
      <c r="L1885" s="90"/>
      <c r="M1885" s="90"/>
      <c r="N1885" s="90"/>
      <c r="O1885" s="90"/>
      <c r="P1885" s="90"/>
    </row>
    <row r="1886" spans="1:16" ht="13.2">
      <c r="A1886" s="90"/>
      <c r="B1886" s="92"/>
      <c r="C1886" s="90"/>
      <c r="D1886" s="90"/>
      <c r="E1886" s="90"/>
      <c r="F1886" s="90"/>
      <c r="G1886" s="90"/>
      <c r="H1886" s="90"/>
      <c r="I1886" s="90"/>
      <c r="J1886" s="90"/>
      <c r="K1886" s="90"/>
      <c r="L1886" s="90"/>
      <c r="M1886" s="90"/>
      <c r="N1886" s="90"/>
      <c r="O1886" s="90"/>
      <c r="P1886" s="90"/>
    </row>
    <row r="1887" spans="1:16" ht="13.2">
      <c r="A1887" s="90"/>
      <c r="B1887" s="92"/>
      <c r="C1887" s="90"/>
      <c r="D1887" s="90"/>
      <c r="E1887" s="90"/>
      <c r="F1887" s="90"/>
      <c r="G1887" s="90"/>
      <c r="H1887" s="90"/>
      <c r="I1887" s="90"/>
      <c r="J1887" s="90"/>
      <c r="K1887" s="90"/>
      <c r="L1887" s="90"/>
      <c r="M1887" s="90"/>
      <c r="N1887" s="90"/>
      <c r="O1887" s="90"/>
      <c r="P1887" s="90"/>
    </row>
    <row r="1888" spans="1:16" ht="13.2">
      <c r="A1888" s="90"/>
      <c r="B1888" s="92"/>
      <c r="C1888" s="90"/>
      <c r="D1888" s="90"/>
      <c r="E1888" s="90"/>
      <c r="F1888" s="90"/>
      <c r="G1888" s="90"/>
      <c r="H1888" s="90"/>
      <c r="I1888" s="90"/>
      <c r="J1888" s="90"/>
      <c r="K1888" s="90"/>
      <c r="L1888" s="90"/>
      <c r="M1888" s="90"/>
      <c r="N1888" s="90"/>
      <c r="O1888" s="90"/>
      <c r="P1888" s="90"/>
    </row>
    <row r="1889" spans="1:16" ht="13.2">
      <c r="A1889" s="90"/>
      <c r="B1889" s="92"/>
      <c r="C1889" s="90"/>
      <c r="D1889" s="90"/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</row>
    <row r="1890" spans="1:16" ht="13.2">
      <c r="A1890" s="90"/>
      <c r="B1890" s="92"/>
      <c r="C1890" s="90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</row>
    <row r="1891" spans="1:16" ht="13.2">
      <c r="A1891" s="90"/>
      <c r="B1891" s="92"/>
      <c r="C1891" s="90"/>
      <c r="D1891" s="90"/>
      <c r="E1891" s="90"/>
      <c r="F1891" s="90"/>
      <c r="G1891" s="90"/>
      <c r="H1891" s="90"/>
      <c r="I1891" s="90"/>
      <c r="J1891" s="90"/>
      <c r="K1891" s="90"/>
      <c r="L1891" s="90"/>
      <c r="M1891" s="90"/>
      <c r="N1891" s="90"/>
      <c r="O1891" s="90"/>
      <c r="P1891" s="90"/>
    </row>
    <row r="1892" spans="1:16" ht="13.2">
      <c r="A1892" s="90"/>
      <c r="B1892" s="92"/>
      <c r="C1892" s="90"/>
      <c r="D1892" s="90"/>
      <c r="E1892" s="90"/>
      <c r="F1892" s="90"/>
      <c r="G1892" s="90"/>
      <c r="H1892" s="90"/>
      <c r="I1892" s="90"/>
      <c r="J1892" s="90"/>
      <c r="K1892" s="90"/>
      <c r="L1892" s="90"/>
      <c r="M1892" s="90"/>
      <c r="N1892" s="90"/>
      <c r="O1892" s="90"/>
      <c r="P1892" s="90"/>
    </row>
    <row r="1893" spans="1:16" ht="13.2">
      <c r="A1893" s="90"/>
      <c r="B1893" s="92"/>
      <c r="C1893" s="90"/>
      <c r="D1893" s="90"/>
      <c r="E1893" s="90"/>
      <c r="F1893" s="90"/>
      <c r="G1893" s="90"/>
      <c r="H1893" s="90"/>
      <c r="I1893" s="90"/>
      <c r="J1893" s="90"/>
      <c r="K1893" s="90"/>
      <c r="L1893" s="90"/>
      <c r="M1893" s="90"/>
      <c r="N1893" s="90"/>
      <c r="O1893" s="90"/>
      <c r="P1893" s="90"/>
    </row>
    <row r="1894" spans="1:16" ht="13.2">
      <c r="A1894" s="90"/>
      <c r="B1894" s="92"/>
      <c r="C1894" s="90"/>
      <c r="D1894" s="90"/>
      <c r="E1894" s="90"/>
      <c r="F1894" s="90"/>
      <c r="G1894" s="90"/>
      <c r="H1894" s="90"/>
      <c r="I1894" s="90"/>
      <c r="J1894" s="90"/>
      <c r="K1894" s="90"/>
      <c r="L1894" s="90"/>
      <c r="M1894" s="90"/>
      <c r="N1894" s="90"/>
      <c r="O1894" s="90"/>
      <c r="P1894" s="90"/>
    </row>
    <row r="1895" spans="1:16" ht="13.2">
      <c r="A1895" s="90"/>
      <c r="B1895" s="92"/>
      <c r="C1895" s="90"/>
      <c r="D1895" s="90"/>
      <c r="E1895" s="90"/>
      <c r="F1895" s="90"/>
      <c r="G1895" s="90"/>
      <c r="H1895" s="90"/>
      <c r="I1895" s="90"/>
      <c r="J1895" s="90"/>
      <c r="K1895" s="90"/>
      <c r="L1895" s="90"/>
      <c r="M1895" s="90"/>
      <c r="N1895" s="90"/>
      <c r="O1895" s="90"/>
      <c r="P1895" s="90"/>
    </row>
    <row r="1896" spans="1:16" ht="13.2">
      <c r="A1896" s="90"/>
      <c r="B1896" s="92"/>
      <c r="C1896" s="90"/>
      <c r="D1896" s="90"/>
      <c r="E1896" s="90"/>
      <c r="F1896" s="90"/>
      <c r="G1896" s="90"/>
      <c r="H1896" s="90"/>
      <c r="I1896" s="90"/>
      <c r="J1896" s="90"/>
      <c r="K1896" s="90"/>
      <c r="L1896" s="90"/>
      <c r="M1896" s="90"/>
      <c r="N1896" s="90"/>
      <c r="O1896" s="90"/>
      <c r="P1896" s="90"/>
    </row>
    <row r="1897" spans="1:16" ht="13.2">
      <c r="A1897" s="90"/>
      <c r="B1897" s="92"/>
      <c r="C1897" s="90"/>
      <c r="D1897" s="90"/>
      <c r="E1897" s="90"/>
      <c r="F1897" s="90"/>
      <c r="G1897" s="90"/>
      <c r="H1897" s="90"/>
      <c r="I1897" s="90"/>
      <c r="J1897" s="90"/>
      <c r="K1897" s="90"/>
      <c r="L1897" s="90"/>
      <c r="M1897" s="90"/>
      <c r="N1897" s="90"/>
      <c r="O1897" s="90"/>
      <c r="P1897" s="90"/>
    </row>
    <row r="1898" spans="1:16" ht="13.2">
      <c r="A1898" s="90"/>
      <c r="B1898" s="92"/>
      <c r="C1898" s="90"/>
      <c r="D1898" s="90"/>
      <c r="E1898" s="90"/>
      <c r="F1898" s="90"/>
      <c r="G1898" s="90"/>
      <c r="H1898" s="90"/>
      <c r="I1898" s="90"/>
      <c r="J1898" s="90"/>
      <c r="K1898" s="90"/>
      <c r="L1898" s="90"/>
      <c r="M1898" s="90"/>
      <c r="N1898" s="90"/>
      <c r="O1898" s="90"/>
      <c r="P1898" s="90"/>
    </row>
    <row r="1899" spans="1:16" ht="13.2">
      <c r="A1899" s="90"/>
      <c r="B1899" s="92"/>
      <c r="C1899" s="90"/>
      <c r="D1899" s="90"/>
      <c r="E1899" s="90"/>
      <c r="F1899" s="90"/>
      <c r="G1899" s="90"/>
      <c r="H1899" s="90"/>
      <c r="I1899" s="90"/>
      <c r="J1899" s="90"/>
      <c r="K1899" s="90"/>
      <c r="L1899" s="90"/>
      <c r="M1899" s="90"/>
      <c r="N1899" s="90"/>
      <c r="O1899" s="90"/>
      <c r="P1899" s="90"/>
    </row>
    <row r="1900" spans="1:16" ht="13.2">
      <c r="A1900" s="90"/>
      <c r="B1900" s="92"/>
      <c r="C1900" s="90"/>
      <c r="D1900" s="90"/>
      <c r="E1900" s="90"/>
      <c r="F1900" s="90"/>
      <c r="G1900" s="90"/>
      <c r="H1900" s="90"/>
      <c r="I1900" s="90"/>
      <c r="J1900" s="90"/>
      <c r="K1900" s="90"/>
      <c r="L1900" s="90"/>
      <c r="M1900" s="90"/>
      <c r="N1900" s="90"/>
      <c r="O1900" s="90"/>
      <c r="P1900" s="90"/>
    </row>
    <row r="1901" spans="1:16" ht="13.2">
      <c r="A1901" s="90"/>
      <c r="B1901" s="92"/>
      <c r="C1901" s="90"/>
      <c r="D1901" s="90"/>
      <c r="E1901" s="90"/>
      <c r="F1901" s="90"/>
      <c r="G1901" s="90"/>
      <c r="H1901" s="90"/>
      <c r="I1901" s="90"/>
      <c r="J1901" s="90"/>
      <c r="K1901" s="90"/>
      <c r="L1901" s="90"/>
      <c r="M1901" s="90"/>
      <c r="N1901" s="90"/>
      <c r="O1901" s="90"/>
      <c r="P1901" s="90"/>
    </row>
    <row r="1902" spans="1:16" ht="13.2">
      <c r="A1902" s="90"/>
      <c r="B1902" s="92"/>
      <c r="C1902" s="90"/>
      <c r="D1902" s="90"/>
      <c r="E1902" s="90"/>
      <c r="F1902" s="90"/>
      <c r="G1902" s="90"/>
      <c r="H1902" s="90"/>
      <c r="I1902" s="90"/>
      <c r="J1902" s="90"/>
      <c r="K1902" s="90"/>
      <c r="L1902" s="90"/>
      <c r="M1902" s="90"/>
      <c r="N1902" s="90"/>
      <c r="O1902" s="90"/>
      <c r="P1902" s="90"/>
    </row>
    <row r="1903" spans="1:16" ht="13.2">
      <c r="A1903" s="90"/>
      <c r="B1903" s="92"/>
      <c r="C1903" s="90"/>
      <c r="D1903" s="90"/>
      <c r="E1903" s="90"/>
      <c r="F1903" s="90"/>
      <c r="G1903" s="90"/>
      <c r="H1903" s="90"/>
      <c r="I1903" s="90"/>
      <c r="J1903" s="90"/>
      <c r="K1903" s="90"/>
      <c r="L1903" s="90"/>
      <c r="M1903" s="90"/>
      <c r="N1903" s="90"/>
      <c r="O1903" s="90"/>
      <c r="P1903" s="90"/>
    </row>
    <row r="1904" spans="1:16" ht="13.2">
      <c r="A1904" s="90"/>
      <c r="B1904" s="92"/>
      <c r="C1904" s="90"/>
      <c r="D1904" s="90"/>
      <c r="E1904" s="90"/>
      <c r="F1904" s="90"/>
      <c r="G1904" s="90"/>
      <c r="H1904" s="90"/>
      <c r="I1904" s="90"/>
      <c r="J1904" s="90"/>
      <c r="K1904" s="90"/>
      <c r="L1904" s="90"/>
      <c r="M1904" s="90"/>
      <c r="N1904" s="90"/>
      <c r="O1904" s="90"/>
      <c r="P1904" s="90"/>
    </row>
    <row r="1905" spans="1:16" ht="13.2">
      <c r="A1905" s="90"/>
      <c r="B1905" s="92"/>
      <c r="C1905" s="90"/>
      <c r="D1905" s="90"/>
      <c r="E1905" s="90"/>
      <c r="F1905" s="90"/>
      <c r="G1905" s="90"/>
      <c r="H1905" s="90"/>
      <c r="I1905" s="90"/>
      <c r="J1905" s="90"/>
      <c r="K1905" s="90"/>
      <c r="L1905" s="90"/>
      <c r="M1905" s="90"/>
      <c r="N1905" s="90"/>
      <c r="O1905" s="90"/>
      <c r="P1905" s="90"/>
    </row>
    <row r="1906" spans="1:16" ht="13.2">
      <c r="A1906" s="90"/>
      <c r="B1906" s="92"/>
      <c r="C1906" s="90"/>
      <c r="D1906" s="90"/>
      <c r="E1906" s="90"/>
      <c r="F1906" s="90"/>
      <c r="G1906" s="90"/>
      <c r="H1906" s="90"/>
      <c r="I1906" s="90"/>
      <c r="J1906" s="90"/>
      <c r="K1906" s="90"/>
      <c r="L1906" s="90"/>
      <c r="M1906" s="90"/>
      <c r="N1906" s="90"/>
      <c r="O1906" s="90"/>
      <c r="P1906" s="90"/>
    </row>
    <row r="1907" spans="1:16" ht="13.2">
      <c r="A1907" s="90"/>
      <c r="B1907" s="92"/>
      <c r="C1907" s="90"/>
      <c r="D1907" s="90"/>
      <c r="E1907" s="90"/>
      <c r="F1907" s="90"/>
      <c r="G1907" s="90"/>
      <c r="H1907" s="90"/>
      <c r="I1907" s="90"/>
      <c r="J1907" s="90"/>
      <c r="K1907" s="90"/>
      <c r="L1907" s="90"/>
      <c r="M1907" s="90"/>
      <c r="N1907" s="90"/>
      <c r="O1907" s="90"/>
      <c r="P1907" s="90"/>
    </row>
    <row r="1908" spans="1:16" ht="13.2">
      <c r="A1908" s="90"/>
      <c r="B1908" s="92"/>
      <c r="C1908" s="90"/>
      <c r="D1908" s="90"/>
      <c r="E1908" s="90"/>
      <c r="F1908" s="90"/>
      <c r="G1908" s="90"/>
      <c r="H1908" s="90"/>
      <c r="I1908" s="90"/>
      <c r="J1908" s="90"/>
      <c r="K1908" s="90"/>
      <c r="L1908" s="90"/>
      <c r="M1908" s="90"/>
      <c r="N1908" s="90"/>
      <c r="O1908" s="90"/>
      <c r="P1908" s="90"/>
    </row>
    <row r="1909" spans="1:16" ht="13.2">
      <c r="A1909" s="90"/>
      <c r="B1909" s="92"/>
      <c r="C1909" s="90"/>
      <c r="D1909" s="90"/>
      <c r="E1909" s="90"/>
      <c r="F1909" s="90"/>
      <c r="G1909" s="90"/>
      <c r="H1909" s="90"/>
      <c r="I1909" s="90"/>
      <c r="J1909" s="90"/>
      <c r="K1909" s="90"/>
      <c r="L1909" s="90"/>
      <c r="M1909" s="90"/>
      <c r="N1909" s="90"/>
      <c r="O1909" s="90"/>
      <c r="P1909" s="90"/>
    </row>
    <row r="1910" spans="1:16" ht="13.2">
      <c r="A1910" s="90"/>
      <c r="B1910" s="92"/>
      <c r="C1910" s="90"/>
      <c r="D1910" s="90"/>
      <c r="E1910" s="90"/>
      <c r="F1910" s="90"/>
      <c r="G1910" s="90"/>
      <c r="H1910" s="90"/>
      <c r="I1910" s="90"/>
      <c r="J1910" s="90"/>
      <c r="K1910" s="90"/>
      <c r="L1910" s="90"/>
      <c r="M1910" s="90"/>
      <c r="N1910" s="90"/>
      <c r="O1910" s="90"/>
      <c r="P1910" s="90"/>
    </row>
    <row r="1911" spans="1:16" ht="13.2">
      <c r="A1911" s="90"/>
      <c r="B1911" s="92"/>
      <c r="C1911" s="90"/>
      <c r="D1911" s="90"/>
      <c r="E1911" s="90"/>
      <c r="F1911" s="90"/>
      <c r="G1911" s="90"/>
      <c r="H1911" s="90"/>
      <c r="I1911" s="90"/>
      <c r="J1911" s="90"/>
      <c r="K1911" s="90"/>
      <c r="L1911" s="90"/>
      <c r="M1911" s="90"/>
      <c r="N1911" s="90"/>
      <c r="O1911" s="90"/>
      <c r="P1911" s="90"/>
    </row>
    <row r="1912" spans="1:16" ht="13.2">
      <c r="A1912" s="90"/>
      <c r="B1912" s="92"/>
      <c r="C1912" s="90"/>
      <c r="D1912" s="90"/>
      <c r="E1912" s="90"/>
      <c r="F1912" s="90"/>
      <c r="G1912" s="90"/>
      <c r="H1912" s="90"/>
      <c r="I1912" s="90"/>
      <c r="J1912" s="90"/>
      <c r="K1912" s="90"/>
      <c r="L1912" s="90"/>
      <c r="M1912" s="90"/>
      <c r="N1912" s="90"/>
      <c r="O1912" s="90"/>
      <c r="P1912" s="90"/>
    </row>
    <row r="1913" spans="1:16" ht="13.2">
      <c r="A1913" s="90"/>
      <c r="B1913" s="92"/>
      <c r="C1913" s="90"/>
      <c r="D1913" s="90"/>
      <c r="E1913" s="90"/>
      <c r="F1913" s="90"/>
      <c r="G1913" s="90"/>
      <c r="H1913" s="90"/>
      <c r="I1913" s="90"/>
      <c r="J1913" s="90"/>
      <c r="K1913" s="90"/>
      <c r="L1913" s="90"/>
      <c r="M1913" s="90"/>
      <c r="N1913" s="90"/>
      <c r="O1913" s="90"/>
      <c r="P1913" s="90"/>
    </row>
    <row r="1914" spans="1:16" ht="13.2">
      <c r="A1914" s="90"/>
      <c r="B1914" s="92"/>
      <c r="C1914" s="90"/>
      <c r="D1914" s="90"/>
      <c r="E1914" s="90"/>
      <c r="F1914" s="90"/>
      <c r="G1914" s="90"/>
      <c r="H1914" s="90"/>
      <c r="I1914" s="90"/>
      <c r="J1914" s="90"/>
      <c r="K1914" s="90"/>
      <c r="L1914" s="90"/>
      <c r="M1914" s="90"/>
      <c r="N1914" s="90"/>
      <c r="O1914" s="90"/>
      <c r="P1914" s="90"/>
    </row>
    <row r="1915" spans="1:16" ht="13.2">
      <c r="A1915" s="90"/>
      <c r="B1915" s="92"/>
      <c r="C1915" s="90"/>
      <c r="D1915" s="90"/>
      <c r="E1915" s="90"/>
      <c r="F1915" s="90"/>
      <c r="G1915" s="90"/>
      <c r="H1915" s="90"/>
      <c r="I1915" s="90"/>
      <c r="J1915" s="90"/>
      <c r="K1915" s="90"/>
      <c r="L1915" s="90"/>
      <c r="M1915" s="90"/>
      <c r="N1915" s="90"/>
      <c r="O1915" s="90"/>
      <c r="P1915" s="90"/>
    </row>
    <row r="1916" spans="1:16" ht="13.2">
      <c r="A1916" s="90"/>
      <c r="B1916" s="92"/>
      <c r="C1916" s="90"/>
      <c r="D1916" s="90"/>
      <c r="E1916" s="90"/>
      <c r="F1916" s="90"/>
      <c r="G1916" s="90"/>
      <c r="H1916" s="90"/>
      <c r="I1916" s="90"/>
      <c r="J1916" s="90"/>
      <c r="K1916" s="90"/>
      <c r="L1916" s="90"/>
      <c r="M1916" s="90"/>
      <c r="N1916" s="90"/>
      <c r="O1916" s="90"/>
      <c r="P1916" s="90"/>
    </row>
    <row r="1917" spans="1:16" ht="13.2">
      <c r="A1917" s="90"/>
      <c r="B1917" s="92"/>
      <c r="C1917" s="90"/>
      <c r="D1917" s="90"/>
      <c r="E1917" s="90"/>
      <c r="F1917" s="90"/>
      <c r="G1917" s="90"/>
      <c r="H1917" s="90"/>
      <c r="I1917" s="90"/>
      <c r="J1917" s="90"/>
      <c r="K1917" s="90"/>
      <c r="L1917" s="90"/>
      <c r="M1917" s="90"/>
      <c r="N1917" s="90"/>
      <c r="O1917" s="90"/>
      <c r="P1917" s="90"/>
    </row>
    <row r="1918" spans="1:16" ht="13.2">
      <c r="A1918" s="90"/>
      <c r="B1918" s="92"/>
      <c r="C1918" s="90"/>
      <c r="D1918" s="90"/>
      <c r="E1918" s="90"/>
      <c r="F1918" s="90"/>
      <c r="G1918" s="90"/>
      <c r="H1918" s="90"/>
      <c r="I1918" s="90"/>
      <c r="J1918" s="90"/>
      <c r="K1918" s="90"/>
      <c r="L1918" s="90"/>
      <c r="M1918" s="90"/>
      <c r="N1918" s="90"/>
      <c r="O1918" s="90"/>
      <c r="P1918" s="90"/>
    </row>
    <row r="1919" spans="1:16" ht="13.2">
      <c r="A1919" s="90"/>
      <c r="B1919" s="92"/>
      <c r="C1919" s="90"/>
      <c r="D1919" s="90"/>
      <c r="E1919" s="90"/>
      <c r="F1919" s="90"/>
      <c r="G1919" s="90"/>
      <c r="H1919" s="90"/>
      <c r="I1919" s="90"/>
      <c r="J1919" s="90"/>
      <c r="K1919" s="90"/>
      <c r="L1919" s="90"/>
      <c r="M1919" s="90"/>
      <c r="N1919" s="90"/>
      <c r="O1919" s="90"/>
      <c r="P1919" s="90"/>
    </row>
    <row r="1920" spans="1:16" ht="13.2">
      <c r="A1920" s="90"/>
      <c r="B1920" s="92"/>
      <c r="C1920" s="90"/>
      <c r="D1920" s="90"/>
      <c r="E1920" s="90"/>
      <c r="F1920" s="90"/>
      <c r="G1920" s="90"/>
      <c r="H1920" s="90"/>
      <c r="I1920" s="90"/>
      <c r="J1920" s="90"/>
      <c r="K1920" s="90"/>
      <c r="L1920" s="90"/>
      <c r="M1920" s="90"/>
      <c r="N1920" s="90"/>
      <c r="O1920" s="90"/>
      <c r="P1920" s="90"/>
    </row>
    <row r="1921" spans="1:16" ht="13.2">
      <c r="A1921" s="90"/>
      <c r="B1921" s="92"/>
      <c r="C1921" s="90"/>
      <c r="D1921" s="90"/>
      <c r="E1921" s="90"/>
      <c r="F1921" s="90"/>
      <c r="G1921" s="90"/>
      <c r="H1921" s="90"/>
      <c r="I1921" s="90"/>
      <c r="J1921" s="90"/>
      <c r="K1921" s="90"/>
      <c r="L1921" s="90"/>
      <c r="M1921" s="90"/>
      <c r="N1921" s="90"/>
      <c r="O1921" s="90"/>
      <c r="P1921" s="90"/>
    </row>
    <row r="1922" spans="1:16" ht="13.2">
      <c r="A1922" s="90"/>
      <c r="B1922" s="92"/>
      <c r="C1922" s="90"/>
      <c r="D1922" s="90"/>
      <c r="E1922" s="90"/>
      <c r="F1922" s="90"/>
      <c r="G1922" s="90"/>
      <c r="H1922" s="90"/>
      <c r="I1922" s="90"/>
      <c r="J1922" s="90"/>
      <c r="K1922" s="90"/>
      <c r="L1922" s="90"/>
      <c r="M1922" s="90"/>
      <c r="N1922" s="90"/>
      <c r="O1922" s="90"/>
      <c r="P1922" s="90"/>
    </row>
    <row r="1923" spans="1:16" ht="13.2">
      <c r="A1923" s="90"/>
      <c r="B1923" s="92"/>
      <c r="C1923" s="90"/>
      <c r="D1923" s="90"/>
      <c r="E1923" s="90"/>
      <c r="F1923" s="90"/>
      <c r="G1923" s="90"/>
      <c r="H1923" s="90"/>
      <c r="I1923" s="90"/>
      <c r="J1923" s="90"/>
      <c r="K1923" s="90"/>
      <c r="L1923" s="90"/>
      <c r="M1923" s="90"/>
      <c r="N1923" s="90"/>
      <c r="O1923" s="90"/>
      <c r="P1923" s="90"/>
    </row>
    <row r="1924" spans="1:16" ht="13.2">
      <c r="A1924" s="90"/>
      <c r="B1924" s="92"/>
      <c r="C1924" s="90"/>
      <c r="D1924" s="90"/>
      <c r="E1924" s="90"/>
      <c r="F1924" s="90"/>
      <c r="G1924" s="90"/>
      <c r="H1924" s="90"/>
      <c r="I1924" s="90"/>
      <c r="J1924" s="90"/>
      <c r="K1924" s="90"/>
      <c r="L1924" s="90"/>
      <c r="M1924" s="90"/>
      <c r="N1924" s="90"/>
      <c r="O1924" s="90"/>
      <c r="P1924" s="90"/>
    </row>
    <row r="1925" spans="1:16" ht="13.2">
      <c r="A1925" s="90"/>
      <c r="B1925" s="92"/>
      <c r="C1925" s="90"/>
      <c r="D1925" s="90"/>
      <c r="E1925" s="90"/>
      <c r="F1925" s="90"/>
      <c r="G1925" s="90"/>
      <c r="H1925" s="90"/>
      <c r="I1925" s="90"/>
      <c r="J1925" s="90"/>
      <c r="K1925" s="90"/>
      <c r="L1925" s="90"/>
      <c r="M1925" s="90"/>
      <c r="N1925" s="90"/>
      <c r="O1925" s="90"/>
      <c r="P1925" s="90"/>
    </row>
    <row r="1926" spans="1:16" ht="13.2">
      <c r="A1926" s="90"/>
      <c r="B1926" s="92"/>
      <c r="C1926" s="90"/>
      <c r="D1926" s="90"/>
      <c r="E1926" s="90"/>
      <c r="F1926" s="90"/>
      <c r="G1926" s="90"/>
      <c r="H1926" s="90"/>
      <c r="I1926" s="90"/>
      <c r="J1926" s="90"/>
      <c r="K1926" s="90"/>
      <c r="L1926" s="90"/>
      <c r="M1926" s="90"/>
      <c r="N1926" s="90"/>
      <c r="O1926" s="90"/>
      <c r="P1926" s="90"/>
    </row>
    <row r="1927" spans="1:16" ht="13.2">
      <c r="A1927" s="90"/>
      <c r="B1927" s="92"/>
      <c r="C1927" s="90"/>
      <c r="D1927" s="90"/>
      <c r="E1927" s="90"/>
      <c r="F1927" s="90"/>
      <c r="G1927" s="90"/>
      <c r="H1927" s="90"/>
      <c r="I1927" s="90"/>
      <c r="J1927" s="90"/>
      <c r="K1927" s="90"/>
      <c r="L1927" s="90"/>
      <c r="M1927" s="90"/>
      <c r="N1927" s="90"/>
      <c r="O1927" s="90"/>
      <c r="P1927" s="90"/>
    </row>
    <row r="1928" spans="1:16" ht="13.2">
      <c r="A1928" s="90"/>
      <c r="B1928" s="92"/>
      <c r="C1928" s="90"/>
      <c r="D1928" s="90"/>
      <c r="E1928" s="90"/>
      <c r="F1928" s="90"/>
      <c r="G1928" s="90"/>
      <c r="H1928" s="90"/>
      <c r="I1928" s="90"/>
      <c r="J1928" s="90"/>
      <c r="K1928" s="90"/>
      <c r="L1928" s="90"/>
      <c r="M1928" s="90"/>
      <c r="N1928" s="90"/>
      <c r="O1928" s="90"/>
      <c r="P1928" s="90"/>
    </row>
    <row r="1929" spans="1:16" ht="13.2">
      <c r="A1929" s="90"/>
      <c r="B1929" s="92"/>
      <c r="C1929" s="90"/>
      <c r="D1929" s="90"/>
      <c r="E1929" s="90"/>
      <c r="F1929" s="90"/>
      <c r="G1929" s="90"/>
      <c r="H1929" s="90"/>
      <c r="I1929" s="90"/>
      <c r="J1929" s="90"/>
      <c r="K1929" s="90"/>
      <c r="L1929" s="90"/>
      <c r="M1929" s="90"/>
      <c r="N1929" s="90"/>
      <c r="O1929" s="90"/>
      <c r="P1929" s="90"/>
    </row>
    <row r="1930" spans="1:16" ht="13.2">
      <c r="A1930" s="90"/>
      <c r="B1930" s="92"/>
      <c r="C1930" s="90"/>
      <c r="D1930" s="90"/>
      <c r="E1930" s="90"/>
      <c r="F1930" s="90"/>
      <c r="G1930" s="90"/>
      <c r="H1930" s="90"/>
      <c r="I1930" s="90"/>
      <c r="J1930" s="90"/>
      <c r="K1930" s="90"/>
      <c r="L1930" s="90"/>
      <c r="M1930" s="90"/>
      <c r="N1930" s="90"/>
      <c r="O1930" s="90"/>
      <c r="P1930" s="90"/>
    </row>
    <row r="1931" spans="1:16" ht="13.2">
      <c r="A1931" s="90"/>
      <c r="B1931" s="92"/>
      <c r="C1931" s="90"/>
      <c r="D1931" s="90"/>
      <c r="E1931" s="90"/>
      <c r="F1931" s="90"/>
      <c r="G1931" s="90"/>
      <c r="H1931" s="90"/>
      <c r="I1931" s="90"/>
      <c r="J1931" s="90"/>
      <c r="K1931" s="90"/>
      <c r="L1931" s="90"/>
      <c r="M1931" s="90"/>
      <c r="N1931" s="90"/>
      <c r="O1931" s="90"/>
      <c r="P1931" s="90"/>
    </row>
    <row r="1932" spans="1:16" ht="13.2">
      <c r="A1932" s="90"/>
      <c r="B1932" s="92"/>
      <c r="C1932" s="90"/>
      <c r="D1932" s="90"/>
      <c r="E1932" s="90"/>
      <c r="F1932" s="90"/>
      <c r="G1932" s="90"/>
      <c r="H1932" s="90"/>
      <c r="I1932" s="90"/>
      <c r="J1932" s="90"/>
      <c r="K1932" s="90"/>
      <c r="L1932" s="90"/>
      <c r="M1932" s="90"/>
      <c r="N1932" s="90"/>
      <c r="O1932" s="90"/>
      <c r="P1932" s="90"/>
    </row>
    <row r="1933" spans="1:16" ht="13.2">
      <c r="A1933" s="90"/>
      <c r="B1933" s="92"/>
      <c r="C1933" s="90"/>
      <c r="D1933" s="90"/>
      <c r="E1933" s="90"/>
      <c r="F1933" s="90"/>
      <c r="G1933" s="90"/>
      <c r="H1933" s="90"/>
      <c r="I1933" s="90"/>
      <c r="J1933" s="90"/>
      <c r="K1933" s="90"/>
      <c r="L1933" s="90"/>
      <c r="M1933" s="90"/>
      <c r="N1933" s="90"/>
      <c r="O1933" s="90"/>
      <c r="P1933" s="90"/>
    </row>
    <row r="1934" spans="1:16" ht="13.2">
      <c r="A1934" s="90"/>
      <c r="B1934" s="92"/>
      <c r="C1934" s="90"/>
      <c r="D1934" s="90"/>
      <c r="E1934" s="90"/>
      <c r="F1934" s="90"/>
      <c r="G1934" s="90"/>
      <c r="H1934" s="90"/>
      <c r="I1934" s="90"/>
      <c r="J1934" s="90"/>
      <c r="K1934" s="90"/>
      <c r="L1934" s="90"/>
      <c r="M1934" s="90"/>
      <c r="N1934" s="90"/>
      <c r="O1934" s="90"/>
      <c r="P1934" s="90"/>
    </row>
    <row r="1935" spans="1:16" ht="13.2">
      <c r="A1935" s="90"/>
      <c r="B1935" s="92"/>
      <c r="C1935" s="90"/>
      <c r="D1935" s="90"/>
      <c r="E1935" s="90"/>
      <c r="F1935" s="90"/>
      <c r="G1935" s="90"/>
      <c r="H1935" s="90"/>
      <c r="I1935" s="90"/>
      <c r="J1935" s="90"/>
      <c r="K1935" s="90"/>
      <c r="L1935" s="90"/>
      <c r="M1935" s="90"/>
      <c r="N1935" s="90"/>
      <c r="O1935" s="90"/>
      <c r="P1935" s="90"/>
    </row>
    <row r="1936" spans="1:16" ht="13.2">
      <c r="A1936" s="90"/>
      <c r="B1936" s="92"/>
      <c r="C1936" s="90"/>
      <c r="D1936" s="90"/>
      <c r="E1936" s="90"/>
      <c r="F1936" s="90"/>
      <c r="G1936" s="90"/>
      <c r="H1936" s="90"/>
      <c r="I1936" s="90"/>
      <c r="J1936" s="90"/>
      <c r="K1936" s="90"/>
      <c r="L1936" s="90"/>
      <c r="M1936" s="90"/>
      <c r="N1936" s="90"/>
      <c r="O1936" s="90"/>
      <c r="P1936" s="90"/>
    </row>
    <row r="1937" spans="1:16" ht="13.2">
      <c r="A1937" s="90"/>
      <c r="B1937" s="92"/>
      <c r="C1937" s="90"/>
      <c r="D1937" s="90"/>
      <c r="E1937" s="90"/>
      <c r="F1937" s="90"/>
      <c r="G1937" s="90"/>
      <c r="H1937" s="90"/>
      <c r="I1937" s="90"/>
      <c r="J1937" s="90"/>
      <c r="K1937" s="90"/>
      <c r="L1937" s="90"/>
      <c r="M1937" s="90"/>
      <c r="N1937" s="90"/>
      <c r="O1937" s="90"/>
      <c r="P1937" s="90"/>
    </row>
    <row r="1938" spans="1:16" ht="13.2">
      <c r="A1938" s="90"/>
      <c r="B1938" s="92"/>
      <c r="C1938" s="90"/>
      <c r="D1938" s="90"/>
      <c r="E1938" s="90"/>
      <c r="F1938" s="90"/>
      <c r="G1938" s="90"/>
      <c r="H1938" s="90"/>
      <c r="I1938" s="90"/>
      <c r="J1938" s="90"/>
      <c r="K1938" s="90"/>
      <c r="L1938" s="90"/>
      <c r="M1938" s="90"/>
      <c r="N1938" s="90"/>
      <c r="O1938" s="90"/>
      <c r="P1938" s="90"/>
    </row>
    <row r="1939" spans="1:16" ht="13.2">
      <c r="A1939" s="90"/>
      <c r="B1939" s="92"/>
      <c r="C1939" s="90"/>
      <c r="D1939" s="90"/>
      <c r="E1939" s="90"/>
      <c r="F1939" s="90"/>
      <c r="G1939" s="90"/>
      <c r="H1939" s="90"/>
      <c r="I1939" s="90"/>
      <c r="J1939" s="90"/>
      <c r="K1939" s="90"/>
      <c r="L1939" s="90"/>
      <c r="M1939" s="90"/>
      <c r="N1939" s="90"/>
      <c r="O1939" s="90"/>
      <c r="P1939" s="90"/>
    </row>
    <row r="1940" spans="1:16" ht="13.2">
      <c r="A1940" s="90"/>
      <c r="B1940" s="92"/>
      <c r="C1940" s="90"/>
      <c r="D1940" s="90"/>
      <c r="E1940" s="90"/>
      <c r="F1940" s="90"/>
      <c r="G1940" s="90"/>
      <c r="H1940" s="90"/>
      <c r="I1940" s="90"/>
      <c r="J1940" s="90"/>
      <c r="K1940" s="90"/>
      <c r="L1940" s="90"/>
      <c r="M1940" s="90"/>
      <c r="N1940" s="90"/>
      <c r="O1940" s="90"/>
      <c r="P1940" s="90"/>
    </row>
    <row r="1941" spans="1:16" ht="13.2">
      <c r="A1941" s="90"/>
      <c r="B1941" s="92"/>
      <c r="C1941" s="90"/>
      <c r="D1941" s="90"/>
      <c r="E1941" s="90"/>
      <c r="F1941" s="90"/>
      <c r="G1941" s="90"/>
      <c r="H1941" s="90"/>
      <c r="I1941" s="90"/>
      <c r="J1941" s="90"/>
      <c r="K1941" s="90"/>
      <c r="L1941" s="90"/>
      <c r="M1941" s="90"/>
      <c r="N1941" s="90"/>
      <c r="O1941" s="90"/>
      <c r="P1941" s="90"/>
    </row>
    <row r="1942" spans="1:16" ht="13.2">
      <c r="A1942" s="90"/>
      <c r="B1942" s="92"/>
      <c r="C1942" s="90"/>
      <c r="D1942" s="90"/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</row>
    <row r="1943" spans="1:16" ht="13.2">
      <c r="A1943" s="90"/>
      <c r="B1943" s="92"/>
      <c r="C1943" s="90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</row>
    <row r="1944" spans="1:16" ht="13.2">
      <c r="A1944" s="90"/>
      <c r="B1944" s="92"/>
      <c r="C1944" s="90"/>
      <c r="D1944" s="90"/>
      <c r="E1944" s="90"/>
      <c r="F1944" s="90"/>
      <c r="G1944" s="90"/>
      <c r="H1944" s="90"/>
      <c r="I1944" s="90"/>
      <c r="J1944" s="90"/>
      <c r="K1944" s="90"/>
      <c r="L1944" s="90"/>
      <c r="M1944" s="90"/>
      <c r="N1944" s="90"/>
      <c r="O1944" s="90"/>
      <c r="P1944" s="90"/>
    </row>
    <row r="1945" spans="1:16" ht="13.2">
      <c r="A1945" s="90"/>
      <c r="B1945" s="92"/>
      <c r="C1945" s="90"/>
      <c r="D1945" s="90"/>
      <c r="E1945" s="90"/>
      <c r="F1945" s="90"/>
      <c r="G1945" s="90"/>
      <c r="H1945" s="90"/>
      <c r="I1945" s="90"/>
      <c r="J1945" s="90"/>
      <c r="K1945" s="90"/>
      <c r="L1945" s="90"/>
      <c r="M1945" s="90"/>
      <c r="N1945" s="90"/>
      <c r="O1945" s="90"/>
      <c r="P1945" s="90"/>
    </row>
    <row r="1946" spans="1:16" ht="13.2">
      <c r="A1946" s="90"/>
      <c r="B1946" s="92"/>
      <c r="C1946" s="90"/>
      <c r="D1946" s="90"/>
      <c r="E1946" s="90"/>
      <c r="F1946" s="90"/>
      <c r="G1946" s="90"/>
      <c r="H1946" s="90"/>
      <c r="I1946" s="90"/>
      <c r="J1946" s="90"/>
      <c r="K1946" s="90"/>
      <c r="L1946" s="90"/>
      <c r="M1946" s="90"/>
      <c r="N1946" s="90"/>
      <c r="O1946" s="90"/>
      <c r="P1946" s="90"/>
    </row>
    <row r="1947" spans="1:16" ht="13.2">
      <c r="A1947" s="90"/>
      <c r="B1947" s="92"/>
      <c r="C1947" s="90"/>
      <c r="D1947" s="90"/>
      <c r="E1947" s="90"/>
      <c r="F1947" s="90"/>
      <c r="G1947" s="90"/>
      <c r="H1947" s="90"/>
      <c r="I1947" s="90"/>
      <c r="J1947" s="90"/>
      <c r="K1947" s="90"/>
      <c r="L1947" s="90"/>
      <c r="M1947" s="90"/>
      <c r="N1947" s="90"/>
      <c r="O1947" s="90"/>
      <c r="P1947" s="90"/>
    </row>
    <row r="1948" spans="1:16" ht="13.2">
      <c r="A1948" s="90"/>
      <c r="B1948" s="92"/>
      <c r="C1948" s="90"/>
      <c r="D1948" s="90"/>
      <c r="E1948" s="90"/>
      <c r="F1948" s="90"/>
      <c r="G1948" s="90"/>
      <c r="H1948" s="90"/>
      <c r="I1948" s="90"/>
      <c r="J1948" s="90"/>
      <c r="K1948" s="90"/>
      <c r="L1948" s="90"/>
      <c r="M1948" s="90"/>
      <c r="N1948" s="90"/>
      <c r="O1948" s="90"/>
      <c r="P1948" s="90"/>
    </row>
    <row r="1949" spans="1:16" ht="13.2">
      <c r="A1949" s="90"/>
      <c r="B1949" s="92"/>
      <c r="C1949" s="90"/>
      <c r="D1949" s="90"/>
      <c r="E1949" s="90"/>
      <c r="F1949" s="90"/>
      <c r="G1949" s="90"/>
      <c r="H1949" s="90"/>
      <c r="I1949" s="90"/>
      <c r="J1949" s="90"/>
      <c r="K1949" s="90"/>
      <c r="L1949" s="90"/>
      <c r="M1949" s="90"/>
      <c r="N1949" s="90"/>
      <c r="O1949" s="90"/>
      <c r="P1949" s="90"/>
    </row>
    <row r="1950" spans="1:16" ht="13.2">
      <c r="A1950" s="90"/>
      <c r="B1950" s="92"/>
      <c r="C1950" s="90"/>
      <c r="D1950" s="90"/>
      <c r="E1950" s="90"/>
      <c r="F1950" s="90"/>
      <c r="G1950" s="90"/>
      <c r="H1950" s="90"/>
      <c r="I1950" s="90"/>
      <c r="J1950" s="90"/>
      <c r="K1950" s="90"/>
      <c r="L1950" s="90"/>
      <c r="M1950" s="90"/>
      <c r="N1950" s="90"/>
      <c r="O1950" s="90"/>
      <c r="P1950" s="90"/>
    </row>
    <row r="1951" spans="1:16" ht="13.2">
      <c r="A1951" s="90"/>
      <c r="B1951" s="92"/>
      <c r="C1951" s="90"/>
      <c r="D1951" s="90"/>
      <c r="E1951" s="90"/>
      <c r="F1951" s="90"/>
      <c r="G1951" s="90"/>
      <c r="H1951" s="90"/>
      <c r="I1951" s="90"/>
      <c r="J1951" s="90"/>
      <c r="K1951" s="90"/>
      <c r="L1951" s="90"/>
      <c r="M1951" s="90"/>
      <c r="N1951" s="90"/>
      <c r="O1951" s="90"/>
      <c r="P1951" s="90"/>
    </row>
    <row r="1952" spans="1:16" ht="13.2">
      <c r="A1952" s="90"/>
      <c r="B1952" s="92"/>
      <c r="C1952" s="90"/>
      <c r="D1952" s="90"/>
      <c r="E1952" s="90"/>
      <c r="F1952" s="90"/>
      <c r="G1952" s="90"/>
      <c r="H1952" s="90"/>
      <c r="I1952" s="90"/>
      <c r="J1952" s="90"/>
      <c r="K1952" s="90"/>
      <c r="L1952" s="90"/>
      <c r="M1952" s="90"/>
      <c r="N1952" s="90"/>
      <c r="O1952" s="90"/>
      <c r="P1952" s="90"/>
    </row>
    <row r="1953" spans="1:16" ht="13.2">
      <c r="A1953" s="90"/>
      <c r="B1953" s="92"/>
      <c r="C1953" s="90"/>
      <c r="D1953" s="90"/>
      <c r="E1953" s="90"/>
      <c r="F1953" s="90"/>
      <c r="G1953" s="90"/>
      <c r="H1953" s="90"/>
      <c r="I1953" s="90"/>
      <c r="J1953" s="90"/>
      <c r="K1953" s="90"/>
      <c r="L1953" s="90"/>
      <c r="M1953" s="90"/>
      <c r="N1953" s="90"/>
      <c r="O1953" s="90"/>
      <c r="P1953" s="90"/>
    </row>
    <row r="1954" spans="1:16" ht="13.2">
      <c r="A1954" s="90"/>
      <c r="B1954" s="92"/>
      <c r="C1954" s="90"/>
      <c r="D1954" s="90"/>
      <c r="E1954" s="90"/>
      <c r="F1954" s="90"/>
      <c r="G1954" s="90"/>
      <c r="H1954" s="90"/>
      <c r="I1954" s="90"/>
      <c r="J1954" s="90"/>
      <c r="K1954" s="90"/>
      <c r="L1954" s="90"/>
      <c r="M1954" s="90"/>
      <c r="N1954" s="90"/>
      <c r="O1954" s="90"/>
      <c r="P1954" s="90"/>
    </row>
    <row r="1955" spans="1:16" ht="13.2">
      <c r="A1955" s="90"/>
      <c r="B1955" s="92"/>
      <c r="C1955" s="90"/>
      <c r="D1955" s="90"/>
      <c r="E1955" s="90"/>
      <c r="F1955" s="90"/>
      <c r="G1955" s="90"/>
      <c r="H1955" s="90"/>
      <c r="I1955" s="90"/>
      <c r="J1955" s="90"/>
      <c r="K1955" s="90"/>
      <c r="L1955" s="90"/>
      <c r="M1955" s="90"/>
      <c r="N1955" s="90"/>
      <c r="O1955" s="90"/>
      <c r="P1955" s="90"/>
    </row>
    <row r="1956" spans="1:16" ht="13.2">
      <c r="A1956" s="90"/>
      <c r="B1956" s="92"/>
      <c r="C1956" s="90"/>
      <c r="D1956" s="90"/>
      <c r="E1956" s="90"/>
      <c r="F1956" s="90"/>
      <c r="G1956" s="90"/>
      <c r="H1956" s="90"/>
      <c r="I1956" s="90"/>
      <c r="J1956" s="90"/>
      <c r="K1956" s="90"/>
      <c r="L1956" s="90"/>
      <c r="M1956" s="90"/>
      <c r="N1956" s="90"/>
      <c r="O1956" s="90"/>
      <c r="P1956" s="90"/>
    </row>
    <row r="1957" spans="1:16" ht="13.2">
      <c r="A1957" s="90"/>
      <c r="B1957" s="92"/>
      <c r="C1957" s="90"/>
      <c r="D1957" s="90"/>
      <c r="E1957" s="90"/>
      <c r="F1957" s="90"/>
      <c r="G1957" s="90"/>
      <c r="H1957" s="90"/>
      <c r="I1957" s="90"/>
      <c r="J1957" s="90"/>
      <c r="K1957" s="90"/>
      <c r="L1957" s="90"/>
      <c r="M1957" s="90"/>
      <c r="N1957" s="90"/>
      <c r="O1957" s="90"/>
      <c r="P1957" s="90"/>
    </row>
    <row r="1958" spans="1:16" ht="13.2">
      <c r="A1958" s="90"/>
      <c r="B1958" s="92"/>
      <c r="C1958" s="90"/>
      <c r="D1958" s="90"/>
      <c r="E1958" s="90"/>
      <c r="F1958" s="90"/>
      <c r="G1958" s="90"/>
      <c r="H1958" s="90"/>
      <c r="I1958" s="90"/>
      <c r="J1958" s="90"/>
      <c r="K1958" s="90"/>
      <c r="L1958" s="90"/>
      <c r="M1958" s="90"/>
      <c r="N1958" s="90"/>
      <c r="O1958" s="90"/>
      <c r="P1958" s="90"/>
    </row>
    <row r="1959" spans="1:16" ht="13.2">
      <c r="A1959" s="90"/>
      <c r="B1959" s="92"/>
      <c r="C1959" s="90"/>
      <c r="D1959" s="90"/>
      <c r="E1959" s="90"/>
      <c r="F1959" s="90"/>
      <c r="G1959" s="90"/>
      <c r="H1959" s="90"/>
      <c r="I1959" s="90"/>
      <c r="J1959" s="90"/>
      <c r="K1959" s="90"/>
      <c r="L1959" s="90"/>
      <c r="M1959" s="90"/>
      <c r="N1959" s="90"/>
      <c r="O1959" s="90"/>
      <c r="P1959" s="90"/>
    </row>
    <row r="1960" spans="1:16" ht="13.2">
      <c r="A1960" s="90"/>
      <c r="B1960" s="92"/>
      <c r="C1960" s="90"/>
      <c r="D1960" s="90"/>
      <c r="E1960" s="90"/>
      <c r="F1960" s="90"/>
      <c r="G1960" s="90"/>
      <c r="H1960" s="90"/>
      <c r="I1960" s="90"/>
      <c r="J1960" s="90"/>
      <c r="K1960" s="90"/>
      <c r="L1960" s="90"/>
      <c r="M1960" s="90"/>
      <c r="N1960" s="90"/>
      <c r="O1960" s="90"/>
      <c r="P1960" s="90"/>
    </row>
    <row r="1961" spans="1:16" ht="13.2">
      <c r="A1961" s="90"/>
      <c r="B1961" s="92"/>
      <c r="C1961" s="90"/>
      <c r="D1961" s="90"/>
      <c r="E1961" s="90"/>
      <c r="F1961" s="90"/>
      <c r="G1961" s="90"/>
      <c r="H1961" s="90"/>
      <c r="I1961" s="90"/>
      <c r="J1961" s="90"/>
      <c r="K1961" s="90"/>
      <c r="L1961" s="90"/>
      <c r="M1961" s="90"/>
      <c r="N1961" s="90"/>
      <c r="O1961" s="90"/>
      <c r="P1961" s="90"/>
    </row>
    <row r="1962" spans="1:16" ht="13.2">
      <c r="A1962" s="90"/>
      <c r="B1962" s="92"/>
      <c r="C1962" s="90"/>
      <c r="D1962" s="90"/>
      <c r="E1962" s="90"/>
      <c r="F1962" s="90"/>
      <c r="G1962" s="90"/>
      <c r="H1962" s="90"/>
      <c r="I1962" s="90"/>
      <c r="J1962" s="90"/>
      <c r="K1962" s="90"/>
      <c r="L1962" s="90"/>
      <c r="M1962" s="90"/>
      <c r="N1962" s="90"/>
      <c r="O1962" s="90"/>
      <c r="P1962" s="90"/>
    </row>
    <row r="1963" spans="1:16" ht="13.2">
      <c r="A1963" s="90"/>
      <c r="B1963" s="92"/>
      <c r="C1963" s="90"/>
      <c r="D1963" s="90"/>
      <c r="E1963" s="90"/>
      <c r="F1963" s="90"/>
      <c r="G1963" s="90"/>
      <c r="H1963" s="90"/>
      <c r="I1963" s="90"/>
      <c r="J1963" s="90"/>
      <c r="K1963" s="90"/>
      <c r="L1963" s="90"/>
      <c r="M1963" s="90"/>
      <c r="N1963" s="90"/>
      <c r="O1963" s="90"/>
      <c r="P1963" s="90"/>
    </row>
    <row r="1964" spans="1:16" ht="13.2">
      <c r="A1964" s="90"/>
      <c r="B1964" s="92"/>
      <c r="C1964" s="90"/>
      <c r="D1964" s="90"/>
      <c r="E1964" s="90"/>
      <c r="F1964" s="90"/>
      <c r="G1964" s="90"/>
      <c r="H1964" s="90"/>
      <c r="I1964" s="90"/>
      <c r="J1964" s="90"/>
      <c r="K1964" s="90"/>
      <c r="L1964" s="90"/>
      <c r="M1964" s="90"/>
      <c r="N1964" s="90"/>
      <c r="O1964" s="90"/>
      <c r="P1964" s="90"/>
    </row>
    <row r="1965" spans="1:16" ht="13.2">
      <c r="A1965" s="90"/>
      <c r="B1965" s="92"/>
      <c r="C1965" s="90"/>
      <c r="D1965" s="90"/>
      <c r="E1965" s="90"/>
      <c r="F1965" s="90"/>
      <c r="G1965" s="90"/>
      <c r="H1965" s="90"/>
      <c r="I1965" s="90"/>
      <c r="J1965" s="90"/>
      <c r="K1965" s="90"/>
      <c r="L1965" s="90"/>
      <c r="M1965" s="90"/>
      <c r="N1965" s="90"/>
      <c r="O1965" s="90"/>
      <c r="P1965" s="90"/>
    </row>
    <row r="1966" spans="1:16" ht="13.2">
      <c r="A1966" s="90"/>
      <c r="B1966" s="92"/>
      <c r="C1966" s="90"/>
      <c r="D1966" s="90"/>
      <c r="E1966" s="90"/>
      <c r="F1966" s="90"/>
      <c r="G1966" s="90"/>
      <c r="H1966" s="90"/>
      <c r="I1966" s="90"/>
      <c r="J1966" s="90"/>
      <c r="K1966" s="90"/>
      <c r="L1966" s="90"/>
      <c r="M1966" s="90"/>
      <c r="N1966" s="90"/>
      <c r="O1966" s="90"/>
      <c r="P1966" s="90"/>
    </row>
    <row r="1967" spans="1:16" ht="13.2">
      <c r="A1967" s="90"/>
      <c r="B1967" s="92"/>
      <c r="C1967" s="90"/>
      <c r="D1967" s="90"/>
      <c r="E1967" s="90"/>
      <c r="F1967" s="90"/>
      <c r="G1967" s="90"/>
      <c r="H1967" s="90"/>
      <c r="I1967" s="90"/>
      <c r="J1967" s="90"/>
      <c r="K1967" s="90"/>
      <c r="L1967" s="90"/>
      <c r="M1967" s="90"/>
      <c r="N1967" s="90"/>
      <c r="O1967" s="90"/>
      <c r="P1967" s="90"/>
    </row>
    <row r="1968" spans="1:16" ht="13.2">
      <c r="A1968" s="90"/>
      <c r="B1968" s="92"/>
      <c r="C1968" s="90"/>
      <c r="D1968" s="90"/>
      <c r="E1968" s="90"/>
      <c r="F1968" s="90"/>
      <c r="G1968" s="90"/>
      <c r="H1968" s="90"/>
      <c r="I1968" s="90"/>
      <c r="J1968" s="90"/>
      <c r="K1968" s="90"/>
      <c r="L1968" s="90"/>
      <c r="M1968" s="90"/>
      <c r="N1968" s="90"/>
      <c r="O1968" s="90"/>
      <c r="P1968" s="90"/>
    </row>
    <row r="1969" spans="1:16" ht="13.2">
      <c r="A1969" s="90"/>
      <c r="B1969" s="92"/>
      <c r="C1969" s="90"/>
      <c r="D1969" s="90"/>
      <c r="E1969" s="90"/>
      <c r="F1969" s="90"/>
      <c r="G1969" s="90"/>
      <c r="H1969" s="90"/>
      <c r="I1969" s="90"/>
      <c r="J1969" s="90"/>
      <c r="K1969" s="90"/>
      <c r="L1969" s="90"/>
      <c r="M1969" s="90"/>
      <c r="N1969" s="90"/>
      <c r="O1969" s="90"/>
      <c r="P1969" s="90"/>
    </row>
    <row r="1970" spans="1:16" ht="13.2">
      <c r="A1970" s="90"/>
      <c r="B1970" s="92"/>
      <c r="C1970" s="90"/>
      <c r="D1970" s="90"/>
      <c r="E1970" s="90"/>
      <c r="F1970" s="90"/>
      <c r="G1970" s="90"/>
      <c r="H1970" s="90"/>
      <c r="I1970" s="90"/>
      <c r="J1970" s="90"/>
      <c r="K1970" s="90"/>
      <c r="L1970" s="90"/>
      <c r="M1970" s="90"/>
      <c r="N1970" s="90"/>
      <c r="O1970" s="90"/>
      <c r="P1970" s="90"/>
    </row>
    <row r="1971" spans="1:16" ht="13.2">
      <c r="A1971" s="90"/>
      <c r="B1971" s="92"/>
      <c r="C1971" s="90"/>
      <c r="D1971" s="90"/>
      <c r="E1971" s="90"/>
      <c r="F1971" s="90"/>
      <c r="G1971" s="90"/>
      <c r="H1971" s="90"/>
      <c r="I1971" s="90"/>
      <c r="J1971" s="90"/>
      <c r="K1971" s="90"/>
      <c r="L1971" s="90"/>
      <c r="M1971" s="90"/>
      <c r="N1971" s="90"/>
      <c r="O1971" s="90"/>
      <c r="P1971" s="90"/>
    </row>
    <row r="1972" spans="1:16" ht="13.2">
      <c r="A1972" s="90"/>
      <c r="B1972" s="92"/>
      <c r="C1972" s="90"/>
      <c r="D1972" s="90"/>
      <c r="E1972" s="90"/>
      <c r="F1972" s="90"/>
      <c r="G1972" s="90"/>
      <c r="H1972" s="90"/>
      <c r="I1972" s="90"/>
      <c r="J1972" s="90"/>
      <c r="K1972" s="90"/>
      <c r="L1972" s="90"/>
      <c r="M1972" s="90"/>
      <c r="N1972" s="90"/>
      <c r="O1972" s="90"/>
      <c r="P1972" s="90"/>
    </row>
    <row r="1973" spans="1:16" ht="13.2">
      <c r="A1973" s="90"/>
      <c r="B1973" s="92"/>
      <c r="C1973" s="90"/>
      <c r="D1973" s="90"/>
      <c r="E1973" s="90"/>
      <c r="F1973" s="90"/>
      <c r="G1973" s="90"/>
      <c r="H1973" s="90"/>
      <c r="I1973" s="90"/>
      <c r="J1973" s="90"/>
      <c r="K1973" s="90"/>
      <c r="L1973" s="90"/>
      <c r="M1973" s="90"/>
      <c r="N1973" s="90"/>
      <c r="O1973" s="90"/>
      <c r="P1973" s="90"/>
    </row>
    <row r="1974" spans="1:16" ht="13.2">
      <c r="A1974" s="90"/>
      <c r="B1974" s="92"/>
      <c r="C1974" s="90"/>
      <c r="D1974" s="90"/>
      <c r="E1974" s="90"/>
      <c r="F1974" s="90"/>
      <c r="G1974" s="90"/>
      <c r="H1974" s="90"/>
      <c r="I1974" s="90"/>
      <c r="J1974" s="90"/>
      <c r="K1974" s="90"/>
      <c r="L1974" s="90"/>
      <c r="M1974" s="90"/>
      <c r="N1974" s="90"/>
      <c r="O1974" s="90"/>
      <c r="P1974" s="90"/>
    </row>
    <row r="1975" spans="1:16" ht="13.2">
      <c r="A1975" s="90"/>
      <c r="B1975" s="92"/>
      <c r="C1975" s="90"/>
      <c r="D1975" s="90"/>
      <c r="E1975" s="90"/>
      <c r="F1975" s="90"/>
      <c r="G1975" s="90"/>
      <c r="H1975" s="90"/>
      <c r="I1975" s="90"/>
      <c r="J1975" s="90"/>
      <c r="K1975" s="90"/>
      <c r="L1975" s="90"/>
      <c r="M1975" s="90"/>
      <c r="N1975" s="90"/>
      <c r="O1975" s="90"/>
      <c r="P1975" s="90"/>
    </row>
    <row r="1976" spans="1:16" ht="13.2">
      <c r="A1976" s="90"/>
      <c r="B1976" s="92"/>
      <c r="C1976" s="90"/>
      <c r="D1976" s="90"/>
      <c r="E1976" s="90"/>
      <c r="F1976" s="90"/>
      <c r="G1976" s="90"/>
      <c r="H1976" s="90"/>
      <c r="I1976" s="90"/>
      <c r="J1976" s="90"/>
      <c r="K1976" s="90"/>
      <c r="L1976" s="90"/>
      <c r="M1976" s="90"/>
      <c r="N1976" s="90"/>
      <c r="O1976" s="90"/>
      <c r="P1976" s="90"/>
    </row>
    <row r="1977" spans="1:16" ht="13.2">
      <c r="A1977" s="90"/>
      <c r="B1977" s="92"/>
      <c r="C1977" s="90"/>
      <c r="D1977" s="90"/>
      <c r="E1977" s="90"/>
      <c r="F1977" s="90"/>
      <c r="G1977" s="90"/>
      <c r="H1977" s="90"/>
      <c r="I1977" s="90"/>
      <c r="J1977" s="90"/>
      <c r="K1977" s="90"/>
      <c r="L1977" s="90"/>
      <c r="M1977" s="90"/>
      <c r="N1977" s="90"/>
      <c r="O1977" s="90"/>
      <c r="P1977" s="90"/>
    </row>
    <row r="1978" spans="1:16" ht="13.2">
      <c r="A1978" s="90"/>
      <c r="B1978" s="92"/>
      <c r="C1978" s="90"/>
      <c r="D1978" s="90"/>
      <c r="E1978" s="90"/>
      <c r="F1978" s="90"/>
      <c r="G1978" s="90"/>
      <c r="H1978" s="90"/>
      <c r="I1978" s="90"/>
      <c r="J1978" s="90"/>
      <c r="K1978" s="90"/>
      <c r="L1978" s="90"/>
      <c r="M1978" s="90"/>
      <c r="N1978" s="90"/>
      <c r="O1978" s="90"/>
      <c r="P1978" s="90"/>
    </row>
    <row r="1979" spans="1:16" ht="13.2">
      <c r="A1979" s="90"/>
      <c r="B1979" s="92"/>
      <c r="C1979" s="90"/>
      <c r="D1979" s="90"/>
      <c r="E1979" s="90"/>
      <c r="F1979" s="90"/>
      <c r="G1979" s="90"/>
      <c r="H1979" s="90"/>
      <c r="I1979" s="90"/>
      <c r="J1979" s="90"/>
      <c r="K1979" s="90"/>
      <c r="L1979" s="90"/>
      <c r="M1979" s="90"/>
      <c r="N1979" s="90"/>
      <c r="O1979" s="90"/>
      <c r="P1979" s="90"/>
    </row>
    <row r="1980" spans="1:16" ht="13.2">
      <c r="A1980" s="90"/>
      <c r="B1980" s="92"/>
      <c r="C1980" s="90"/>
      <c r="D1980" s="90"/>
      <c r="E1980" s="90"/>
      <c r="F1980" s="90"/>
      <c r="G1980" s="90"/>
      <c r="H1980" s="90"/>
      <c r="I1980" s="90"/>
      <c r="J1980" s="90"/>
      <c r="K1980" s="90"/>
      <c r="L1980" s="90"/>
      <c r="M1980" s="90"/>
      <c r="N1980" s="90"/>
      <c r="O1980" s="90"/>
      <c r="P1980" s="90"/>
    </row>
    <row r="1981" spans="1:16" ht="13.2">
      <c r="A1981" s="90"/>
      <c r="B1981" s="92"/>
      <c r="C1981" s="90"/>
      <c r="D1981" s="90"/>
      <c r="E1981" s="90"/>
      <c r="F1981" s="90"/>
      <c r="G1981" s="90"/>
      <c r="H1981" s="90"/>
      <c r="I1981" s="90"/>
      <c r="J1981" s="90"/>
      <c r="K1981" s="90"/>
      <c r="L1981" s="90"/>
      <c r="M1981" s="90"/>
      <c r="N1981" s="90"/>
      <c r="O1981" s="90"/>
      <c r="P1981" s="90"/>
    </row>
    <row r="1982" spans="1:16" ht="13.2">
      <c r="A1982" s="90"/>
      <c r="B1982" s="92"/>
      <c r="C1982" s="90"/>
      <c r="D1982" s="90"/>
      <c r="E1982" s="90"/>
      <c r="F1982" s="90"/>
      <c r="G1982" s="90"/>
      <c r="H1982" s="90"/>
      <c r="I1982" s="90"/>
      <c r="J1982" s="90"/>
      <c r="K1982" s="90"/>
      <c r="L1982" s="90"/>
      <c r="M1982" s="90"/>
      <c r="N1982" s="90"/>
      <c r="O1982" s="90"/>
      <c r="P1982" s="90"/>
    </row>
    <row r="1983" spans="1:16" ht="13.2">
      <c r="A1983" s="90"/>
      <c r="B1983" s="92"/>
      <c r="C1983" s="90"/>
      <c r="D1983" s="90"/>
      <c r="E1983" s="90"/>
      <c r="F1983" s="90"/>
      <c r="G1983" s="90"/>
      <c r="H1983" s="90"/>
      <c r="I1983" s="90"/>
      <c r="J1983" s="90"/>
      <c r="K1983" s="90"/>
      <c r="L1983" s="90"/>
      <c r="M1983" s="90"/>
      <c r="N1983" s="90"/>
      <c r="O1983" s="90"/>
      <c r="P1983" s="90"/>
    </row>
    <row r="1984" spans="1:16" ht="13.2">
      <c r="A1984" s="90"/>
      <c r="B1984" s="92"/>
      <c r="C1984" s="90"/>
      <c r="D1984" s="90"/>
      <c r="E1984" s="90"/>
      <c r="F1984" s="90"/>
      <c r="G1984" s="90"/>
      <c r="H1984" s="90"/>
      <c r="I1984" s="90"/>
      <c r="J1984" s="90"/>
      <c r="K1984" s="90"/>
      <c r="L1984" s="90"/>
      <c r="M1984" s="90"/>
      <c r="N1984" s="90"/>
      <c r="O1984" s="90"/>
      <c r="P1984" s="90"/>
    </row>
    <row r="1985" spans="1:16" ht="13.2">
      <c r="A1985" s="90"/>
      <c r="B1985" s="92"/>
      <c r="C1985" s="90"/>
      <c r="D1985" s="90"/>
      <c r="E1985" s="90"/>
      <c r="F1985" s="90"/>
      <c r="G1985" s="90"/>
      <c r="H1985" s="90"/>
      <c r="I1985" s="90"/>
      <c r="J1985" s="90"/>
      <c r="K1985" s="90"/>
      <c r="L1985" s="90"/>
      <c r="M1985" s="90"/>
      <c r="N1985" s="90"/>
      <c r="O1985" s="90"/>
      <c r="P1985" s="90"/>
    </row>
    <row r="1986" spans="1:16" ht="13.2">
      <c r="A1986" s="90"/>
      <c r="B1986" s="92"/>
      <c r="C1986" s="90"/>
      <c r="D1986" s="90"/>
      <c r="E1986" s="90"/>
      <c r="F1986" s="90"/>
      <c r="G1986" s="90"/>
      <c r="H1986" s="90"/>
      <c r="I1986" s="90"/>
      <c r="J1986" s="90"/>
      <c r="K1986" s="90"/>
      <c r="L1986" s="90"/>
      <c r="M1986" s="90"/>
      <c r="N1986" s="90"/>
      <c r="O1986" s="90"/>
      <c r="P1986" s="90"/>
    </row>
    <row r="1987" spans="1:16" ht="13.2">
      <c r="A1987" s="90"/>
      <c r="B1987" s="92"/>
      <c r="C1987" s="90"/>
      <c r="D1987" s="90"/>
      <c r="E1987" s="90"/>
      <c r="F1987" s="90"/>
      <c r="G1987" s="90"/>
      <c r="H1987" s="90"/>
      <c r="I1987" s="90"/>
      <c r="J1987" s="90"/>
      <c r="K1987" s="90"/>
      <c r="L1987" s="90"/>
      <c r="M1987" s="90"/>
      <c r="N1987" s="90"/>
      <c r="O1987" s="90"/>
      <c r="P1987" s="90"/>
    </row>
    <row r="1988" spans="1:16" ht="13.2">
      <c r="A1988" s="90"/>
      <c r="B1988" s="92"/>
      <c r="C1988" s="90"/>
      <c r="D1988" s="90"/>
      <c r="E1988" s="90"/>
      <c r="F1988" s="90"/>
      <c r="G1988" s="90"/>
      <c r="H1988" s="90"/>
      <c r="I1988" s="90"/>
      <c r="J1988" s="90"/>
      <c r="K1988" s="90"/>
      <c r="L1988" s="90"/>
      <c r="M1988" s="90"/>
      <c r="N1988" s="90"/>
      <c r="O1988" s="90"/>
      <c r="P1988" s="90"/>
    </row>
    <row r="1989" spans="1:16" ht="13.2">
      <c r="A1989" s="90"/>
      <c r="B1989" s="92"/>
      <c r="C1989" s="90"/>
      <c r="D1989" s="90"/>
      <c r="E1989" s="90"/>
      <c r="F1989" s="90"/>
      <c r="G1989" s="90"/>
      <c r="H1989" s="90"/>
      <c r="I1989" s="90"/>
      <c r="J1989" s="90"/>
      <c r="K1989" s="90"/>
      <c r="L1989" s="90"/>
      <c r="M1989" s="90"/>
      <c r="N1989" s="90"/>
      <c r="O1989" s="90"/>
      <c r="P1989" s="90"/>
    </row>
    <row r="1990" spans="1:16" ht="13.2">
      <c r="A1990" s="90"/>
      <c r="B1990" s="92"/>
      <c r="C1990" s="90"/>
      <c r="D1990" s="90"/>
      <c r="E1990" s="90"/>
      <c r="F1990" s="90"/>
      <c r="G1990" s="90"/>
      <c r="H1990" s="90"/>
      <c r="I1990" s="90"/>
      <c r="J1990" s="90"/>
      <c r="K1990" s="90"/>
      <c r="L1990" s="90"/>
      <c r="M1990" s="90"/>
      <c r="N1990" s="90"/>
      <c r="O1990" s="90"/>
      <c r="P1990" s="90"/>
    </row>
    <row r="1991" spans="1:16" ht="13.2">
      <c r="A1991" s="90"/>
      <c r="B1991" s="92"/>
      <c r="C1991" s="90"/>
      <c r="D1991" s="90"/>
      <c r="E1991" s="90"/>
      <c r="F1991" s="90"/>
      <c r="G1991" s="90"/>
      <c r="H1991" s="90"/>
      <c r="I1991" s="90"/>
      <c r="J1991" s="90"/>
      <c r="K1991" s="90"/>
      <c r="L1991" s="90"/>
      <c r="M1991" s="90"/>
      <c r="N1991" s="90"/>
      <c r="O1991" s="90"/>
      <c r="P1991" s="90"/>
    </row>
    <row r="1992" spans="1:16" ht="13.2">
      <c r="A1992" s="90"/>
      <c r="B1992" s="92"/>
      <c r="C1992" s="90"/>
      <c r="D1992" s="90"/>
      <c r="E1992" s="90"/>
      <c r="F1992" s="90"/>
      <c r="G1992" s="90"/>
      <c r="H1992" s="90"/>
      <c r="I1992" s="90"/>
      <c r="J1992" s="90"/>
      <c r="K1992" s="90"/>
      <c r="L1992" s="90"/>
      <c r="M1992" s="90"/>
      <c r="N1992" s="90"/>
      <c r="O1992" s="90"/>
      <c r="P1992" s="90"/>
    </row>
    <row r="1993" spans="1:16" ht="13.2">
      <c r="A1993" s="90"/>
      <c r="B1993" s="92"/>
      <c r="C1993" s="90"/>
      <c r="D1993" s="90"/>
      <c r="E1993" s="90"/>
      <c r="F1993" s="90"/>
      <c r="G1993" s="90"/>
      <c r="H1993" s="90"/>
      <c r="I1993" s="90"/>
      <c r="J1993" s="90"/>
      <c r="K1993" s="90"/>
      <c r="L1993" s="90"/>
      <c r="M1993" s="90"/>
      <c r="N1993" s="90"/>
      <c r="O1993" s="90"/>
      <c r="P1993" s="90"/>
    </row>
    <row r="1994" spans="1:16" ht="13.2">
      <c r="A1994" s="90"/>
      <c r="B1994" s="92"/>
      <c r="C1994" s="90"/>
      <c r="D1994" s="90"/>
      <c r="E1994" s="90"/>
      <c r="F1994" s="90"/>
      <c r="G1994" s="90"/>
      <c r="H1994" s="90"/>
      <c r="I1994" s="90"/>
      <c r="J1994" s="90"/>
      <c r="K1994" s="90"/>
      <c r="L1994" s="90"/>
      <c r="M1994" s="90"/>
      <c r="N1994" s="90"/>
      <c r="O1994" s="90"/>
      <c r="P1994" s="90"/>
    </row>
    <row r="1995" spans="1:16" ht="13.2">
      <c r="A1995" s="90"/>
      <c r="B1995" s="92"/>
      <c r="C1995" s="90"/>
      <c r="D1995" s="90"/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</row>
    <row r="1996" spans="1:16" ht="13.2">
      <c r="A1996" s="90"/>
      <c r="B1996" s="92"/>
      <c r="C1996" s="90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</row>
    <row r="1997" spans="1:16" ht="13.2">
      <c r="A1997" s="90"/>
      <c r="B1997" s="92"/>
      <c r="C1997" s="90"/>
      <c r="D1997" s="90"/>
      <c r="E1997" s="90"/>
      <c r="F1997" s="90"/>
      <c r="G1997" s="90"/>
      <c r="H1997" s="90"/>
      <c r="I1997" s="90"/>
      <c r="J1997" s="90"/>
      <c r="K1997" s="90"/>
      <c r="L1997" s="90"/>
      <c r="M1997" s="90"/>
      <c r="N1997" s="90"/>
      <c r="O1997" s="90"/>
      <c r="P1997" s="90"/>
    </row>
    <row r="1998" spans="1:16" ht="13.2">
      <c r="A1998" s="90"/>
      <c r="B1998" s="92"/>
      <c r="C1998" s="90"/>
      <c r="D1998" s="90"/>
      <c r="E1998" s="90"/>
      <c r="F1998" s="90"/>
      <c r="G1998" s="90"/>
      <c r="H1998" s="90"/>
      <c r="I1998" s="90"/>
      <c r="J1998" s="90"/>
      <c r="K1998" s="90"/>
      <c r="L1998" s="90"/>
      <c r="M1998" s="90"/>
      <c r="N1998" s="90"/>
      <c r="O1998" s="90"/>
      <c r="P1998" s="90"/>
    </row>
    <row r="1999" spans="1:16" ht="13.2">
      <c r="A1999" s="90"/>
      <c r="B1999" s="92"/>
      <c r="C1999" s="90"/>
      <c r="D1999" s="90"/>
      <c r="E1999" s="90"/>
      <c r="F1999" s="90"/>
      <c r="G1999" s="90"/>
      <c r="H1999" s="90"/>
      <c r="I1999" s="90"/>
      <c r="J1999" s="90"/>
      <c r="K1999" s="90"/>
      <c r="L1999" s="90"/>
      <c r="M1999" s="90"/>
      <c r="N1999" s="90"/>
      <c r="O1999" s="90"/>
      <c r="P1999" s="90"/>
    </row>
    <row r="2000" spans="1:16" ht="13.2">
      <c r="A2000" s="90"/>
      <c r="B2000" s="92"/>
      <c r="C2000" s="90"/>
      <c r="D2000" s="90"/>
      <c r="E2000" s="90"/>
      <c r="F2000" s="90"/>
      <c r="G2000" s="90"/>
      <c r="H2000" s="90"/>
      <c r="I2000" s="90"/>
      <c r="J2000" s="90"/>
      <c r="K2000" s="90"/>
      <c r="L2000" s="90"/>
      <c r="M2000" s="90"/>
      <c r="N2000" s="90"/>
      <c r="O2000" s="90"/>
      <c r="P2000" s="90"/>
    </row>
    <row r="2001" spans="1:16" ht="13.2">
      <c r="A2001" s="90"/>
      <c r="B2001" s="92"/>
      <c r="C2001" s="90"/>
      <c r="D2001" s="90"/>
      <c r="E2001" s="90"/>
      <c r="F2001" s="90"/>
      <c r="G2001" s="90"/>
      <c r="H2001" s="90"/>
      <c r="I2001" s="90"/>
      <c r="J2001" s="90"/>
      <c r="K2001" s="90"/>
      <c r="L2001" s="90"/>
      <c r="M2001" s="90"/>
      <c r="N2001" s="90"/>
      <c r="O2001" s="90"/>
      <c r="P2001" s="90"/>
    </row>
    <row r="2002" spans="1:16" ht="13.2">
      <c r="A2002" s="90"/>
      <c r="B2002" s="92"/>
      <c r="C2002" s="90"/>
      <c r="D2002" s="90"/>
      <c r="E2002" s="90"/>
      <c r="F2002" s="90"/>
      <c r="G2002" s="90"/>
      <c r="H2002" s="90"/>
      <c r="I2002" s="90"/>
      <c r="J2002" s="90"/>
      <c r="K2002" s="90"/>
      <c r="L2002" s="90"/>
      <c r="M2002" s="90"/>
      <c r="N2002" s="90"/>
      <c r="O2002" s="90"/>
      <c r="P2002" s="90"/>
    </row>
    <row r="2003" spans="1:16" ht="13.2">
      <c r="A2003" s="90"/>
      <c r="B2003" s="92"/>
      <c r="C2003" s="90"/>
      <c r="D2003" s="90"/>
      <c r="E2003" s="90"/>
      <c r="F2003" s="90"/>
      <c r="G2003" s="90"/>
      <c r="H2003" s="90"/>
      <c r="I2003" s="90"/>
      <c r="J2003" s="90"/>
      <c r="K2003" s="90"/>
      <c r="L2003" s="90"/>
      <c r="M2003" s="90"/>
      <c r="N2003" s="90"/>
      <c r="O2003" s="90"/>
      <c r="P2003" s="90"/>
    </row>
    <row r="2004" spans="1:16" ht="13.2">
      <c r="A2004" s="90"/>
      <c r="B2004" s="92"/>
      <c r="C2004" s="90"/>
      <c r="D2004" s="90"/>
      <c r="E2004" s="90"/>
      <c r="F2004" s="90"/>
      <c r="G2004" s="90"/>
      <c r="H2004" s="90"/>
      <c r="I2004" s="90"/>
      <c r="J2004" s="90"/>
      <c r="K2004" s="90"/>
      <c r="L2004" s="90"/>
      <c r="M2004" s="90"/>
      <c r="N2004" s="90"/>
      <c r="O2004" s="90"/>
      <c r="P2004" s="90"/>
    </row>
    <row r="2005" spans="1:16" ht="13.2">
      <c r="A2005" s="90"/>
      <c r="B2005" s="92"/>
      <c r="C2005" s="90"/>
      <c r="D2005" s="90"/>
      <c r="E2005" s="90"/>
      <c r="F2005" s="90"/>
      <c r="G2005" s="90"/>
      <c r="H2005" s="90"/>
      <c r="I2005" s="90"/>
      <c r="J2005" s="90"/>
      <c r="K2005" s="90"/>
      <c r="L2005" s="90"/>
      <c r="M2005" s="90"/>
      <c r="N2005" s="90"/>
      <c r="O2005" s="90"/>
      <c r="P2005" s="90"/>
    </row>
    <row r="2006" spans="1:16" ht="13.2">
      <c r="A2006" s="90"/>
      <c r="B2006" s="92"/>
      <c r="C2006" s="90"/>
      <c r="D2006" s="90"/>
      <c r="E2006" s="90"/>
      <c r="F2006" s="90"/>
      <c r="G2006" s="90"/>
      <c r="H2006" s="90"/>
      <c r="I2006" s="90"/>
      <c r="J2006" s="90"/>
      <c r="K2006" s="90"/>
      <c r="L2006" s="90"/>
      <c r="M2006" s="90"/>
      <c r="N2006" s="90"/>
      <c r="O2006" s="90"/>
      <c r="P2006" s="90"/>
    </row>
    <row r="2007" spans="1:16" ht="13.2">
      <c r="A2007" s="90"/>
      <c r="B2007" s="92"/>
      <c r="C2007" s="90"/>
      <c r="D2007" s="90"/>
      <c r="E2007" s="90"/>
      <c r="F2007" s="90"/>
      <c r="G2007" s="90"/>
      <c r="H2007" s="90"/>
      <c r="I2007" s="90"/>
      <c r="J2007" s="90"/>
      <c r="K2007" s="90"/>
      <c r="L2007" s="90"/>
      <c r="M2007" s="90"/>
      <c r="N2007" s="90"/>
      <c r="O2007" s="90"/>
      <c r="P2007" s="90"/>
    </row>
    <row r="2008" spans="1:16" ht="13.2">
      <c r="A2008" s="90"/>
      <c r="B2008" s="92"/>
      <c r="C2008" s="90"/>
      <c r="D2008" s="90"/>
      <c r="E2008" s="90"/>
      <c r="F2008" s="90"/>
      <c r="G2008" s="90"/>
      <c r="H2008" s="90"/>
      <c r="I2008" s="90"/>
      <c r="J2008" s="90"/>
      <c r="K2008" s="90"/>
      <c r="L2008" s="90"/>
      <c r="M2008" s="90"/>
      <c r="N2008" s="90"/>
      <c r="O2008" s="90"/>
      <c r="P2008" s="90"/>
    </row>
    <row r="2009" spans="1:16" ht="13.2">
      <c r="A2009" s="90"/>
      <c r="B2009" s="92"/>
      <c r="C2009" s="90"/>
      <c r="D2009" s="90"/>
      <c r="E2009" s="90"/>
      <c r="F2009" s="90"/>
      <c r="G2009" s="90"/>
      <c r="H2009" s="90"/>
      <c r="I2009" s="90"/>
      <c r="J2009" s="90"/>
      <c r="K2009" s="90"/>
      <c r="L2009" s="90"/>
      <c r="M2009" s="90"/>
      <c r="N2009" s="90"/>
      <c r="O2009" s="90"/>
      <c r="P2009" s="90"/>
    </row>
    <row r="2010" spans="1:16" ht="13.2">
      <c r="A2010" s="90"/>
      <c r="B2010" s="92"/>
      <c r="C2010" s="90"/>
      <c r="D2010" s="90"/>
      <c r="E2010" s="90"/>
      <c r="F2010" s="90"/>
      <c r="G2010" s="90"/>
      <c r="H2010" s="90"/>
      <c r="I2010" s="90"/>
      <c r="J2010" s="90"/>
      <c r="K2010" s="90"/>
      <c r="L2010" s="90"/>
      <c r="M2010" s="90"/>
      <c r="N2010" s="90"/>
      <c r="O2010" s="90"/>
      <c r="P2010" s="90"/>
    </row>
    <row r="2011" spans="1:16" ht="13.2">
      <c r="A2011" s="90"/>
      <c r="B2011" s="92"/>
      <c r="C2011" s="90"/>
      <c r="D2011" s="90"/>
      <c r="E2011" s="90"/>
      <c r="F2011" s="90"/>
      <c r="G2011" s="90"/>
      <c r="H2011" s="90"/>
      <c r="I2011" s="90"/>
      <c r="J2011" s="90"/>
      <c r="K2011" s="90"/>
      <c r="L2011" s="90"/>
      <c r="M2011" s="90"/>
      <c r="N2011" s="90"/>
      <c r="O2011" s="90"/>
      <c r="P2011" s="90"/>
    </row>
    <row r="2012" spans="1:16" ht="13.2">
      <c r="A2012" s="90"/>
      <c r="B2012" s="92"/>
      <c r="C2012" s="90"/>
      <c r="D2012" s="90"/>
      <c r="E2012" s="90"/>
      <c r="F2012" s="90"/>
      <c r="G2012" s="90"/>
      <c r="H2012" s="90"/>
      <c r="I2012" s="90"/>
      <c r="J2012" s="90"/>
      <c r="K2012" s="90"/>
      <c r="L2012" s="90"/>
      <c r="M2012" s="90"/>
      <c r="N2012" s="90"/>
      <c r="O2012" s="90"/>
      <c r="P2012" s="90"/>
    </row>
    <row r="2013" spans="1:16" ht="13.2">
      <c r="A2013" s="90"/>
      <c r="B2013" s="92"/>
      <c r="C2013" s="90"/>
      <c r="D2013" s="90"/>
      <c r="E2013" s="90"/>
      <c r="F2013" s="90"/>
      <c r="G2013" s="90"/>
      <c r="H2013" s="90"/>
      <c r="I2013" s="90"/>
      <c r="J2013" s="90"/>
      <c r="K2013" s="90"/>
      <c r="L2013" s="90"/>
      <c r="M2013" s="90"/>
      <c r="N2013" s="90"/>
      <c r="O2013" s="90"/>
      <c r="P2013" s="90"/>
    </row>
    <row r="2014" spans="1:16" ht="13.2">
      <c r="A2014" s="90"/>
      <c r="B2014" s="92"/>
      <c r="C2014" s="90"/>
      <c r="D2014" s="90"/>
      <c r="E2014" s="90"/>
      <c r="F2014" s="90"/>
      <c r="G2014" s="90"/>
      <c r="H2014" s="90"/>
      <c r="I2014" s="90"/>
      <c r="J2014" s="90"/>
      <c r="K2014" s="90"/>
      <c r="L2014" s="90"/>
      <c r="M2014" s="90"/>
      <c r="N2014" s="90"/>
      <c r="O2014" s="90"/>
      <c r="P2014" s="90"/>
    </row>
    <row r="2015" spans="1:16" ht="13.2">
      <c r="A2015" s="90"/>
      <c r="B2015" s="92"/>
      <c r="C2015" s="90"/>
      <c r="D2015" s="90"/>
      <c r="E2015" s="90"/>
      <c r="F2015" s="90"/>
      <c r="G2015" s="90"/>
      <c r="H2015" s="90"/>
      <c r="I2015" s="90"/>
      <c r="J2015" s="90"/>
      <c r="K2015" s="90"/>
      <c r="L2015" s="90"/>
      <c r="M2015" s="90"/>
      <c r="N2015" s="90"/>
      <c r="O2015" s="90"/>
      <c r="P2015" s="90"/>
    </row>
    <row r="2016" spans="1:16" ht="13.2">
      <c r="A2016" s="90"/>
      <c r="B2016" s="92"/>
      <c r="C2016" s="90"/>
      <c r="D2016" s="90"/>
      <c r="E2016" s="90"/>
      <c r="F2016" s="90"/>
      <c r="G2016" s="90"/>
      <c r="H2016" s="90"/>
      <c r="I2016" s="90"/>
      <c r="J2016" s="90"/>
      <c r="K2016" s="90"/>
      <c r="L2016" s="90"/>
      <c r="M2016" s="90"/>
      <c r="N2016" s="90"/>
      <c r="O2016" s="90"/>
      <c r="P2016" s="90"/>
    </row>
    <row r="2017" spans="1:16" ht="13.2">
      <c r="A2017" s="90"/>
      <c r="B2017" s="92"/>
      <c r="C2017" s="90"/>
      <c r="D2017" s="90"/>
      <c r="E2017" s="90"/>
      <c r="F2017" s="90"/>
      <c r="G2017" s="90"/>
      <c r="H2017" s="90"/>
      <c r="I2017" s="90"/>
      <c r="J2017" s="90"/>
      <c r="K2017" s="90"/>
      <c r="L2017" s="90"/>
      <c r="M2017" s="90"/>
      <c r="N2017" s="90"/>
      <c r="O2017" s="90"/>
      <c r="P2017" s="90"/>
    </row>
    <row r="2018" spans="1:16" ht="13.2">
      <c r="A2018" s="90"/>
      <c r="B2018" s="92"/>
      <c r="C2018" s="90"/>
      <c r="D2018" s="90"/>
      <c r="E2018" s="90"/>
      <c r="F2018" s="90"/>
      <c r="G2018" s="90"/>
      <c r="H2018" s="90"/>
      <c r="I2018" s="90"/>
      <c r="J2018" s="90"/>
      <c r="K2018" s="90"/>
      <c r="L2018" s="90"/>
      <c r="M2018" s="90"/>
      <c r="N2018" s="90"/>
      <c r="O2018" s="90"/>
      <c r="P2018" s="90"/>
    </row>
    <row r="2019" spans="1:16" ht="13.2">
      <c r="A2019" s="90"/>
      <c r="B2019" s="92"/>
      <c r="C2019" s="90"/>
      <c r="D2019" s="90"/>
      <c r="E2019" s="90"/>
      <c r="F2019" s="90"/>
      <c r="G2019" s="90"/>
      <c r="H2019" s="90"/>
      <c r="I2019" s="90"/>
      <c r="J2019" s="90"/>
      <c r="K2019" s="90"/>
      <c r="L2019" s="90"/>
      <c r="M2019" s="90"/>
      <c r="N2019" s="90"/>
      <c r="O2019" s="90"/>
      <c r="P2019" s="90"/>
    </row>
    <row r="2020" spans="1:16" ht="13.2">
      <c r="A2020" s="90"/>
      <c r="B2020" s="92"/>
      <c r="C2020" s="90"/>
      <c r="D2020" s="90"/>
      <c r="E2020" s="90"/>
      <c r="F2020" s="90"/>
      <c r="G2020" s="90"/>
      <c r="H2020" s="90"/>
      <c r="I2020" s="90"/>
      <c r="J2020" s="90"/>
      <c r="K2020" s="90"/>
      <c r="L2020" s="90"/>
      <c r="M2020" s="90"/>
      <c r="N2020" s="90"/>
      <c r="O2020" s="90"/>
      <c r="P2020" s="90"/>
    </row>
    <row r="2021" spans="1:16" ht="13.2">
      <c r="A2021" s="90"/>
      <c r="B2021" s="92"/>
      <c r="C2021" s="90"/>
      <c r="D2021" s="90"/>
      <c r="E2021" s="90"/>
      <c r="F2021" s="90"/>
      <c r="G2021" s="90"/>
      <c r="H2021" s="90"/>
      <c r="I2021" s="90"/>
      <c r="J2021" s="90"/>
      <c r="K2021" s="90"/>
      <c r="L2021" s="90"/>
      <c r="M2021" s="90"/>
      <c r="N2021" s="90"/>
      <c r="O2021" s="90"/>
      <c r="P2021" s="90"/>
    </row>
    <row r="2022" spans="1:16" ht="13.2">
      <c r="A2022" s="90"/>
      <c r="B2022" s="92"/>
      <c r="C2022" s="90"/>
      <c r="D2022" s="90"/>
      <c r="E2022" s="90"/>
      <c r="F2022" s="90"/>
      <c r="G2022" s="90"/>
      <c r="H2022" s="90"/>
      <c r="I2022" s="90"/>
      <c r="J2022" s="90"/>
      <c r="K2022" s="90"/>
      <c r="L2022" s="90"/>
      <c r="M2022" s="90"/>
      <c r="N2022" s="90"/>
      <c r="O2022" s="90"/>
      <c r="P2022" s="90"/>
    </row>
    <row r="2023" spans="1:16" ht="13.2">
      <c r="A2023" s="90"/>
      <c r="B2023" s="92"/>
      <c r="C2023" s="90"/>
      <c r="D2023" s="90"/>
      <c r="E2023" s="90"/>
      <c r="F2023" s="90"/>
      <c r="G2023" s="90"/>
      <c r="H2023" s="90"/>
      <c r="I2023" s="90"/>
      <c r="J2023" s="90"/>
      <c r="K2023" s="90"/>
      <c r="L2023" s="90"/>
      <c r="M2023" s="90"/>
      <c r="N2023" s="90"/>
      <c r="O2023" s="90"/>
      <c r="P2023" s="90"/>
    </row>
    <row r="2024" spans="1:16" ht="13.2">
      <c r="A2024" s="90"/>
      <c r="B2024" s="92"/>
      <c r="C2024" s="90"/>
      <c r="D2024" s="90"/>
      <c r="E2024" s="90"/>
      <c r="F2024" s="90"/>
      <c r="G2024" s="90"/>
      <c r="H2024" s="90"/>
      <c r="I2024" s="90"/>
      <c r="J2024" s="90"/>
      <c r="K2024" s="90"/>
      <c r="L2024" s="90"/>
      <c r="M2024" s="90"/>
      <c r="N2024" s="90"/>
      <c r="O2024" s="90"/>
      <c r="P2024" s="90"/>
    </row>
    <row r="2025" spans="1:16" ht="13.2">
      <c r="A2025" s="90"/>
      <c r="B2025" s="92"/>
      <c r="C2025" s="90"/>
      <c r="D2025" s="90"/>
      <c r="E2025" s="90"/>
      <c r="F2025" s="90"/>
      <c r="G2025" s="90"/>
      <c r="H2025" s="90"/>
      <c r="I2025" s="90"/>
      <c r="J2025" s="90"/>
      <c r="K2025" s="90"/>
      <c r="L2025" s="90"/>
      <c r="M2025" s="90"/>
      <c r="N2025" s="90"/>
      <c r="O2025" s="90"/>
      <c r="P2025" s="90"/>
    </row>
    <row r="2026" spans="1:16" ht="13.2">
      <c r="A2026" s="90"/>
      <c r="B2026" s="92"/>
      <c r="C2026" s="90"/>
      <c r="D2026" s="90"/>
      <c r="E2026" s="90"/>
      <c r="F2026" s="90"/>
      <c r="G2026" s="90"/>
      <c r="H2026" s="90"/>
      <c r="I2026" s="90"/>
      <c r="J2026" s="90"/>
      <c r="K2026" s="90"/>
      <c r="L2026" s="90"/>
      <c r="M2026" s="90"/>
      <c r="N2026" s="90"/>
      <c r="O2026" s="90"/>
      <c r="P2026" s="90"/>
    </row>
    <row r="2027" spans="1:16" ht="13.2">
      <c r="A2027" s="90"/>
      <c r="B2027" s="92"/>
      <c r="C2027" s="90"/>
      <c r="D2027" s="90"/>
      <c r="E2027" s="90"/>
      <c r="F2027" s="90"/>
      <c r="G2027" s="90"/>
      <c r="H2027" s="90"/>
      <c r="I2027" s="90"/>
      <c r="J2027" s="90"/>
      <c r="K2027" s="90"/>
      <c r="L2027" s="90"/>
      <c r="M2027" s="90"/>
      <c r="N2027" s="90"/>
      <c r="O2027" s="90"/>
      <c r="P2027" s="90"/>
    </row>
    <row r="2028" spans="1:16" ht="13.2">
      <c r="A2028" s="90"/>
      <c r="B2028" s="92"/>
      <c r="C2028" s="90"/>
      <c r="D2028" s="90"/>
      <c r="E2028" s="90"/>
      <c r="F2028" s="90"/>
      <c r="G2028" s="90"/>
      <c r="H2028" s="90"/>
      <c r="I2028" s="90"/>
      <c r="J2028" s="90"/>
      <c r="K2028" s="90"/>
      <c r="L2028" s="90"/>
      <c r="M2028" s="90"/>
      <c r="N2028" s="90"/>
      <c r="O2028" s="90"/>
      <c r="P2028" s="90"/>
    </row>
    <row r="2029" spans="1:16" ht="13.2">
      <c r="A2029" s="90"/>
      <c r="B2029" s="92"/>
      <c r="C2029" s="90"/>
      <c r="D2029" s="90"/>
      <c r="E2029" s="90"/>
      <c r="F2029" s="90"/>
      <c r="G2029" s="90"/>
      <c r="H2029" s="90"/>
      <c r="I2029" s="90"/>
      <c r="J2029" s="90"/>
      <c r="K2029" s="90"/>
      <c r="L2029" s="90"/>
      <c r="M2029" s="90"/>
      <c r="N2029" s="90"/>
      <c r="O2029" s="90"/>
      <c r="P2029" s="90"/>
    </row>
    <row r="2030" spans="1:16" ht="13.2">
      <c r="A2030" s="90"/>
      <c r="B2030" s="92"/>
      <c r="C2030" s="90"/>
      <c r="D2030" s="90"/>
      <c r="E2030" s="90"/>
      <c r="F2030" s="90"/>
      <c r="G2030" s="90"/>
      <c r="H2030" s="90"/>
      <c r="I2030" s="90"/>
      <c r="J2030" s="90"/>
      <c r="K2030" s="90"/>
      <c r="L2030" s="90"/>
      <c r="M2030" s="90"/>
      <c r="N2030" s="90"/>
      <c r="O2030" s="90"/>
      <c r="P2030" s="90"/>
    </row>
    <row r="2031" spans="1:16" ht="13.2">
      <c r="A2031" s="90"/>
      <c r="B2031" s="92"/>
      <c r="C2031" s="90"/>
      <c r="D2031" s="90"/>
      <c r="E2031" s="90"/>
      <c r="F2031" s="90"/>
      <c r="G2031" s="90"/>
      <c r="H2031" s="90"/>
      <c r="I2031" s="90"/>
      <c r="J2031" s="90"/>
      <c r="K2031" s="90"/>
      <c r="L2031" s="90"/>
      <c r="M2031" s="90"/>
      <c r="N2031" s="90"/>
      <c r="O2031" s="90"/>
      <c r="P2031" s="90"/>
    </row>
    <row r="2032" spans="1:16" ht="13.2">
      <c r="A2032" s="90"/>
      <c r="B2032" s="92"/>
      <c r="C2032" s="90"/>
      <c r="D2032" s="90"/>
      <c r="E2032" s="90"/>
      <c r="F2032" s="90"/>
      <c r="G2032" s="90"/>
      <c r="H2032" s="90"/>
      <c r="I2032" s="90"/>
      <c r="J2032" s="90"/>
      <c r="K2032" s="90"/>
      <c r="L2032" s="90"/>
      <c r="M2032" s="90"/>
      <c r="N2032" s="90"/>
      <c r="O2032" s="90"/>
      <c r="P2032" s="90"/>
    </row>
    <row r="2033" spans="1:16" ht="13.2">
      <c r="A2033" s="90"/>
      <c r="B2033" s="92"/>
      <c r="C2033" s="90"/>
      <c r="D2033" s="90"/>
      <c r="E2033" s="90"/>
      <c r="F2033" s="90"/>
      <c r="G2033" s="90"/>
      <c r="H2033" s="90"/>
      <c r="I2033" s="90"/>
      <c r="J2033" s="90"/>
      <c r="K2033" s="90"/>
      <c r="L2033" s="90"/>
      <c r="M2033" s="90"/>
      <c r="N2033" s="90"/>
      <c r="O2033" s="90"/>
      <c r="P2033" s="90"/>
    </row>
    <row r="2034" spans="1:16" ht="13.2">
      <c r="A2034" s="90"/>
      <c r="B2034" s="92"/>
      <c r="C2034" s="90"/>
      <c r="D2034" s="90"/>
      <c r="E2034" s="90"/>
      <c r="F2034" s="90"/>
      <c r="G2034" s="90"/>
      <c r="H2034" s="90"/>
      <c r="I2034" s="90"/>
      <c r="J2034" s="90"/>
      <c r="K2034" s="90"/>
      <c r="L2034" s="90"/>
      <c r="M2034" s="90"/>
      <c r="N2034" s="90"/>
      <c r="O2034" s="90"/>
      <c r="P2034" s="90"/>
    </row>
    <row r="2035" spans="1:16" ht="13.2">
      <c r="A2035" s="90"/>
      <c r="B2035" s="92"/>
      <c r="C2035" s="90"/>
      <c r="D2035" s="90"/>
      <c r="E2035" s="90"/>
      <c r="F2035" s="90"/>
      <c r="G2035" s="90"/>
      <c r="H2035" s="90"/>
      <c r="I2035" s="90"/>
      <c r="J2035" s="90"/>
      <c r="K2035" s="90"/>
      <c r="L2035" s="90"/>
      <c r="M2035" s="90"/>
      <c r="N2035" s="90"/>
      <c r="O2035" s="90"/>
      <c r="P2035" s="90"/>
    </row>
    <row r="2036" spans="1:16" ht="13.2">
      <c r="A2036" s="90"/>
      <c r="B2036" s="92"/>
      <c r="C2036" s="90"/>
      <c r="D2036" s="90"/>
      <c r="E2036" s="90"/>
      <c r="F2036" s="90"/>
      <c r="G2036" s="90"/>
      <c r="H2036" s="90"/>
      <c r="I2036" s="90"/>
      <c r="J2036" s="90"/>
      <c r="K2036" s="90"/>
      <c r="L2036" s="90"/>
      <c r="M2036" s="90"/>
      <c r="N2036" s="90"/>
      <c r="O2036" s="90"/>
      <c r="P2036" s="90"/>
    </row>
    <row r="2037" spans="1:16" ht="13.2">
      <c r="A2037" s="90"/>
      <c r="B2037" s="92"/>
      <c r="C2037" s="90"/>
      <c r="D2037" s="90"/>
      <c r="E2037" s="90"/>
      <c r="F2037" s="90"/>
      <c r="G2037" s="90"/>
      <c r="H2037" s="90"/>
      <c r="I2037" s="90"/>
      <c r="J2037" s="90"/>
      <c r="K2037" s="90"/>
      <c r="L2037" s="90"/>
      <c r="M2037" s="90"/>
      <c r="N2037" s="90"/>
      <c r="O2037" s="90"/>
      <c r="P2037" s="90"/>
    </row>
    <row r="2038" spans="1:16" ht="13.2">
      <c r="A2038" s="90"/>
      <c r="B2038" s="92"/>
      <c r="C2038" s="90"/>
      <c r="D2038" s="90"/>
      <c r="E2038" s="90"/>
      <c r="F2038" s="90"/>
      <c r="G2038" s="90"/>
      <c r="H2038" s="90"/>
      <c r="I2038" s="90"/>
      <c r="J2038" s="90"/>
      <c r="K2038" s="90"/>
      <c r="L2038" s="90"/>
      <c r="M2038" s="90"/>
      <c r="N2038" s="90"/>
      <c r="O2038" s="90"/>
      <c r="P2038" s="90"/>
    </row>
    <row r="2039" spans="1:16" ht="13.2">
      <c r="A2039" s="90"/>
      <c r="B2039" s="92"/>
      <c r="C2039" s="90"/>
      <c r="D2039" s="90"/>
      <c r="E2039" s="90"/>
      <c r="F2039" s="90"/>
      <c r="G2039" s="90"/>
      <c r="H2039" s="90"/>
      <c r="I2039" s="90"/>
      <c r="J2039" s="90"/>
      <c r="K2039" s="90"/>
      <c r="L2039" s="90"/>
      <c r="M2039" s="90"/>
      <c r="N2039" s="90"/>
      <c r="O2039" s="90"/>
      <c r="P2039" s="90"/>
    </row>
    <row r="2040" spans="1:16" ht="13.2">
      <c r="A2040" s="90"/>
      <c r="B2040" s="92"/>
      <c r="C2040" s="90"/>
      <c r="D2040" s="90"/>
      <c r="E2040" s="90"/>
      <c r="F2040" s="90"/>
      <c r="G2040" s="90"/>
      <c r="H2040" s="90"/>
      <c r="I2040" s="90"/>
      <c r="J2040" s="90"/>
      <c r="K2040" s="90"/>
      <c r="L2040" s="90"/>
      <c r="M2040" s="90"/>
      <c r="N2040" s="90"/>
      <c r="O2040" s="90"/>
      <c r="P2040" s="90"/>
    </row>
    <row r="2041" spans="1:16" ht="13.2">
      <c r="A2041" s="90"/>
      <c r="B2041" s="92"/>
      <c r="C2041" s="90"/>
      <c r="D2041" s="90"/>
      <c r="E2041" s="90"/>
      <c r="F2041" s="90"/>
      <c r="G2041" s="90"/>
      <c r="H2041" s="90"/>
      <c r="I2041" s="90"/>
      <c r="J2041" s="90"/>
      <c r="K2041" s="90"/>
      <c r="L2041" s="90"/>
      <c r="M2041" s="90"/>
      <c r="N2041" s="90"/>
      <c r="O2041" s="90"/>
      <c r="P2041" s="90"/>
    </row>
    <row r="2042" spans="1:16" ht="13.2">
      <c r="A2042" s="90"/>
      <c r="B2042" s="92"/>
      <c r="C2042" s="90"/>
      <c r="D2042" s="90"/>
      <c r="E2042" s="90"/>
      <c r="F2042" s="90"/>
      <c r="G2042" s="90"/>
      <c r="H2042" s="90"/>
      <c r="I2042" s="90"/>
      <c r="J2042" s="90"/>
      <c r="K2042" s="90"/>
      <c r="L2042" s="90"/>
      <c r="M2042" s="90"/>
      <c r="N2042" s="90"/>
      <c r="O2042" s="90"/>
      <c r="P2042" s="90"/>
    </row>
    <row r="2043" spans="1:16" ht="13.2">
      <c r="A2043" s="90"/>
      <c r="B2043" s="92"/>
      <c r="C2043" s="90"/>
      <c r="D2043" s="90"/>
      <c r="E2043" s="90"/>
      <c r="F2043" s="90"/>
      <c r="G2043" s="90"/>
      <c r="H2043" s="90"/>
      <c r="I2043" s="90"/>
      <c r="J2043" s="90"/>
      <c r="K2043" s="90"/>
      <c r="L2043" s="90"/>
      <c r="M2043" s="90"/>
      <c r="N2043" s="90"/>
      <c r="O2043" s="90"/>
      <c r="P2043" s="90"/>
    </row>
    <row r="2044" spans="1:16" ht="13.2">
      <c r="A2044" s="90"/>
      <c r="B2044" s="92"/>
      <c r="C2044" s="90"/>
      <c r="D2044" s="90"/>
      <c r="E2044" s="90"/>
      <c r="F2044" s="90"/>
      <c r="G2044" s="90"/>
      <c r="H2044" s="90"/>
      <c r="I2044" s="90"/>
      <c r="J2044" s="90"/>
      <c r="K2044" s="90"/>
      <c r="L2044" s="90"/>
      <c r="M2044" s="90"/>
      <c r="N2044" s="90"/>
      <c r="O2044" s="90"/>
      <c r="P2044" s="90"/>
    </row>
    <row r="2045" spans="1:16" ht="13.2">
      <c r="A2045" s="90"/>
      <c r="B2045" s="92"/>
      <c r="C2045" s="90"/>
      <c r="D2045" s="90"/>
      <c r="E2045" s="90"/>
      <c r="F2045" s="90"/>
      <c r="G2045" s="90"/>
      <c r="H2045" s="90"/>
      <c r="I2045" s="90"/>
      <c r="J2045" s="90"/>
      <c r="K2045" s="90"/>
      <c r="L2045" s="90"/>
      <c r="M2045" s="90"/>
      <c r="N2045" s="90"/>
      <c r="O2045" s="90"/>
      <c r="P2045" s="90"/>
    </row>
    <row r="2046" spans="1:16" ht="13.2">
      <c r="A2046" s="90"/>
      <c r="B2046" s="92"/>
      <c r="C2046" s="90"/>
      <c r="D2046" s="90"/>
      <c r="E2046" s="90"/>
      <c r="F2046" s="90"/>
      <c r="G2046" s="90"/>
      <c r="H2046" s="90"/>
      <c r="I2046" s="90"/>
      <c r="J2046" s="90"/>
      <c r="K2046" s="90"/>
      <c r="L2046" s="90"/>
      <c r="M2046" s="90"/>
      <c r="N2046" s="90"/>
      <c r="O2046" s="90"/>
      <c r="P2046" s="90"/>
    </row>
    <row r="2047" spans="1:16" ht="13.2">
      <c r="A2047" s="90"/>
      <c r="B2047" s="92"/>
      <c r="C2047" s="90"/>
      <c r="D2047" s="90"/>
      <c r="E2047" s="90"/>
      <c r="F2047" s="90"/>
      <c r="G2047" s="90"/>
      <c r="H2047" s="90"/>
      <c r="I2047" s="90"/>
      <c r="J2047" s="90"/>
      <c r="K2047" s="90"/>
      <c r="L2047" s="90"/>
      <c r="M2047" s="90"/>
      <c r="N2047" s="90"/>
      <c r="O2047" s="90"/>
      <c r="P2047" s="90"/>
    </row>
    <row r="2048" spans="1:16" ht="13.2">
      <c r="A2048" s="90"/>
      <c r="B2048" s="92"/>
      <c r="C2048" s="90"/>
      <c r="D2048" s="90"/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</row>
    <row r="2049" spans="1:16" ht="13.2">
      <c r="A2049" s="90"/>
      <c r="B2049" s="92"/>
      <c r="C2049" s="90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</row>
    <row r="2050" spans="1:16" ht="13.2">
      <c r="A2050" s="90"/>
      <c r="B2050" s="92"/>
      <c r="C2050" s="90"/>
      <c r="D2050" s="90"/>
      <c r="E2050" s="90"/>
      <c r="F2050" s="90"/>
      <c r="G2050" s="90"/>
      <c r="H2050" s="90"/>
      <c r="I2050" s="90"/>
      <c r="J2050" s="90"/>
      <c r="K2050" s="90"/>
      <c r="L2050" s="90"/>
      <c r="M2050" s="90"/>
      <c r="N2050" s="90"/>
      <c r="O2050" s="90"/>
      <c r="P2050" s="90"/>
    </row>
    <row r="2051" spans="1:16" ht="13.2">
      <c r="A2051" s="90"/>
      <c r="B2051" s="92"/>
      <c r="C2051" s="90"/>
      <c r="D2051" s="90"/>
      <c r="E2051" s="90"/>
      <c r="F2051" s="90"/>
      <c r="G2051" s="90"/>
      <c r="H2051" s="90"/>
      <c r="I2051" s="90"/>
      <c r="J2051" s="90"/>
      <c r="K2051" s="90"/>
      <c r="L2051" s="90"/>
      <c r="M2051" s="90"/>
      <c r="N2051" s="90"/>
      <c r="O2051" s="90"/>
      <c r="P2051" s="90"/>
    </row>
    <row r="2052" spans="1:16" ht="13.2">
      <c r="A2052" s="90"/>
      <c r="B2052" s="92"/>
      <c r="C2052" s="90"/>
      <c r="D2052" s="90"/>
      <c r="E2052" s="90"/>
      <c r="F2052" s="90"/>
      <c r="G2052" s="90"/>
      <c r="H2052" s="90"/>
      <c r="I2052" s="90"/>
      <c r="J2052" s="90"/>
      <c r="K2052" s="90"/>
      <c r="L2052" s="90"/>
      <c r="M2052" s="90"/>
      <c r="N2052" s="90"/>
      <c r="O2052" s="90"/>
      <c r="P2052" s="90"/>
    </row>
    <row r="2053" spans="1:16" ht="13.2">
      <c r="A2053" s="90"/>
      <c r="B2053" s="92"/>
      <c r="C2053" s="90"/>
      <c r="D2053" s="90"/>
      <c r="E2053" s="90"/>
      <c r="F2053" s="90"/>
      <c r="G2053" s="90"/>
      <c r="H2053" s="90"/>
      <c r="I2053" s="90"/>
      <c r="J2053" s="90"/>
      <c r="K2053" s="90"/>
      <c r="L2053" s="90"/>
      <c r="M2053" s="90"/>
      <c r="N2053" s="90"/>
      <c r="O2053" s="90"/>
      <c r="P2053" s="90"/>
    </row>
    <row r="2054" spans="1:16" ht="13.2">
      <c r="A2054" s="90"/>
      <c r="B2054" s="92"/>
      <c r="C2054" s="90"/>
      <c r="D2054" s="90"/>
      <c r="E2054" s="90"/>
      <c r="F2054" s="90"/>
      <c r="G2054" s="90"/>
      <c r="H2054" s="90"/>
      <c r="I2054" s="90"/>
      <c r="J2054" s="90"/>
      <c r="K2054" s="90"/>
      <c r="L2054" s="90"/>
      <c r="M2054" s="90"/>
      <c r="N2054" s="90"/>
      <c r="O2054" s="90"/>
      <c r="P2054" s="90"/>
    </row>
    <row r="2055" spans="1:16" ht="13.2">
      <c r="A2055" s="90"/>
      <c r="B2055" s="92"/>
      <c r="C2055" s="90"/>
      <c r="D2055" s="90"/>
      <c r="E2055" s="90"/>
      <c r="F2055" s="90"/>
      <c r="G2055" s="90"/>
      <c r="H2055" s="90"/>
      <c r="I2055" s="90"/>
      <c r="J2055" s="90"/>
      <c r="K2055" s="90"/>
      <c r="L2055" s="90"/>
      <c r="M2055" s="90"/>
      <c r="N2055" s="90"/>
      <c r="O2055" s="90"/>
      <c r="P2055" s="90"/>
    </row>
    <row r="2056" spans="1:16" ht="13.2">
      <c r="A2056" s="90"/>
      <c r="B2056" s="92"/>
      <c r="C2056" s="90"/>
      <c r="D2056" s="90"/>
      <c r="E2056" s="90"/>
      <c r="F2056" s="90"/>
      <c r="G2056" s="90"/>
      <c r="H2056" s="90"/>
      <c r="I2056" s="90"/>
      <c r="J2056" s="90"/>
      <c r="K2056" s="90"/>
      <c r="L2056" s="90"/>
      <c r="M2056" s="90"/>
      <c r="N2056" s="90"/>
      <c r="O2056" s="90"/>
      <c r="P2056" s="90"/>
    </row>
    <row r="2057" spans="1:16" ht="13.2">
      <c r="A2057" s="90"/>
      <c r="B2057" s="92"/>
      <c r="C2057" s="90"/>
      <c r="D2057" s="90"/>
      <c r="E2057" s="90"/>
      <c r="F2057" s="90"/>
      <c r="G2057" s="90"/>
      <c r="H2057" s="90"/>
      <c r="I2057" s="90"/>
      <c r="J2057" s="90"/>
      <c r="K2057" s="90"/>
      <c r="L2057" s="90"/>
      <c r="M2057" s="90"/>
      <c r="N2057" s="90"/>
      <c r="O2057" s="90"/>
      <c r="P2057" s="90"/>
    </row>
    <row r="2058" spans="1:16" ht="13.2">
      <c r="A2058" s="90"/>
      <c r="B2058" s="92"/>
      <c r="C2058" s="90"/>
      <c r="D2058" s="90"/>
      <c r="E2058" s="90"/>
      <c r="F2058" s="90"/>
      <c r="G2058" s="90"/>
      <c r="H2058" s="90"/>
      <c r="I2058" s="90"/>
      <c r="J2058" s="90"/>
      <c r="K2058" s="90"/>
      <c r="L2058" s="90"/>
      <c r="M2058" s="90"/>
      <c r="N2058" s="90"/>
      <c r="O2058" s="90"/>
      <c r="P2058" s="90"/>
    </row>
    <row r="2059" spans="1:16" ht="13.2">
      <c r="A2059" s="90"/>
      <c r="B2059" s="92"/>
      <c r="C2059" s="90"/>
      <c r="D2059" s="90"/>
      <c r="E2059" s="90"/>
      <c r="F2059" s="90"/>
      <c r="G2059" s="90"/>
      <c r="H2059" s="90"/>
      <c r="I2059" s="90"/>
      <c r="J2059" s="90"/>
      <c r="K2059" s="90"/>
      <c r="L2059" s="90"/>
      <c r="M2059" s="90"/>
      <c r="N2059" s="90"/>
      <c r="O2059" s="90"/>
      <c r="P2059" s="90"/>
    </row>
    <row r="2060" spans="1:16" ht="13.2">
      <c r="A2060" s="90"/>
      <c r="B2060" s="92"/>
      <c r="C2060" s="90"/>
      <c r="D2060" s="90"/>
      <c r="E2060" s="90"/>
      <c r="F2060" s="90"/>
      <c r="G2060" s="90"/>
      <c r="H2060" s="90"/>
      <c r="I2060" s="90"/>
      <c r="J2060" s="90"/>
      <c r="K2060" s="90"/>
      <c r="L2060" s="90"/>
      <c r="M2060" s="90"/>
      <c r="N2060" s="90"/>
      <c r="O2060" s="90"/>
      <c r="P2060" s="90"/>
    </row>
    <row r="2061" spans="1:16" ht="13.2">
      <c r="A2061" s="90"/>
      <c r="B2061" s="92"/>
      <c r="C2061" s="90"/>
      <c r="D2061" s="90"/>
      <c r="E2061" s="90"/>
      <c r="F2061" s="90"/>
      <c r="G2061" s="90"/>
      <c r="H2061" s="90"/>
      <c r="I2061" s="90"/>
      <c r="J2061" s="90"/>
      <c r="K2061" s="90"/>
      <c r="L2061" s="90"/>
      <c r="M2061" s="90"/>
      <c r="N2061" s="90"/>
      <c r="O2061" s="90"/>
      <c r="P2061" s="90"/>
    </row>
    <row r="2062" spans="1:16" ht="13.2">
      <c r="A2062" s="90"/>
      <c r="B2062" s="92"/>
      <c r="C2062" s="90"/>
      <c r="D2062" s="90"/>
      <c r="E2062" s="90"/>
      <c r="F2062" s="90"/>
      <c r="G2062" s="90"/>
      <c r="H2062" s="90"/>
      <c r="I2062" s="90"/>
      <c r="J2062" s="90"/>
      <c r="K2062" s="90"/>
      <c r="L2062" s="90"/>
      <c r="M2062" s="90"/>
      <c r="N2062" s="90"/>
      <c r="O2062" s="90"/>
      <c r="P2062" s="90"/>
    </row>
    <row r="2063" spans="1:16" ht="13.2">
      <c r="A2063" s="90"/>
      <c r="B2063" s="92"/>
      <c r="C2063" s="90"/>
      <c r="D2063" s="90"/>
      <c r="E2063" s="90"/>
      <c r="F2063" s="90"/>
      <c r="G2063" s="90"/>
      <c r="H2063" s="90"/>
      <c r="I2063" s="90"/>
      <c r="J2063" s="90"/>
      <c r="K2063" s="90"/>
      <c r="L2063" s="90"/>
      <c r="M2063" s="90"/>
      <c r="N2063" s="90"/>
      <c r="O2063" s="90"/>
      <c r="P2063" s="90"/>
    </row>
    <row r="2064" spans="1:16" ht="13.2">
      <c r="A2064" s="90"/>
      <c r="B2064" s="92"/>
      <c r="C2064" s="90"/>
      <c r="D2064" s="90"/>
      <c r="E2064" s="90"/>
      <c r="F2064" s="90"/>
      <c r="G2064" s="90"/>
      <c r="H2064" s="90"/>
      <c r="I2064" s="90"/>
      <c r="J2064" s="90"/>
      <c r="K2064" s="90"/>
      <c r="L2064" s="90"/>
      <c r="M2064" s="90"/>
      <c r="N2064" s="90"/>
      <c r="O2064" s="90"/>
      <c r="P2064" s="90"/>
    </row>
    <row r="2065" spans="1:16" ht="13.2">
      <c r="A2065" s="90"/>
      <c r="B2065" s="92"/>
      <c r="C2065" s="90"/>
      <c r="D2065" s="90"/>
      <c r="E2065" s="90"/>
      <c r="F2065" s="90"/>
      <c r="G2065" s="90"/>
      <c r="H2065" s="90"/>
      <c r="I2065" s="90"/>
      <c r="J2065" s="90"/>
      <c r="K2065" s="90"/>
      <c r="L2065" s="90"/>
      <c r="M2065" s="90"/>
      <c r="N2065" s="90"/>
      <c r="O2065" s="90"/>
      <c r="P2065" s="90"/>
    </row>
    <row r="2066" spans="1:16" ht="13.2">
      <c r="A2066" s="90"/>
      <c r="B2066" s="92"/>
      <c r="C2066" s="90"/>
      <c r="D2066" s="90"/>
      <c r="E2066" s="90"/>
      <c r="F2066" s="90"/>
      <c r="G2066" s="90"/>
      <c r="H2066" s="90"/>
      <c r="I2066" s="90"/>
      <c r="J2066" s="90"/>
      <c r="K2066" s="90"/>
      <c r="L2066" s="90"/>
      <c r="M2066" s="90"/>
      <c r="N2066" s="90"/>
      <c r="O2066" s="90"/>
      <c r="P2066" s="90"/>
    </row>
    <row r="2067" spans="1:16" ht="13.2">
      <c r="A2067" s="90"/>
      <c r="B2067" s="92"/>
      <c r="C2067" s="90"/>
      <c r="D2067" s="90"/>
      <c r="E2067" s="90"/>
      <c r="F2067" s="90"/>
      <c r="G2067" s="90"/>
      <c r="H2067" s="90"/>
      <c r="I2067" s="90"/>
      <c r="J2067" s="90"/>
      <c r="K2067" s="90"/>
      <c r="L2067" s="90"/>
      <c r="M2067" s="90"/>
      <c r="N2067" s="90"/>
      <c r="O2067" s="90"/>
      <c r="P2067" s="90"/>
    </row>
    <row r="2068" spans="1:16" ht="13.2">
      <c r="A2068" s="90"/>
      <c r="B2068" s="92"/>
      <c r="C2068" s="90"/>
      <c r="D2068" s="90"/>
      <c r="E2068" s="90"/>
      <c r="F2068" s="90"/>
      <c r="G2068" s="90"/>
      <c r="H2068" s="90"/>
      <c r="I2068" s="90"/>
      <c r="J2068" s="90"/>
      <c r="K2068" s="90"/>
      <c r="L2068" s="90"/>
      <c r="M2068" s="90"/>
      <c r="N2068" s="90"/>
      <c r="O2068" s="90"/>
      <c r="P2068" s="90"/>
    </row>
    <row r="2069" spans="1:16" ht="13.2">
      <c r="A2069" s="90"/>
      <c r="B2069" s="92"/>
      <c r="C2069" s="90"/>
      <c r="D2069" s="90"/>
      <c r="E2069" s="90"/>
      <c r="F2069" s="90"/>
      <c r="G2069" s="90"/>
      <c r="H2069" s="90"/>
      <c r="I2069" s="90"/>
      <c r="J2069" s="90"/>
      <c r="K2069" s="90"/>
      <c r="L2069" s="90"/>
      <c r="M2069" s="90"/>
      <c r="N2069" s="90"/>
      <c r="O2069" s="90"/>
      <c r="P2069" s="90"/>
    </row>
    <row r="2070" spans="1:16" ht="13.2">
      <c r="A2070" s="90"/>
      <c r="B2070" s="92"/>
      <c r="C2070" s="90"/>
      <c r="D2070" s="90"/>
      <c r="E2070" s="90"/>
      <c r="F2070" s="90"/>
      <c r="G2070" s="90"/>
      <c r="H2070" s="90"/>
      <c r="I2070" s="90"/>
      <c r="J2070" s="90"/>
      <c r="K2070" s="90"/>
      <c r="L2070" s="90"/>
      <c r="M2070" s="90"/>
      <c r="N2070" s="90"/>
      <c r="O2070" s="90"/>
      <c r="P2070" s="90"/>
    </row>
    <row r="2071" spans="1:16" ht="13.2">
      <c r="A2071" s="90"/>
      <c r="B2071" s="92"/>
      <c r="C2071" s="90"/>
      <c r="D2071" s="90"/>
      <c r="E2071" s="90"/>
      <c r="F2071" s="90"/>
      <c r="G2071" s="90"/>
      <c r="H2071" s="90"/>
      <c r="I2071" s="90"/>
      <c r="J2071" s="90"/>
      <c r="K2071" s="90"/>
      <c r="L2071" s="90"/>
      <c r="M2071" s="90"/>
      <c r="N2071" s="90"/>
      <c r="O2071" s="90"/>
      <c r="P2071" s="90"/>
    </row>
    <row r="2072" spans="1:16" ht="13.2">
      <c r="A2072" s="90"/>
      <c r="B2072" s="92"/>
      <c r="C2072" s="90"/>
      <c r="D2072" s="90"/>
      <c r="E2072" s="90"/>
      <c r="F2072" s="90"/>
      <c r="G2072" s="90"/>
      <c r="H2072" s="90"/>
      <c r="I2072" s="90"/>
      <c r="J2072" s="90"/>
      <c r="K2072" s="90"/>
      <c r="L2072" s="90"/>
      <c r="M2072" s="90"/>
      <c r="N2072" s="90"/>
      <c r="O2072" s="90"/>
      <c r="P2072" s="90"/>
    </row>
    <row r="2073" spans="1:16" ht="13.2">
      <c r="A2073" s="90"/>
      <c r="B2073" s="92"/>
      <c r="C2073" s="90"/>
      <c r="D2073" s="90"/>
      <c r="E2073" s="90"/>
      <c r="F2073" s="90"/>
      <c r="G2073" s="90"/>
      <c r="H2073" s="90"/>
      <c r="I2073" s="90"/>
      <c r="J2073" s="90"/>
      <c r="K2073" s="90"/>
      <c r="L2073" s="90"/>
      <c r="M2073" s="90"/>
      <c r="N2073" s="90"/>
      <c r="O2073" s="90"/>
      <c r="P2073" s="90"/>
    </row>
    <row r="2074" spans="1:16" ht="13.2">
      <c r="A2074" s="90"/>
      <c r="B2074" s="92"/>
      <c r="C2074" s="90"/>
      <c r="D2074" s="90"/>
      <c r="E2074" s="90"/>
      <c r="F2074" s="90"/>
      <c r="G2074" s="90"/>
      <c r="H2074" s="90"/>
      <c r="I2074" s="90"/>
      <c r="J2074" s="90"/>
      <c r="K2074" s="90"/>
      <c r="L2074" s="90"/>
      <c r="M2074" s="90"/>
      <c r="N2074" s="90"/>
      <c r="O2074" s="90"/>
      <c r="P2074" s="90"/>
    </row>
    <row r="2075" spans="1:16" ht="13.2">
      <c r="A2075" s="90"/>
      <c r="B2075" s="92"/>
      <c r="C2075" s="90"/>
      <c r="D2075" s="90"/>
      <c r="E2075" s="90"/>
      <c r="F2075" s="90"/>
      <c r="G2075" s="90"/>
      <c r="H2075" s="90"/>
      <c r="I2075" s="90"/>
      <c r="J2075" s="90"/>
      <c r="K2075" s="90"/>
      <c r="L2075" s="90"/>
      <c r="M2075" s="90"/>
      <c r="N2075" s="90"/>
      <c r="O2075" s="90"/>
      <c r="P2075" s="90"/>
    </row>
    <row r="2076" spans="1:16" ht="13.2">
      <c r="A2076" s="90"/>
      <c r="B2076" s="92"/>
      <c r="C2076" s="90"/>
      <c r="D2076" s="90"/>
      <c r="E2076" s="90"/>
      <c r="F2076" s="90"/>
      <c r="G2076" s="90"/>
      <c r="H2076" s="90"/>
      <c r="I2076" s="90"/>
      <c r="J2076" s="90"/>
      <c r="K2076" s="90"/>
      <c r="L2076" s="90"/>
      <c r="M2076" s="90"/>
      <c r="N2076" s="90"/>
      <c r="O2076" s="90"/>
      <c r="P2076" s="90"/>
    </row>
    <row r="2077" spans="1:16" ht="13.2">
      <c r="A2077" s="90"/>
      <c r="B2077" s="92"/>
      <c r="C2077" s="90"/>
      <c r="D2077" s="90"/>
      <c r="E2077" s="90"/>
      <c r="F2077" s="90"/>
      <c r="G2077" s="90"/>
      <c r="H2077" s="90"/>
      <c r="I2077" s="90"/>
      <c r="J2077" s="90"/>
      <c r="K2077" s="90"/>
      <c r="L2077" s="90"/>
      <c r="M2077" s="90"/>
      <c r="N2077" s="90"/>
      <c r="O2077" s="90"/>
      <c r="P2077" s="90"/>
    </row>
    <row r="2078" spans="1:16" ht="13.2">
      <c r="A2078" s="90"/>
      <c r="B2078" s="92"/>
      <c r="C2078" s="90"/>
      <c r="D2078" s="90"/>
      <c r="E2078" s="90"/>
      <c r="F2078" s="90"/>
      <c r="G2078" s="90"/>
      <c r="H2078" s="90"/>
      <c r="I2078" s="90"/>
      <c r="J2078" s="90"/>
      <c r="K2078" s="90"/>
      <c r="L2078" s="90"/>
      <c r="M2078" s="90"/>
      <c r="N2078" s="90"/>
      <c r="O2078" s="90"/>
      <c r="P2078" s="90"/>
    </row>
    <row r="2079" spans="1:16" ht="13.2">
      <c r="A2079" s="90"/>
      <c r="B2079" s="92"/>
      <c r="C2079" s="90"/>
      <c r="D2079" s="90"/>
      <c r="E2079" s="90"/>
      <c r="F2079" s="90"/>
      <c r="G2079" s="90"/>
      <c r="H2079" s="90"/>
      <c r="I2079" s="90"/>
      <c r="J2079" s="90"/>
      <c r="K2079" s="90"/>
      <c r="L2079" s="90"/>
      <c r="M2079" s="90"/>
      <c r="N2079" s="90"/>
      <c r="O2079" s="90"/>
      <c r="P2079" s="90"/>
    </row>
    <row r="2080" spans="1:16" ht="13.2">
      <c r="A2080" s="90"/>
      <c r="B2080" s="92"/>
      <c r="C2080" s="90"/>
      <c r="D2080" s="90"/>
      <c r="E2080" s="90"/>
      <c r="F2080" s="90"/>
      <c r="G2080" s="90"/>
      <c r="H2080" s="90"/>
      <c r="I2080" s="90"/>
      <c r="J2080" s="90"/>
      <c r="K2080" s="90"/>
      <c r="L2080" s="90"/>
      <c r="M2080" s="90"/>
      <c r="N2080" s="90"/>
      <c r="O2080" s="90"/>
      <c r="P2080" s="90"/>
    </row>
    <row r="2081" spans="1:16" ht="13.2">
      <c r="A2081" s="90"/>
      <c r="B2081" s="92"/>
      <c r="C2081" s="90"/>
      <c r="D2081" s="90"/>
      <c r="E2081" s="90"/>
      <c r="F2081" s="90"/>
      <c r="G2081" s="90"/>
      <c r="H2081" s="90"/>
      <c r="I2081" s="90"/>
      <c r="J2081" s="90"/>
      <c r="K2081" s="90"/>
      <c r="L2081" s="90"/>
      <c r="M2081" s="90"/>
      <c r="N2081" s="90"/>
      <c r="O2081" s="90"/>
      <c r="P2081" s="90"/>
    </row>
    <row r="2082" spans="1:16" ht="13.2">
      <c r="A2082" s="90"/>
      <c r="B2082" s="92"/>
      <c r="C2082" s="90"/>
      <c r="D2082" s="90"/>
      <c r="E2082" s="90"/>
      <c r="F2082" s="90"/>
      <c r="G2082" s="90"/>
      <c r="H2082" s="90"/>
      <c r="I2082" s="90"/>
      <c r="J2082" s="90"/>
      <c r="K2082" s="90"/>
      <c r="L2082" s="90"/>
      <c r="M2082" s="90"/>
      <c r="N2082" s="90"/>
      <c r="O2082" s="90"/>
      <c r="P2082" s="90"/>
    </row>
    <row r="2083" spans="1:16" ht="13.2">
      <c r="A2083" s="90"/>
      <c r="B2083" s="92"/>
      <c r="C2083" s="90"/>
      <c r="D2083" s="90"/>
      <c r="E2083" s="90"/>
      <c r="F2083" s="90"/>
      <c r="G2083" s="90"/>
      <c r="H2083" s="90"/>
      <c r="I2083" s="90"/>
      <c r="J2083" s="90"/>
      <c r="K2083" s="90"/>
      <c r="L2083" s="90"/>
      <c r="M2083" s="90"/>
      <c r="N2083" s="90"/>
      <c r="O2083" s="90"/>
      <c r="P2083" s="90"/>
    </row>
    <row r="2084" spans="1:16" ht="13.2">
      <c r="A2084" s="90"/>
      <c r="B2084" s="92"/>
      <c r="C2084" s="90"/>
      <c r="D2084" s="90"/>
      <c r="E2084" s="90"/>
      <c r="F2084" s="90"/>
      <c r="G2084" s="90"/>
      <c r="H2084" s="90"/>
      <c r="I2084" s="90"/>
      <c r="J2084" s="90"/>
      <c r="K2084" s="90"/>
      <c r="L2084" s="90"/>
      <c r="M2084" s="90"/>
      <c r="N2084" s="90"/>
      <c r="O2084" s="90"/>
      <c r="P2084" s="90"/>
    </row>
    <row r="2085" spans="1:16" ht="13.2">
      <c r="A2085" s="90"/>
      <c r="B2085" s="92"/>
      <c r="C2085" s="90"/>
      <c r="D2085" s="90"/>
      <c r="E2085" s="90"/>
      <c r="F2085" s="90"/>
      <c r="G2085" s="90"/>
      <c r="H2085" s="90"/>
      <c r="I2085" s="90"/>
      <c r="J2085" s="90"/>
      <c r="K2085" s="90"/>
      <c r="L2085" s="90"/>
      <c r="M2085" s="90"/>
      <c r="N2085" s="90"/>
      <c r="O2085" s="90"/>
      <c r="P2085" s="90"/>
    </row>
    <row r="2086" spans="1:16" ht="13.2">
      <c r="A2086" s="90"/>
      <c r="B2086" s="92"/>
      <c r="C2086" s="90"/>
      <c r="D2086" s="90"/>
      <c r="E2086" s="90"/>
      <c r="F2086" s="90"/>
      <c r="G2086" s="90"/>
      <c r="H2086" s="90"/>
      <c r="I2086" s="90"/>
      <c r="J2086" s="90"/>
      <c r="K2086" s="90"/>
      <c r="L2086" s="90"/>
      <c r="M2086" s="90"/>
      <c r="N2086" s="90"/>
      <c r="O2086" s="90"/>
      <c r="P2086" s="90"/>
    </row>
    <row r="2087" spans="1:16" ht="13.2">
      <c r="A2087" s="90"/>
      <c r="B2087" s="92"/>
      <c r="C2087" s="90"/>
      <c r="D2087" s="90"/>
      <c r="E2087" s="90"/>
      <c r="F2087" s="90"/>
      <c r="G2087" s="90"/>
      <c r="H2087" s="90"/>
      <c r="I2087" s="90"/>
      <c r="J2087" s="90"/>
      <c r="K2087" s="90"/>
      <c r="L2087" s="90"/>
      <c r="M2087" s="90"/>
      <c r="N2087" s="90"/>
      <c r="O2087" s="90"/>
      <c r="P2087" s="90"/>
    </row>
    <row r="2088" spans="1:16" ht="13.2">
      <c r="A2088" s="90"/>
      <c r="B2088" s="92"/>
      <c r="C2088" s="90"/>
      <c r="D2088" s="90"/>
      <c r="E2088" s="90"/>
      <c r="F2088" s="90"/>
      <c r="G2088" s="90"/>
      <c r="H2088" s="90"/>
      <c r="I2088" s="90"/>
      <c r="J2088" s="90"/>
      <c r="K2088" s="90"/>
      <c r="L2088" s="90"/>
      <c r="M2088" s="90"/>
      <c r="N2088" s="90"/>
      <c r="O2088" s="90"/>
      <c r="P2088" s="90"/>
    </row>
    <row r="2089" spans="1:16" ht="13.2">
      <c r="A2089" s="90"/>
      <c r="B2089" s="92"/>
      <c r="C2089" s="90"/>
      <c r="D2089" s="90"/>
      <c r="E2089" s="90"/>
      <c r="F2089" s="90"/>
      <c r="G2089" s="90"/>
      <c r="H2089" s="90"/>
      <c r="I2089" s="90"/>
      <c r="J2089" s="90"/>
      <c r="K2089" s="90"/>
      <c r="L2089" s="90"/>
      <c r="M2089" s="90"/>
      <c r="N2089" s="90"/>
      <c r="O2089" s="90"/>
      <c r="P2089" s="90"/>
    </row>
    <row r="2090" spans="1:16" ht="13.2">
      <c r="A2090" s="90"/>
      <c r="B2090" s="92"/>
      <c r="C2090" s="90"/>
      <c r="D2090" s="90"/>
      <c r="E2090" s="90"/>
      <c r="F2090" s="90"/>
      <c r="G2090" s="90"/>
      <c r="H2090" s="90"/>
      <c r="I2090" s="90"/>
      <c r="J2090" s="90"/>
      <c r="K2090" s="90"/>
      <c r="L2090" s="90"/>
      <c r="M2090" s="90"/>
      <c r="N2090" s="90"/>
      <c r="O2090" s="90"/>
      <c r="P2090" s="90"/>
    </row>
    <row r="2091" spans="1:16" ht="13.2">
      <c r="A2091" s="90"/>
      <c r="B2091" s="92"/>
      <c r="C2091" s="90"/>
      <c r="D2091" s="90"/>
      <c r="E2091" s="90"/>
      <c r="F2091" s="90"/>
      <c r="G2091" s="90"/>
      <c r="H2091" s="90"/>
      <c r="I2091" s="90"/>
      <c r="J2091" s="90"/>
      <c r="K2091" s="90"/>
      <c r="L2091" s="90"/>
      <c r="M2091" s="90"/>
      <c r="N2091" s="90"/>
      <c r="O2091" s="90"/>
      <c r="P2091" s="90"/>
    </row>
    <row r="2092" spans="1:16" ht="13.2">
      <c r="A2092" s="90"/>
      <c r="B2092" s="92"/>
      <c r="C2092" s="90"/>
      <c r="D2092" s="90"/>
      <c r="E2092" s="90"/>
      <c r="F2092" s="90"/>
      <c r="G2092" s="90"/>
      <c r="H2092" s="90"/>
      <c r="I2092" s="90"/>
      <c r="J2092" s="90"/>
      <c r="K2092" s="90"/>
      <c r="L2092" s="90"/>
      <c r="M2092" s="90"/>
      <c r="N2092" s="90"/>
      <c r="O2092" s="90"/>
      <c r="P2092" s="90"/>
    </row>
    <row r="2093" spans="1:16" ht="13.2">
      <c r="A2093" s="90"/>
      <c r="B2093" s="92"/>
      <c r="C2093" s="90"/>
      <c r="D2093" s="90"/>
      <c r="E2093" s="90"/>
      <c r="F2093" s="90"/>
      <c r="G2093" s="90"/>
      <c r="H2093" s="90"/>
      <c r="I2093" s="90"/>
      <c r="J2093" s="90"/>
      <c r="K2093" s="90"/>
      <c r="L2093" s="90"/>
      <c r="M2093" s="90"/>
      <c r="N2093" s="90"/>
      <c r="O2093" s="90"/>
      <c r="P2093" s="90"/>
    </row>
    <row r="2094" spans="1:16" ht="13.2">
      <c r="A2094" s="90"/>
      <c r="B2094" s="92"/>
      <c r="C2094" s="90"/>
      <c r="D2094" s="90"/>
      <c r="E2094" s="90"/>
      <c r="F2094" s="90"/>
      <c r="G2094" s="90"/>
      <c r="H2094" s="90"/>
      <c r="I2094" s="90"/>
      <c r="J2094" s="90"/>
      <c r="K2094" s="90"/>
      <c r="L2094" s="90"/>
      <c r="M2094" s="90"/>
      <c r="N2094" s="90"/>
      <c r="O2094" s="90"/>
      <c r="P2094" s="90"/>
    </row>
    <row r="2095" spans="1:16" ht="13.2">
      <c r="A2095" s="90"/>
      <c r="B2095" s="92"/>
      <c r="C2095" s="90"/>
      <c r="D2095" s="90"/>
      <c r="E2095" s="90"/>
      <c r="F2095" s="90"/>
      <c r="G2095" s="90"/>
      <c r="H2095" s="90"/>
      <c r="I2095" s="90"/>
      <c r="J2095" s="90"/>
      <c r="K2095" s="90"/>
      <c r="L2095" s="90"/>
      <c r="M2095" s="90"/>
      <c r="N2095" s="90"/>
      <c r="O2095" s="90"/>
      <c r="P2095" s="90"/>
    </row>
    <row r="2096" spans="1:16" ht="13.2">
      <c r="A2096" s="90"/>
      <c r="B2096" s="92"/>
      <c r="C2096" s="90"/>
      <c r="D2096" s="90"/>
      <c r="E2096" s="90"/>
      <c r="F2096" s="90"/>
      <c r="G2096" s="90"/>
      <c r="H2096" s="90"/>
      <c r="I2096" s="90"/>
      <c r="J2096" s="90"/>
      <c r="K2096" s="90"/>
      <c r="L2096" s="90"/>
      <c r="M2096" s="90"/>
      <c r="N2096" s="90"/>
      <c r="O2096" s="90"/>
      <c r="P2096" s="90"/>
    </row>
    <row r="2097" spans="1:16" ht="13.2">
      <c r="A2097" s="90"/>
      <c r="B2097" s="92"/>
      <c r="C2097" s="90"/>
      <c r="D2097" s="90"/>
      <c r="E2097" s="90"/>
      <c r="F2097" s="90"/>
      <c r="G2097" s="90"/>
      <c r="H2097" s="90"/>
      <c r="I2097" s="90"/>
      <c r="J2097" s="90"/>
      <c r="K2097" s="90"/>
      <c r="L2097" s="90"/>
      <c r="M2097" s="90"/>
      <c r="N2097" s="90"/>
      <c r="O2097" s="90"/>
      <c r="P2097" s="90"/>
    </row>
    <row r="2098" spans="1:16" ht="13.2">
      <c r="A2098" s="90"/>
      <c r="B2098" s="92"/>
      <c r="C2098" s="90"/>
      <c r="D2098" s="90"/>
      <c r="E2098" s="90"/>
      <c r="F2098" s="90"/>
      <c r="G2098" s="90"/>
      <c r="H2098" s="90"/>
      <c r="I2098" s="90"/>
      <c r="J2098" s="90"/>
      <c r="K2098" s="90"/>
      <c r="L2098" s="90"/>
      <c r="M2098" s="90"/>
      <c r="N2098" s="90"/>
      <c r="O2098" s="90"/>
      <c r="P2098" s="90"/>
    </row>
    <row r="2099" spans="1:16" ht="13.2">
      <c r="A2099" s="90"/>
      <c r="B2099" s="92"/>
      <c r="C2099" s="90"/>
      <c r="D2099" s="90"/>
      <c r="E2099" s="90"/>
      <c r="F2099" s="90"/>
      <c r="G2099" s="90"/>
      <c r="H2099" s="90"/>
      <c r="I2099" s="90"/>
      <c r="J2099" s="90"/>
      <c r="K2099" s="90"/>
      <c r="L2099" s="90"/>
      <c r="M2099" s="90"/>
      <c r="N2099" s="90"/>
      <c r="O2099" s="90"/>
      <c r="P2099" s="90"/>
    </row>
    <row r="2100" spans="1:16" ht="13.2">
      <c r="A2100" s="90"/>
      <c r="B2100" s="92"/>
      <c r="C2100" s="90"/>
      <c r="D2100" s="90"/>
      <c r="E2100" s="90"/>
      <c r="F2100" s="90"/>
      <c r="G2100" s="90"/>
      <c r="H2100" s="90"/>
      <c r="I2100" s="90"/>
      <c r="J2100" s="90"/>
      <c r="K2100" s="90"/>
      <c r="L2100" s="90"/>
      <c r="M2100" s="90"/>
      <c r="N2100" s="90"/>
      <c r="O2100" s="90"/>
      <c r="P2100" s="90"/>
    </row>
    <row r="2101" spans="1:16" ht="13.2">
      <c r="A2101" s="90"/>
      <c r="B2101" s="92"/>
      <c r="C2101" s="90"/>
      <c r="D2101" s="90"/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</row>
    <row r="2102" spans="1:16" ht="13.2">
      <c r="A2102" s="90"/>
      <c r="B2102" s="92"/>
      <c r="C2102" s="90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</row>
    <row r="2103" spans="1:16" ht="13.2">
      <c r="A2103" s="90"/>
      <c r="B2103" s="92"/>
      <c r="C2103" s="90"/>
      <c r="D2103" s="90"/>
      <c r="E2103" s="90"/>
      <c r="F2103" s="90"/>
      <c r="G2103" s="90"/>
      <c r="H2103" s="90"/>
      <c r="I2103" s="90"/>
      <c r="J2103" s="90"/>
      <c r="K2103" s="90"/>
      <c r="L2103" s="90"/>
      <c r="M2103" s="90"/>
      <c r="N2103" s="90"/>
      <c r="O2103" s="90"/>
      <c r="P2103" s="90"/>
    </row>
    <row r="2104" spans="1:16" ht="13.2">
      <c r="A2104" s="90"/>
      <c r="B2104" s="92"/>
      <c r="C2104" s="90"/>
      <c r="D2104" s="90"/>
      <c r="E2104" s="90"/>
      <c r="F2104" s="90"/>
      <c r="G2104" s="90"/>
      <c r="H2104" s="90"/>
      <c r="I2104" s="90"/>
      <c r="J2104" s="90"/>
      <c r="K2104" s="90"/>
      <c r="L2104" s="90"/>
      <c r="M2104" s="90"/>
      <c r="N2104" s="90"/>
      <c r="O2104" s="90"/>
      <c r="P2104" s="90"/>
    </row>
    <row r="2105" spans="1:16" ht="13.2">
      <c r="A2105" s="90"/>
      <c r="B2105" s="92"/>
      <c r="C2105" s="90"/>
      <c r="D2105" s="90"/>
      <c r="E2105" s="90"/>
      <c r="F2105" s="90"/>
      <c r="G2105" s="90"/>
      <c r="H2105" s="90"/>
      <c r="I2105" s="90"/>
      <c r="J2105" s="90"/>
      <c r="K2105" s="90"/>
      <c r="L2105" s="90"/>
      <c r="M2105" s="90"/>
      <c r="N2105" s="90"/>
      <c r="O2105" s="90"/>
      <c r="P2105" s="90"/>
    </row>
    <row r="2106" spans="1:16" ht="13.2">
      <c r="A2106" s="90"/>
      <c r="B2106" s="92"/>
      <c r="C2106" s="90"/>
      <c r="D2106" s="90"/>
      <c r="E2106" s="90"/>
      <c r="F2106" s="90"/>
      <c r="G2106" s="90"/>
      <c r="H2106" s="90"/>
      <c r="I2106" s="90"/>
      <c r="J2106" s="90"/>
      <c r="K2106" s="90"/>
      <c r="L2106" s="90"/>
      <c r="M2106" s="90"/>
      <c r="N2106" s="90"/>
      <c r="O2106" s="90"/>
      <c r="P2106" s="90"/>
    </row>
    <row r="2107" spans="1:16" ht="13.2">
      <c r="A2107" s="90"/>
      <c r="B2107" s="92"/>
      <c r="C2107" s="90"/>
      <c r="D2107" s="90"/>
      <c r="E2107" s="90"/>
      <c r="F2107" s="90"/>
      <c r="G2107" s="90"/>
      <c r="H2107" s="90"/>
      <c r="I2107" s="90"/>
      <c r="J2107" s="90"/>
      <c r="K2107" s="90"/>
      <c r="L2107" s="90"/>
      <c r="M2107" s="90"/>
      <c r="N2107" s="90"/>
      <c r="O2107" s="90"/>
      <c r="P2107" s="90"/>
    </row>
    <row r="2108" spans="1:16" ht="13.2">
      <c r="A2108" s="90"/>
      <c r="B2108" s="92"/>
      <c r="C2108" s="90"/>
      <c r="D2108" s="90"/>
      <c r="E2108" s="90"/>
      <c r="F2108" s="90"/>
      <c r="G2108" s="90"/>
      <c r="H2108" s="90"/>
      <c r="I2108" s="90"/>
      <c r="J2108" s="90"/>
      <c r="K2108" s="90"/>
      <c r="L2108" s="90"/>
      <c r="M2108" s="90"/>
      <c r="N2108" s="90"/>
      <c r="O2108" s="90"/>
      <c r="P2108" s="90"/>
    </row>
    <row r="2109" spans="1:16" ht="13.2">
      <c r="A2109" s="90"/>
      <c r="B2109" s="92"/>
      <c r="C2109" s="90"/>
      <c r="D2109" s="90"/>
      <c r="E2109" s="90"/>
      <c r="F2109" s="90"/>
      <c r="G2109" s="90"/>
      <c r="H2109" s="90"/>
      <c r="I2109" s="90"/>
      <c r="J2109" s="90"/>
      <c r="K2109" s="90"/>
      <c r="L2109" s="90"/>
      <c r="M2109" s="90"/>
      <c r="N2109" s="90"/>
      <c r="O2109" s="90"/>
      <c r="P2109" s="90"/>
    </row>
    <row r="2110" spans="1:16" ht="13.2">
      <c r="A2110" s="90"/>
      <c r="B2110" s="92"/>
      <c r="C2110" s="90"/>
      <c r="D2110" s="90"/>
      <c r="E2110" s="90"/>
      <c r="F2110" s="90"/>
      <c r="G2110" s="90"/>
      <c r="H2110" s="90"/>
      <c r="I2110" s="90"/>
      <c r="J2110" s="90"/>
      <c r="K2110" s="90"/>
      <c r="L2110" s="90"/>
      <c r="M2110" s="90"/>
      <c r="N2110" s="90"/>
      <c r="O2110" s="90"/>
      <c r="P2110" s="90"/>
    </row>
    <row r="2111" spans="1:16" ht="13.2">
      <c r="A2111" s="90"/>
      <c r="B2111" s="92"/>
      <c r="C2111" s="90"/>
      <c r="D2111" s="90"/>
      <c r="E2111" s="90"/>
      <c r="F2111" s="90"/>
      <c r="G2111" s="90"/>
      <c r="H2111" s="90"/>
      <c r="I2111" s="90"/>
      <c r="J2111" s="90"/>
      <c r="K2111" s="90"/>
      <c r="L2111" s="90"/>
      <c r="M2111" s="90"/>
      <c r="N2111" s="90"/>
      <c r="O2111" s="90"/>
      <c r="P2111" s="90"/>
    </row>
    <row r="2112" spans="1:16" ht="13.2">
      <c r="A2112" s="90"/>
      <c r="B2112" s="92"/>
      <c r="C2112" s="90"/>
      <c r="D2112" s="90"/>
      <c r="E2112" s="90"/>
      <c r="F2112" s="90"/>
      <c r="G2112" s="90"/>
      <c r="H2112" s="90"/>
      <c r="I2112" s="90"/>
      <c r="J2112" s="90"/>
      <c r="K2112" s="90"/>
      <c r="L2112" s="90"/>
      <c r="M2112" s="90"/>
      <c r="N2112" s="90"/>
      <c r="O2112" s="90"/>
      <c r="P2112" s="90"/>
    </row>
    <row r="2113" spans="1:16" ht="13.2">
      <c r="A2113" s="90"/>
      <c r="B2113" s="92"/>
      <c r="C2113" s="90"/>
      <c r="D2113" s="90"/>
      <c r="E2113" s="90"/>
      <c r="F2113" s="90"/>
      <c r="G2113" s="90"/>
      <c r="H2113" s="90"/>
      <c r="I2113" s="90"/>
      <c r="J2113" s="90"/>
      <c r="K2113" s="90"/>
      <c r="L2113" s="90"/>
      <c r="M2113" s="90"/>
      <c r="N2113" s="90"/>
      <c r="O2113" s="90"/>
      <c r="P2113" s="90"/>
    </row>
    <row r="2114" spans="1:16" ht="13.2">
      <c r="A2114" s="90"/>
      <c r="B2114" s="92"/>
      <c r="C2114" s="90"/>
      <c r="D2114" s="90"/>
      <c r="E2114" s="90"/>
      <c r="F2114" s="90"/>
      <c r="G2114" s="90"/>
      <c r="H2114" s="90"/>
      <c r="I2114" s="90"/>
      <c r="J2114" s="90"/>
      <c r="K2114" s="90"/>
      <c r="L2114" s="90"/>
      <c r="M2114" s="90"/>
      <c r="N2114" s="90"/>
      <c r="O2114" s="90"/>
      <c r="P2114" s="90"/>
    </row>
    <row r="2115" spans="1:16" ht="13.2">
      <c r="A2115" s="90"/>
      <c r="B2115" s="92"/>
      <c r="C2115" s="90"/>
      <c r="D2115" s="90"/>
      <c r="E2115" s="90"/>
      <c r="F2115" s="90"/>
      <c r="G2115" s="90"/>
      <c r="H2115" s="90"/>
      <c r="I2115" s="90"/>
      <c r="J2115" s="90"/>
      <c r="K2115" s="90"/>
      <c r="L2115" s="90"/>
      <c r="M2115" s="90"/>
      <c r="N2115" s="90"/>
      <c r="O2115" s="90"/>
      <c r="P2115" s="90"/>
    </row>
    <row r="2116" spans="1:16" ht="13.2">
      <c r="A2116" s="90"/>
      <c r="B2116" s="92"/>
      <c r="C2116" s="90"/>
      <c r="D2116" s="90"/>
      <c r="E2116" s="90"/>
      <c r="F2116" s="90"/>
      <c r="G2116" s="90"/>
      <c r="H2116" s="90"/>
      <c r="I2116" s="90"/>
      <c r="J2116" s="90"/>
      <c r="K2116" s="90"/>
      <c r="L2116" s="90"/>
      <c r="M2116" s="90"/>
      <c r="N2116" s="90"/>
      <c r="O2116" s="90"/>
      <c r="P2116" s="90"/>
    </row>
    <row r="2117" spans="1:16" ht="13.2">
      <c r="A2117" s="90"/>
      <c r="B2117" s="92"/>
      <c r="C2117" s="90"/>
      <c r="D2117" s="90"/>
      <c r="E2117" s="90"/>
      <c r="F2117" s="90"/>
      <c r="G2117" s="90"/>
      <c r="H2117" s="90"/>
      <c r="I2117" s="90"/>
      <c r="J2117" s="90"/>
      <c r="K2117" s="90"/>
      <c r="L2117" s="90"/>
      <c r="M2117" s="90"/>
      <c r="N2117" s="90"/>
      <c r="O2117" s="90"/>
      <c r="P2117" s="90"/>
    </row>
    <row r="2118" spans="1:16" ht="13.2">
      <c r="A2118" s="90"/>
      <c r="B2118" s="92"/>
      <c r="C2118" s="90"/>
      <c r="D2118" s="90"/>
      <c r="E2118" s="90"/>
      <c r="F2118" s="90"/>
      <c r="G2118" s="90"/>
      <c r="H2118" s="90"/>
      <c r="I2118" s="90"/>
      <c r="J2118" s="90"/>
      <c r="K2118" s="90"/>
      <c r="L2118" s="90"/>
      <c r="M2118" s="90"/>
      <c r="N2118" s="90"/>
      <c r="O2118" s="90"/>
      <c r="P2118" s="90"/>
    </row>
    <row r="2119" spans="1:16" ht="13.2">
      <c r="A2119" s="90"/>
      <c r="B2119" s="92"/>
      <c r="C2119" s="90"/>
      <c r="D2119" s="90"/>
      <c r="E2119" s="90"/>
      <c r="F2119" s="90"/>
      <c r="G2119" s="90"/>
      <c r="H2119" s="90"/>
      <c r="I2119" s="90"/>
      <c r="J2119" s="90"/>
      <c r="K2119" s="90"/>
      <c r="L2119" s="90"/>
      <c r="M2119" s="90"/>
      <c r="N2119" s="90"/>
      <c r="O2119" s="90"/>
      <c r="P2119" s="90"/>
    </row>
    <row r="2120" spans="1:16" ht="13.2">
      <c r="A2120" s="90"/>
      <c r="B2120" s="92"/>
      <c r="C2120" s="90"/>
      <c r="D2120" s="90"/>
      <c r="E2120" s="90"/>
      <c r="F2120" s="90"/>
      <c r="G2120" s="90"/>
      <c r="H2120" s="90"/>
      <c r="I2120" s="90"/>
      <c r="J2120" s="90"/>
      <c r="K2120" s="90"/>
      <c r="L2120" s="90"/>
      <c r="M2120" s="90"/>
      <c r="N2120" s="90"/>
      <c r="O2120" s="90"/>
      <c r="P2120" s="90"/>
    </row>
    <row r="2121" spans="1:16" ht="13.2">
      <c r="A2121" s="90"/>
      <c r="B2121" s="92"/>
      <c r="C2121" s="90"/>
      <c r="D2121" s="90"/>
      <c r="E2121" s="90"/>
      <c r="F2121" s="90"/>
      <c r="G2121" s="90"/>
      <c r="H2121" s="90"/>
      <c r="I2121" s="90"/>
      <c r="J2121" s="90"/>
      <c r="K2121" s="90"/>
      <c r="L2121" s="90"/>
      <c r="M2121" s="90"/>
      <c r="N2121" s="90"/>
      <c r="O2121" s="90"/>
      <c r="P2121" s="90"/>
    </row>
    <row r="2122" spans="1:16" ht="13.2">
      <c r="A2122" s="90"/>
      <c r="B2122" s="92"/>
      <c r="C2122" s="90"/>
      <c r="D2122" s="90"/>
      <c r="E2122" s="90"/>
      <c r="F2122" s="90"/>
      <c r="G2122" s="90"/>
      <c r="H2122" s="90"/>
      <c r="I2122" s="90"/>
      <c r="J2122" s="90"/>
      <c r="K2122" s="90"/>
      <c r="L2122" s="90"/>
      <c r="M2122" s="90"/>
      <c r="N2122" s="90"/>
      <c r="O2122" s="90"/>
      <c r="P2122" s="90"/>
    </row>
    <row r="2123" spans="1:16" ht="13.2">
      <c r="A2123" s="90"/>
      <c r="B2123" s="92"/>
      <c r="C2123" s="90"/>
      <c r="D2123" s="90"/>
      <c r="E2123" s="90"/>
      <c r="F2123" s="90"/>
      <c r="G2123" s="90"/>
      <c r="H2123" s="90"/>
      <c r="I2123" s="90"/>
      <c r="J2123" s="90"/>
      <c r="K2123" s="90"/>
      <c r="L2123" s="90"/>
      <c r="M2123" s="90"/>
      <c r="N2123" s="90"/>
      <c r="O2123" s="90"/>
      <c r="P2123" s="90"/>
    </row>
    <row r="2124" spans="1:16" ht="13.2">
      <c r="A2124" s="90"/>
      <c r="B2124" s="92"/>
      <c r="C2124" s="90"/>
      <c r="D2124" s="90"/>
      <c r="E2124" s="90"/>
      <c r="F2124" s="90"/>
      <c r="G2124" s="90"/>
      <c r="H2124" s="90"/>
      <c r="I2124" s="90"/>
      <c r="J2124" s="90"/>
      <c r="K2124" s="90"/>
      <c r="L2124" s="90"/>
      <c r="M2124" s="90"/>
      <c r="N2124" s="90"/>
      <c r="O2124" s="90"/>
      <c r="P2124" s="90"/>
    </row>
    <row r="2125" spans="1:16" ht="13.2">
      <c r="A2125" s="90"/>
      <c r="B2125" s="92"/>
      <c r="C2125" s="90"/>
      <c r="D2125" s="90"/>
      <c r="E2125" s="90"/>
      <c r="F2125" s="90"/>
      <c r="G2125" s="90"/>
      <c r="H2125" s="90"/>
      <c r="I2125" s="90"/>
      <c r="J2125" s="90"/>
      <c r="K2125" s="90"/>
      <c r="L2125" s="90"/>
      <c r="M2125" s="90"/>
      <c r="N2125" s="90"/>
      <c r="O2125" s="90"/>
      <c r="P2125" s="90"/>
    </row>
    <row r="2126" spans="1:16" ht="13.2">
      <c r="A2126" s="90"/>
      <c r="B2126" s="92"/>
      <c r="C2126" s="90"/>
      <c r="D2126" s="90"/>
      <c r="E2126" s="90"/>
      <c r="F2126" s="90"/>
      <c r="G2126" s="90"/>
      <c r="H2126" s="90"/>
      <c r="I2126" s="90"/>
      <c r="J2126" s="90"/>
      <c r="K2126" s="90"/>
      <c r="L2126" s="90"/>
      <c r="M2126" s="90"/>
      <c r="N2126" s="90"/>
      <c r="O2126" s="90"/>
      <c r="P2126" s="90"/>
    </row>
    <row r="2127" spans="1:16" ht="13.2">
      <c r="A2127" s="90"/>
      <c r="B2127" s="92"/>
      <c r="C2127" s="90"/>
      <c r="D2127" s="90"/>
      <c r="E2127" s="90"/>
      <c r="F2127" s="90"/>
      <c r="G2127" s="90"/>
      <c r="H2127" s="90"/>
      <c r="I2127" s="90"/>
      <c r="J2127" s="90"/>
      <c r="K2127" s="90"/>
      <c r="L2127" s="90"/>
      <c r="M2127" s="90"/>
      <c r="N2127" s="90"/>
      <c r="O2127" s="90"/>
      <c r="P2127" s="90"/>
    </row>
    <row r="2128" spans="1:16" ht="13.2">
      <c r="A2128" s="90"/>
      <c r="B2128" s="92"/>
      <c r="C2128" s="90"/>
      <c r="D2128" s="90"/>
      <c r="E2128" s="90"/>
      <c r="F2128" s="90"/>
      <c r="G2128" s="90"/>
      <c r="H2128" s="90"/>
      <c r="I2128" s="90"/>
      <c r="J2128" s="90"/>
      <c r="K2128" s="90"/>
      <c r="L2128" s="90"/>
      <c r="M2128" s="90"/>
      <c r="N2128" s="90"/>
      <c r="O2128" s="90"/>
      <c r="P2128" s="90"/>
    </row>
    <row r="2129" spans="1:16" ht="13.2">
      <c r="A2129" s="90"/>
      <c r="B2129" s="92"/>
      <c r="C2129" s="90"/>
      <c r="D2129" s="90"/>
      <c r="E2129" s="90"/>
      <c r="F2129" s="90"/>
      <c r="G2129" s="90"/>
      <c r="H2129" s="90"/>
      <c r="I2129" s="90"/>
      <c r="J2129" s="90"/>
      <c r="K2129" s="90"/>
      <c r="L2129" s="90"/>
      <c r="M2129" s="90"/>
      <c r="N2129" s="90"/>
      <c r="O2129" s="90"/>
      <c r="P2129" s="90"/>
    </row>
    <row r="2130" spans="1:16" ht="13.2">
      <c r="A2130" s="90"/>
      <c r="B2130" s="92"/>
      <c r="C2130" s="90"/>
      <c r="D2130" s="90"/>
      <c r="E2130" s="90"/>
      <c r="F2130" s="90"/>
      <c r="G2130" s="90"/>
      <c r="H2130" s="90"/>
      <c r="I2130" s="90"/>
      <c r="J2130" s="90"/>
      <c r="K2130" s="90"/>
      <c r="L2130" s="90"/>
      <c r="M2130" s="90"/>
      <c r="N2130" s="90"/>
      <c r="O2130" s="90"/>
      <c r="P2130" s="90"/>
    </row>
    <row r="2131" spans="1:16" ht="13.2">
      <c r="A2131" s="90"/>
      <c r="B2131" s="92"/>
      <c r="C2131" s="90"/>
      <c r="D2131" s="90"/>
      <c r="E2131" s="90"/>
      <c r="F2131" s="90"/>
      <c r="G2131" s="90"/>
      <c r="H2131" s="90"/>
      <c r="I2131" s="90"/>
      <c r="J2131" s="90"/>
      <c r="K2131" s="90"/>
      <c r="L2131" s="90"/>
      <c r="M2131" s="90"/>
      <c r="N2131" s="90"/>
      <c r="O2131" s="90"/>
      <c r="P2131" s="90"/>
    </row>
    <row r="2132" spans="1:16" ht="13.2">
      <c r="A2132" s="90"/>
      <c r="B2132" s="92"/>
      <c r="C2132" s="90"/>
      <c r="D2132" s="90"/>
      <c r="E2132" s="90"/>
      <c r="F2132" s="90"/>
      <c r="G2132" s="90"/>
      <c r="H2132" s="90"/>
      <c r="I2132" s="90"/>
      <c r="J2132" s="90"/>
      <c r="K2132" s="90"/>
      <c r="L2132" s="90"/>
      <c r="M2132" s="90"/>
      <c r="N2132" s="90"/>
      <c r="O2132" s="90"/>
      <c r="P2132" s="90"/>
    </row>
    <row r="2133" spans="1:16" ht="13.2">
      <c r="A2133" s="90"/>
      <c r="B2133" s="92"/>
      <c r="C2133" s="90"/>
      <c r="D2133" s="90"/>
      <c r="E2133" s="90"/>
      <c r="F2133" s="90"/>
      <c r="G2133" s="90"/>
      <c r="H2133" s="90"/>
      <c r="I2133" s="90"/>
      <c r="J2133" s="90"/>
      <c r="K2133" s="90"/>
      <c r="L2133" s="90"/>
      <c r="M2133" s="90"/>
      <c r="N2133" s="90"/>
      <c r="O2133" s="90"/>
      <c r="P2133" s="90"/>
    </row>
    <row r="2134" spans="1:16" ht="13.2">
      <c r="A2134" s="90"/>
      <c r="B2134" s="92"/>
      <c r="C2134" s="90"/>
      <c r="D2134" s="90"/>
      <c r="E2134" s="90"/>
      <c r="F2134" s="90"/>
      <c r="G2134" s="90"/>
      <c r="H2134" s="90"/>
      <c r="I2134" s="90"/>
      <c r="J2134" s="90"/>
      <c r="K2134" s="90"/>
      <c r="L2134" s="90"/>
      <c r="M2134" s="90"/>
      <c r="N2134" s="90"/>
      <c r="O2134" s="90"/>
      <c r="P2134" s="90"/>
    </row>
    <row r="2135" spans="1:16" ht="13.2">
      <c r="A2135" s="90"/>
      <c r="B2135" s="92"/>
      <c r="C2135" s="90"/>
      <c r="D2135" s="90"/>
      <c r="E2135" s="90"/>
      <c r="F2135" s="90"/>
      <c r="G2135" s="90"/>
      <c r="H2135" s="90"/>
      <c r="I2135" s="90"/>
      <c r="J2135" s="90"/>
      <c r="K2135" s="90"/>
      <c r="L2135" s="90"/>
      <c r="M2135" s="90"/>
      <c r="N2135" s="90"/>
      <c r="O2135" s="90"/>
      <c r="P2135" s="90"/>
    </row>
    <row r="2136" spans="1:16" ht="13.2">
      <c r="A2136" s="90"/>
      <c r="B2136" s="92"/>
      <c r="C2136" s="90"/>
      <c r="D2136" s="90"/>
      <c r="E2136" s="90"/>
      <c r="F2136" s="90"/>
      <c r="G2136" s="90"/>
      <c r="H2136" s="90"/>
      <c r="I2136" s="90"/>
      <c r="J2136" s="90"/>
      <c r="K2136" s="90"/>
      <c r="L2136" s="90"/>
      <c r="M2136" s="90"/>
      <c r="N2136" s="90"/>
      <c r="O2136" s="90"/>
      <c r="P2136" s="90"/>
    </row>
    <row r="2137" spans="1:16" ht="13.2">
      <c r="A2137" s="90"/>
      <c r="B2137" s="92"/>
      <c r="C2137" s="90"/>
      <c r="D2137" s="90"/>
      <c r="E2137" s="90"/>
      <c r="F2137" s="90"/>
      <c r="G2137" s="90"/>
      <c r="H2137" s="90"/>
      <c r="I2137" s="90"/>
      <c r="J2137" s="90"/>
      <c r="K2137" s="90"/>
      <c r="L2137" s="90"/>
      <c r="M2137" s="90"/>
      <c r="N2137" s="90"/>
      <c r="O2137" s="90"/>
      <c r="P2137" s="90"/>
    </row>
    <row r="2138" spans="1:16" ht="13.2">
      <c r="A2138" s="90"/>
      <c r="B2138" s="92"/>
      <c r="C2138" s="90"/>
      <c r="D2138" s="90"/>
      <c r="E2138" s="90"/>
      <c r="F2138" s="90"/>
      <c r="G2138" s="90"/>
      <c r="H2138" s="90"/>
      <c r="I2138" s="90"/>
      <c r="J2138" s="90"/>
      <c r="K2138" s="90"/>
      <c r="L2138" s="90"/>
      <c r="M2138" s="90"/>
      <c r="N2138" s="90"/>
      <c r="O2138" s="90"/>
      <c r="P2138" s="90"/>
    </row>
    <row r="2139" spans="1:16" ht="13.2">
      <c r="A2139" s="90"/>
      <c r="B2139" s="92"/>
      <c r="C2139" s="90"/>
      <c r="D2139" s="90"/>
      <c r="E2139" s="90"/>
      <c r="F2139" s="90"/>
      <c r="G2139" s="90"/>
      <c r="H2139" s="90"/>
      <c r="I2139" s="90"/>
      <c r="J2139" s="90"/>
      <c r="K2139" s="90"/>
      <c r="L2139" s="90"/>
      <c r="M2139" s="90"/>
      <c r="N2139" s="90"/>
      <c r="O2139" s="90"/>
      <c r="P2139" s="90"/>
    </row>
    <row r="2140" spans="1:16" ht="13.2">
      <c r="A2140" s="90"/>
      <c r="B2140" s="92"/>
      <c r="C2140" s="90"/>
      <c r="D2140" s="90"/>
      <c r="E2140" s="90"/>
      <c r="F2140" s="90"/>
      <c r="G2140" s="90"/>
      <c r="H2140" s="90"/>
      <c r="I2140" s="90"/>
      <c r="J2140" s="90"/>
      <c r="K2140" s="90"/>
      <c r="L2140" s="90"/>
      <c r="M2140" s="90"/>
      <c r="N2140" s="90"/>
      <c r="O2140" s="90"/>
      <c r="P2140" s="90"/>
    </row>
    <row r="2141" spans="1:16" ht="13.2">
      <c r="A2141" s="90"/>
      <c r="B2141" s="92"/>
      <c r="C2141" s="90"/>
      <c r="D2141" s="90"/>
      <c r="E2141" s="90"/>
      <c r="F2141" s="90"/>
      <c r="G2141" s="90"/>
      <c r="H2141" s="90"/>
      <c r="I2141" s="90"/>
      <c r="J2141" s="90"/>
      <c r="K2141" s="90"/>
      <c r="L2141" s="90"/>
      <c r="M2141" s="90"/>
      <c r="N2141" s="90"/>
      <c r="O2141" s="90"/>
      <c r="P2141" s="90"/>
    </row>
    <row r="2142" spans="1:16" ht="13.2">
      <c r="A2142" s="90"/>
      <c r="B2142" s="92"/>
      <c r="C2142" s="90"/>
      <c r="D2142" s="90"/>
      <c r="E2142" s="90"/>
      <c r="F2142" s="90"/>
      <c r="G2142" s="90"/>
      <c r="H2142" s="90"/>
      <c r="I2142" s="90"/>
      <c r="J2142" s="90"/>
      <c r="K2142" s="90"/>
      <c r="L2142" s="90"/>
      <c r="M2142" s="90"/>
      <c r="N2142" s="90"/>
      <c r="O2142" s="90"/>
      <c r="P2142" s="90"/>
    </row>
    <row r="2143" spans="1:16" ht="13.2">
      <c r="A2143" s="90"/>
      <c r="B2143" s="92"/>
      <c r="C2143" s="90"/>
      <c r="D2143" s="90"/>
      <c r="E2143" s="90"/>
      <c r="F2143" s="90"/>
      <c r="G2143" s="90"/>
      <c r="H2143" s="90"/>
      <c r="I2143" s="90"/>
      <c r="J2143" s="90"/>
      <c r="K2143" s="90"/>
      <c r="L2143" s="90"/>
      <c r="M2143" s="90"/>
      <c r="N2143" s="90"/>
      <c r="O2143" s="90"/>
      <c r="P2143" s="90"/>
    </row>
    <row r="2144" spans="1:16" ht="13.2">
      <c r="A2144" s="90"/>
      <c r="B2144" s="92"/>
      <c r="C2144" s="90"/>
      <c r="D2144" s="90"/>
      <c r="E2144" s="90"/>
      <c r="F2144" s="90"/>
      <c r="G2144" s="90"/>
      <c r="H2144" s="90"/>
      <c r="I2144" s="90"/>
      <c r="J2144" s="90"/>
      <c r="K2144" s="90"/>
      <c r="L2144" s="90"/>
      <c r="M2144" s="90"/>
      <c r="N2144" s="90"/>
      <c r="O2144" s="90"/>
      <c r="P2144" s="90"/>
    </row>
    <row r="2145" spans="1:16" ht="13.2">
      <c r="A2145" s="90"/>
      <c r="B2145" s="92"/>
      <c r="C2145" s="90"/>
      <c r="D2145" s="90"/>
      <c r="E2145" s="90"/>
      <c r="F2145" s="90"/>
      <c r="G2145" s="90"/>
      <c r="H2145" s="90"/>
      <c r="I2145" s="90"/>
      <c r="J2145" s="90"/>
      <c r="K2145" s="90"/>
      <c r="L2145" s="90"/>
      <c r="M2145" s="90"/>
      <c r="N2145" s="90"/>
      <c r="O2145" s="90"/>
      <c r="P2145" s="90"/>
    </row>
    <row r="2146" spans="1:16" ht="13.2">
      <c r="A2146" s="90"/>
      <c r="B2146" s="92"/>
      <c r="C2146" s="90"/>
      <c r="D2146" s="90"/>
      <c r="E2146" s="90"/>
      <c r="F2146" s="90"/>
      <c r="G2146" s="90"/>
      <c r="H2146" s="90"/>
      <c r="I2146" s="90"/>
      <c r="J2146" s="90"/>
      <c r="K2146" s="90"/>
      <c r="L2146" s="90"/>
      <c r="M2146" s="90"/>
      <c r="N2146" s="90"/>
      <c r="O2146" s="90"/>
      <c r="P2146" s="90"/>
    </row>
    <row r="2147" spans="1:16" ht="13.2">
      <c r="A2147" s="90"/>
      <c r="B2147" s="92"/>
      <c r="C2147" s="90"/>
      <c r="D2147" s="90"/>
      <c r="E2147" s="90"/>
      <c r="F2147" s="90"/>
      <c r="G2147" s="90"/>
      <c r="H2147" s="90"/>
      <c r="I2147" s="90"/>
      <c r="J2147" s="90"/>
      <c r="K2147" s="90"/>
      <c r="L2147" s="90"/>
      <c r="M2147" s="90"/>
      <c r="N2147" s="90"/>
      <c r="O2147" s="90"/>
      <c r="P2147" s="90"/>
    </row>
    <row r="2148" spans="1:16" ht="13.2">
      <c r="A2148" s="90"/>
      <c r="B2148" s="92"/>
      <c r="C2148" s="90"/>
      <c r="D2148" s="90"/>
      <c r="E2148" s="90"/>
      <c r="F2148" s="90"/>
      <c r="G2148" s="90"/>
      <c r="H2148" s="90"/>
      <c r="I2148" s="90"/>
      <c r="J2148" s="90"/>
      <c r="K2148" s="90"/>
      <c r="L2148" s="90"/>
      <c r="M2148" s="90"/>
      <c r="N2148" s="90"/>
      <c r="O2148" s="90"/>
      <c r="P2148" s="90"/>
    </row>
    <row r="2149" spans="1:16" ht="13.2">
      <c r="A2149" s="90"/>
      <c r="B2149" s="92"/>
      <c r="C2149" s="90"/>
      <c r="D2149" s="90"/>
      <c r="E2149" s="90"/>
      <c r="F2149" s="90"/>
      <c r="G2149" s="90"/>
      <c r="H2149" s="90"/>
      <c r="I2149" s="90"/>
      <c r="J2149" s="90"/>
      <c r="K2149" s="90"/>
      <c r="L2149" s="90"/>
      <c r="M2149" s="90"/>
      <c r="N2149" s="90"/>
      <c r="O2149" s="90"/>
      <c r="P2149" s="90"/>
    </row>
    <row r="2150" spans="1:16" ht="13.2">
      <c r="A2150" s="90"/>
      <c r="B2150" s="92"/>
      <c r="C2150" s="90"/>
      <c r="D2150" s="90"/>
      <c r="E2150" s="90"/>
      <c r="F2150" s="90"/>
      <c r="G2150" s="90"/>
      <c r="H2150" s="90"/>
      <c r="I2150" s="90"/>
      <c r="J2150" s="90"/>
      <c r="K2150" s="90"/>
      <c r="L2150" s="90"/>
      <c r="M2150" s="90"/>
      <c r="N2150" s="90"/>
      <c r="O2150" s="90"/>
      <c r="P2150" s="90"/>
    </row>
    <row r="2151" spans="1:16" ht="13.2">
      <c r="A2151" s="90"/>
      <c r="B2151" s="92"/>
      <c r="C2151" s="90"/>
      <c r="D2151" s="90"/>
      <c r="E2151" s="90"/>
      <c r="F2151" s="90"/>
      <c r="G2151" s="90"/>
      <c r="H2151" s="90"/>
      <c r="I2151" s="90"/>
      <c r="J2151" s="90"/>
      <c r="K2151" s="90"/>
      <c r="L2151" s="90"/>
      <c r="M2151" s="90"/>
      <c r="N2151" s="90"/>
      <c r="O2151" s="90"/>
      <c r="P2151" s="90"/>
    </row>
    <row r="2152" spans="1:16" ht="13.2">
      <c r="A2152" s="90"/>
      <c r="B2152" s="92"/>
      <c r="C2152" s="90"/>
      <c r="D2152" s="90"/>
      <c r="E2152" s="90"/>
      <c r="F2152" s="90"/>
      <c r="G2152" s="90"/>
      <c r="H2152" s="90"/>
      <c r="I2152" s="90"/>
      <c r="J2152" s="90"/>
      <c r="K2152" s="90"/>
      <c r="L2152" s="90"/>
      <c r="M2152" s="90"/>
      <c r="N2152" s="90"/>
      <c r="O2152" s="90"/>
      <c r="P2152" s="90"/>
    </row>
    <row r="2153" spans="1:16" ht="13.2">
      <c r="A2153" s="90"/>
      <c r="B2153" s="92"/>
      <c r="C2153" s="90"/>
      <c r="D2153" s="90"/>
      <c r="E2153" s="90"/>
      <c r="F2153" s="90"/>
      <c r="G2153" s="90"/>
      <c r="H2153" s="90"/>
      <c r="I2153" s="90"/>
      <c r="J2153" s="90"/>
      <c r="K2153" s="90"/>
      <c r="L2153" s="90"/>
      <c r="M2153" s="90"/>
      <c r="N2153" s="90"/>
      <c r="O2153" s="90"/>
      <c r="P2153" s="90"/>
    </row>
    <row r="2154" spans="1:16" ht="13.2">
      <c r="A2154" s="90"/>
      <c r="B2154" s="92"/>
      <c r="C2154" s="90"/>
      <c r="D2154" s="90"/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</row>
    <row r="2155" spans="1:16" ht="13.2">
      <c r="A2155" s="90"/>
      <c r="B2155" s="92"/>
      <c r="C2155" s="90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</row>
    <row r="2156" spans="1:16" ht="13.2">
      <c r="A2156" s="90"/>
      <c r="B2156" s="92"/>
      <c r="C2156" s="90"/>
      <c r="D2156" s="90"/>
      <c r="E2156" s="90"/>
      <c r="F2156" s="90"/>
      <c r="G2156" s="90"/>
      <c r="H2156" s="90"/>
      <c r="I2156" s="90"/>
      <c r="J2156" s="90"/>
      <c r="K2156" s="90"/>
      <c r="L2156" s="90"/>
      <c r="M2156" s="90"/>
      <c r="N2156" s="90"/>
      <c r="O2156" s="90"/>
      <c r="P2156" s="90"/>
    </row>
    <row r="2157" spans="1:16" ht="13.2">
      <c r="A2157" s="90"/>
      <c r="B2157" s="92"/>
      <c r="C2157" s="90"/>
      <c r="D2157" s="90"/>
      <c r="E2157" s="90"/>
      <c r="F2157" s="90"/>
      <c r="G2157" s="90"/>
      <c r="H2157" s="90"/>
      <c r="I2157" s="90"/>
      <c r="J2157" s="90"/>
      <c r="K2157" s="90"/>
      <c r="L2157" s="90"/>
      <c r="M2157" s="90"/>
      <c r="N2157" s="90"/>
      <c r="O2157" s="90"/>
      <c r="P2157" s="90"/>
    </row>
    <row r="2158" spans="1:16" ht="13.2">
      <c r="A2158" s="90"/>
      <c r="B2158" s="92"/>
      <c r="C2158" s="90"/>
      <c r="D2158" s="90"/>
      <c r="E2158" s="90"/>
      <c r="F2158" s="90"/>
      <c r="G2158" s="90"/>
      <c r="H2158" s="90"/>
      <c r="I2158" s="90"/>
      <c r="J2158" s="90"/>
      <c r="K2158" s="90"/>
      <c r="L2158" s="90"/>
      <c r="M2158" s="90"/>
      <c r="N2158" s="90"/>
      <c r="O2158" s="90"/>
      <c r="P2158" s="90"/>
    </row>
    <row r="2159" spans="1:16" ht="13.2">
      <c r="A2159" s="90"/>
      <c r="B2159" s="92"/>
      <c r="C2159" s="90"/>
      <c r="D2159" s="90"/>
      <c r="E2159" s="90"/>
      <c r="F2159" s="90"/>
      <c r="G2159" s="90"/>
      <c r="H2159" s="90"/>
      <c r="I2159" s="90"/>
      <c r="J2159" s="90"/>
      <c r="K2159" s="90"/>
      <c r="L2159" s="90"/>
      <c r="M2159" s="90"/>
      <c r="N2159" s="90"/>
      <c r="O2159" s="90"/>
      <c r="P2159" s="90"/>
    </row>
    <row r="2160" spans="1:16" ht="13.2">
      <c r="A2160" s="90"/>
      <c r="B2160" s="92"/>
      <c r="C2160" s="90"/>
      <c r="D2160" s="90"/>
      <c r="E2160" s="90"/>
      <c r="F2160" s="90"/>
      <c r="G2160" s="90"/>
      <c r="H2160" s="90"/>
      <c r="I2160" s="90"/>
      <c r="J2160" s="90"/>
      <c r="K2160" s="90"/>
      <c r="L2160" s="90"/>
      <c r="M2160" s="90"/>
      <c r="N2160" s="90"/>
      <c r="O2160" s="90"/>
      <c r="P2160" s="90"/>
    </row>
    <row r="2161" spans="1:16" ht="13.2">
      <c r="A2161" s="90"/>
      <c r="B2161" s="92"/>
      <c r="C2161" s="90"/>
      <c r="D2161" s="90"/>
      <c r="E2161" s="90"/>
      <c r="F2161" s="90"/>
      <c r="G2161" s="90"/>
      <c r="H2161" s="90"/>
      <c r="I2161" s="90"/>
      <c r="J2161" s="90"/>
      <c r="K2161" s="90"/>
      <c r="L2161" s="90"/>
      <c r="M2161" s="90"/>
      <c r="N2161" s="90"/>
      <c r="O2161" s="90"/>
      <c r="P2161" s="90"/>
    </row>
    <row r="2162" spans="1:16" ht="13.2">
      <c r="A2162" s="90"/>
      <c r="B2162" s="92"/>
      <c r="C2162" s="90"/>
      <c r="D2162" s="90"/>
      <c r="E2162" s="90"/>
      <c r="F2162" s="90"/>
      <c r="G2162" s="90"/>
      <c r="H2162" s="90"/>
      <c r="I2162" s="90"/>
      <c r="J2162" s="90"/>
      <c r="K2162" s="90"/>
      <c r="L2162" s="90"/>
      <c r="M2162" s="90"/>
      <c r="N2162" s="90"/>
      <c r="O2162" s="90"/>
      <c r="P2162" s="90"/>
    </row>
    <row r="2163" spans="1:16" ht="13.2">
      <c r="A2163" s="90"/>
      <c r="B2163" s="92"/>
      <c r="C2163" s="90"/>
      <c r="D2163" s="90"/>
      <c r="E2163" s="90"/>
      <c r="F2163" s="90"/>
      <c r="G2163" s="90"/>
      <c r="H2163" s="90"/>
      <c r="I2163" s="90"/>
      <c r="J2163" s="90"/>
      <c r="K2163" s="90"/>
      <c r="L2163" s="90"/>
      <c r="M2163" s="90"/>
      <c r="N2163" s="90"/>
      <c r="O2163" s="90"/>
      <c r="P2163" s="90"/>
    </row>
    <row r="2164" spans="1:16" ht="13.2">
      <c r="A2164" s="90"/>
      <c r="B2164" s="92"/>
      <c r="C2164" s="90"/>
      <c r="D2164" s="90"/>
      <c r="E2164" s="90"/>
      <c r="F2164" s="90"/>
      <c r="G2164" s="90"/>
      <c r="H2164" s="90"/>
      <c r="I2164" s="90"/>
      <c r="J2164" s="90"/>
      <c r="K2164" s="90"/>
      <c r="L2164" s="90"/>
      <c r="M2164" s="90"/>
      <c r="N2164" s="90"/>
      <c r="O2164" s="90"/>
      <c r="P2164" s="90"/>
    </row>
    <row r="2165" spans="1:16" ht="13.2">
      <c r="A2165" s="90"/>
      <c r="B2165" s="92"/>
      <c r="C2165" s="90"/>
      <c r="D2165" s="90"/>
      <c r="E2165" s="90"/>
      <c r="F2165" s="90"/>
      <c r="G2165" s="90"/>
      <c r="H2165" s="90"/>
      <c r="I2165" s="90"/>
      <c r="J2165" s="90"/>
      <c r="K2165" s="90"/>
      <c r="L2165" s="90"/>
      <c r="M2165" s="90"/>
      <c r="N2165" s="90"/>
      <c r="O2165" s="90"/>
      <c r="P2165" s="90"/>
    </row>
    <row r="2166" spans="1:16" ht="13.2">
      <c r="A2166" s="90"/>
      <c r="B2166" s="92"/>
      <c r="C2166" s="90"/>
      <c r="D2166" s="90"/>
      <c r="E2166" s="90"/>
      <c r="F2166" s="90"/>
      <c r="G2166" s="90"/>
      <c r="H2166" s="90"/>
      <c r="I2166" s="90"/>
      <c r="J2166" s="90"/>
      <c r="K2166" s="90"/>
      <c r="L2166" s="90"/>
      <c r="M2166" s="90"/>
      <c r="N2166" s="90"/>
      <c r="O2166" s="90"/>
      <c r="P2166" s="90"/>
    </row>
    <row r="2167" spans="1:16" ht="13.2">
      <c r="A2167" s="90"/>
      <c r="B2167" s="92"/>
      <c r="C2167" s="90"/>
      <c r="D2167" s="90"/>
      <c r="E2167" s="90"/>
      <c r="F2167" s="90"/>
      <c r="G2167" s="90"/>
      <c r="H2167" s="90"/>
      <c r="I2167" s="90"/>
      <c r="J2167" s="90"/>
      <c r="K2167" s="90"/>
      <c r="L2167" s="90"/>
      <c r="M2167" s="90"/>
      <c r="N2167" s="90"/>
      <c r="O2167" s="90"/>
      <c r="P2167" s="90"/>
    </row>
    <row r="2168" spans="1:16" ht="13.2">
      <c r="A2168" s="90"/>
      <c r="B2168" s="92"/>
      <c r="C2168" s="90"/>
      <c r="D2168" s="90"/>
      <c r="E2168" s="90"/>
      <c r="F2168" s="90"/>
      <c r="G2168" s="90"/>
      <c r="H2168" s="90"/>
      <c r="I2168" s="90"/>
      <c r="J2168" s="90"/>
      <c r="K2168" s="90"/>
      <c r="L2168" s="90"/>
      <c r="M2168" s="90"/>
      <c r="N2168" s="90"/>
      <c r="O2168" s="90"/>
      <c r="P2168" s="90"/>
    </row>
    <row r="2169" spans="1:16" ht="13.2">
      <c r="A2169" s="90"/>
      <c r="B2169" s="92"/>
      <c r="C2169" s="90"/>
      <c r="D2169" s="90"/>
      <c r="E2169" s="90"/>
      <c r="F2169" s="90"/>
      <c r="G2169" s="90"/>
      <c r="H2169" s="90"/>
      <c r="I2169" s="90"/>
      <c r="J2169" s="90"/>
      <c r="K2169" s="90"/>
      <c r="L2169" s="90"/>
      <c r="M2169" s="90"/>
      <c r="N2169" s="90"/>
      <c r="O2169" s="90"/>
      <c r="P2169" s="90"/>
    </row>
    <row r="2170" spans="1:16" ht="13.2">
      <c r="A2170" s="90"/>
      <c r="B2170" s="92"/>
      <c r="C2170" s="90"/>
      <c r="D2170" s="90"/>
      <c r="E2170" s="90"/>
      <c r="F2170" s="90"/>
      <c r="G2170" s="90"/>
      <c r="H2170" s="90"/>
      <c r="I2170" s="90"/>
      <c r="J2170" s="90"/>
      <c r="K2170" s="90"/>
      <c r="L2170" s="90"/>
      <c r="M2170" s="90"/>
      <c r="N2170" s="90"/>
      <c r="O2170" s="90"/>
      <c r="P2170" s="90"/>
    </row>
    <row r="2171" spans="1:16" ht="13.2">
      <c r="A2171" s="90"/>
      <c r="B2171" s="92"/>
      <c r="C2171" s="90"/>
      <c r="D2171" s="90"/>
      <c r="E2171" s="90"/>
      <c r="F2171" s="90"/>
      <c r="G2171" s="90"/>
      <c r="H2171" s="90"/>
      <c r="I2171" s="90"/>
      <c r="J2171" s="90"/>
      <c r="K2171" s="90"/>
      <c r="L2171" s="90"/>
      <c r="M2171" s="90"/>
      <c r="N2171" s="90"/>
      <c r="O2171" s="90"/>
      <c r="P2171" s="90"/>
    </row>
    <row r="2172" spans="1:16" ht="13.2">
      <c r="A2172" s="90"/>
      <c r="B2172" s="92"/>
      <c r="C2172" s="90"/>
      <c r="D2172" s="90"/>
      <c r="E2172" s="90"/>
      <c r="F2172" s="90"/>
      <c r="G2172" s="90"/>
      <c r="H2172" s="90"/>
      <c r="I2172" s="90"/>
      <c r="J2172" s="90"/>
      <c r="K2172" s="90"/>
      <c r="L2172" s="90"/>
      <c r="M2172" s="90"/>
      <c r="N2172" s="90"/>
      <c r="O2172" s="90"/>
      <c r="P2172" s="90"/>
    </row>
    <row r="2173" spans="1:16" ht="13.2">
      <c r="A2173" s="90"/>
      <c r="B2173" s="92"/>
      <c r="C2173" s="90"/>
      <c r="D2173" s="90"/>
      <c r="E2173" s="90"/>
      <c r="F2173" s="90"/>
      <c r="G2173" s="90"/>
      <c r="H2173" s="90"/>
      <c r="I2173" s="90"/>
      <c r="J2173" s="90"/>
      <c r="K2173" s="90"/>
      <c r="L2173" s="90"/>
      <c r="M2173" s="90"/>
      <c r="N2173" s="90"/>
      <c r="O2173" s="90"/>
      <c r="P2173" s="90"/>
    </row>
    <row r="2174" spans="1:16" ht="13.2">
      <c r="A2174" s="90"/>
      <c r="B2174" s="92"/>
      <c r="C2174" s="90"/>
      <c r="D2174" s="90"/>
      <c r="E2174" s="90"/>
      <c r="F2174" s="90"/>
      <c r="G2174" s="90"/>
      <c r="H2174" s="90"/>
      <c r="I2174" s="90"/>
      <c r="J2174" s="90"/>
      <c r="K2174" s="90"/>
      <c r="L2174" s="90"/>
      <c r="M2174" s="90"/>
      <c r="N2174" s="90"/>
      <c r="O2174" s="90"/>
      <c r="P2174" s="90"/>
    </row>
    <row r="2175" spans="1:16" ht="13.2">
      <c r="A2175" s="90"/>
      <c r="B2175" s="92"/>
      <c r="C2175" s="90"/>
      <c r="D2175" s="90"/>
      <c r="E2175" s="90"/>
      <c r="F2175" s="90"/>
      <c r="G2175" s="90"/>
      <c r="H2175" s="90"/>
      <c r="I2175" s="90"/>
      <c r="J2175" s="90"/>
      <c r="K2175" s="90"/>
      <c r="L2175" s="90"/>
      <c r="M2175" s="90"/>
      <c r="N2175" s="90"/>
      <c r="O2175" s="90"/>
      <c r="P2175" s="90"/>
    </row>
    <row r="2176" spans="1:16" ht="13.2">
      <c r="A2176" s="90"/>
      <c r="B2176" s="92"/>
      <c r="C2176" s="90"/>
      <c r="D2176" s="90"/>
      <c r="E2176" s="90"/>
      <c r="F2176" s="90"/>
      <c r="G2176" s="90"/>
      <c r="H2176" s="90"/>
      <c r="I2176" s="90"/>
      <c r="J2176" s="90"/>
      <c r="K2176" s="90"/>
      <c r="L2176" s="90"/>
      <c r="M2176" s="90"/>
      <c r="N2176" s="90"/>
      <c r="O2176" s="90"/>
      <c r="P2176" s="90"/>
    </row>
    <row r="2177" spans="1:16" ht="13.2">
      <c r="A2177" s="90"/>
      <c r="B2177" s="92"/>
      <c r="C2177" s="90"/>
      <c r="D2177" s="90"/>
      <c r="E2177" s="90"/>
      <c r="F2177" s="90"/>
      <c r="G2177" s="90"/>
      <c r="H2177" s="90"/>
      <c r="I2177" s="90"/>
      <c r="J2177" s="90"/>
      <c r="K2177" s="90"/>
      <c r="L2177" s="90"/>
      <c r="M2177" s="90"/>
      <c r="N2177" s="90"/>
      <c r="O2177" s="90"/>
      <c r="P2177" s="90"/>
    </row>
    <row r="2178" spans="1:16" ht="13.2">
      <c r="A2178" s="90"/>
      <c r="B2178" s="92"/>
      <c r="C2178" s="90"/>
      <c r="D2178" s="90"/>
      <c r="E2178" s="90"/>
      <c r="F2178" s="90"/>
      <c r="G2178" s="90"/>
      <c r="H2178" s="90"/>
      <c r="I2178" s="90"/>
      <c r="J2178" s="90"/>
      <c r="K2178" s="90"/>
      <c r="L2178" s="90"/>
      <c r="M2178" s="90"/>
      <c r="N2178" s="90"/>
      <c r="O2178" s="90"/>
      <c r="P2178" s="90"/>
    </row>
    <row r="2179" spans="1:16" ht="13.2">
      <c r="A2179" s="90"/>
      <c r="B2179" s="92"/>
      <c r="C2179" s="90"/>
      <c r="D2179" s="90"/>
      <c r="E2179" s="90"/>
      <c r="F2179" s="90"/>
      <c r="G2179" s="90"/>
      <c r="H2179" s="90"/>
      <c r="I2179" s="90"/>
      <c r="J2179" s="90"/>
      <c r="K2179" s="90"/>
      <c r="L2179" s="90"/>
      <c r="M2179" s="90"/>
      <c r="N2179" s="90"/>
      <c r="O2179" s="90"/>
      <c r="P2179" s="90"/>
    </row>
    <row r="2180" spans="1:16" ht="13.2">
      <c r="A2180" s="90"/>
      <c r="B2180" s="92"/>
      <c r="C2180" s="90"/>
      <c r="D2180" s="90"/>
      <c r="E2180" s="90"/>
      <c r="F2180" s="90"/>
      <c r="G2180" s="90"/>
      <c r="H2180" s="90"/>
      <c r="I2180" s="90"/>
      <c r="J2180" s="90"/>
      <c r="K2180" s="90"/>
      <c r="L2180" s="90"/>
      <c r="M2180" s="90"/>
      <c r="N2180" s="90"/>
      <c r="O2180" s="90"/>
      <c r="P2180" s="90"/>
    </row>
    <row r="2181" spans="1:16" ht="13.2">
      <c r="A2181" s="90"/>
      <c r="B2181" s="92"/>
      <c r="C2181" s="90"/>
      <c r="D2181" s="90"/>
      <c r="E2181" s="90"/>
      <c r="F2181" s="90"/>
      <c r="G2181" s="90"/>
      <c r="H2181" s="90"/>
      <c r="I2181" s="90"/>
      <c r="J2181" s="90"/>
      <c r="K2181" s="90"/>
      <c r="L2181" s="90"/>
      <c r="M2181" s="90"/>
      <c r="N2181" s="90"/>
      <c r="O2181" s="90"/>
      <c r="P2181" s="90"/>
    </row>
    <row r="2182" spans="1:16" ht="13.2">
      <c r="A2182" s="90"/>
      <c r="B2182" s="92"/>
      <c r="C2182" s="90"/>
      <c r="D2182" s="90"/>
      <c r="E2182" s="90"/>
      <c r="F2182" s="90"/>
      <c r="G2182" s="90"/>
      <c r="H2182" s="90"/>
      <c r="I2182" s="90"/>
      <c r="J2182" s="90"/>
      <c r="K2182" s="90"/>
      <c r="L2182" s="90"/>
      <c r="M2182" s="90"/>
      <c r="N2182" s="90"/>
      <c r="O2182" s="90"/>
      <c r="P2182" s="90"/>
    </row>
    <row r="2183" spans="1:16" ht="13.2">
      <c r="A2183" s="90"/>
      <c r="B2183" s="92"/>
      <c r="C2183" s="90"/>
      <c r="D2183" s="90"/>
      <c r="E2183" s="90"/>
      <c r="F2183" s="90"/>
      <c r="G2183" s="90"/>
      <c r="H2183" s="90"/>
      <c r="I2183" s="90"/>
      <c r="J2183" s="90"/>
      <c r="K2183" s="90"/>
      <c r="L2183" s="90"/>
      <c r="M2183" s="90"/>
      <c r="N2183" s="90"/>
      <c r="O2183" s="90"/>
      <c r="P2183" s="90"/>
    </row>
    <row r="2184" spans="1:16" ht="13.2">
      <c r="A2184" s="90"/>
      <c r="B2184" s="92"/>
      <c r="C2184" s="90"/>
      <c r="D2184" s="90"/>
      <c r="E2184" s="90"/>
      <c r="F2184" s="90"/>
      <c r="G2184" s="90"/>
      <c r="H2184" s="90"/>
      <c r="I2184" s="90"/>
      <c r="J2184" s="90"/>
      <c r="K2184" s="90"/>
      <c r="L2184" s="90"/>
      <c r="M2184" s="90"/>
      <c r="N2184" s="90"/>
      <c r="O2184" s="90"/>
      <c r="P2184" s="90"/>
    </row>
    <row r="2185" spans="1:16" ht="13.2">
      <c r="A2185" s="90"/>
      <c r="B2185" s="92"/>
      <c r="C2185" s="90"/>
      <c r="D2185" s="90"/>
      <c r="E2185" s="90"/>
      <c r="F2185" s="90"/>
      <c r="G2185" s="90"/>
      <c r="H2185" s="90"/>
      <c r="I2185" s="90"/>
      <c r="J2185" s="90"/>
      <c r="K2185" s="90"/>
      <c r="L2185" s="90"/>
      <c r="M2185" s="90"/>
      <c r="N2185" s="90"/>
      <c r="O2185" s="90"/>
      <c r="P2185" s="90"/>
    </row>
    <row r="2186" spans="1:16" ht="13.2">
      <c r="A2186" s="90"/>
      <c r="B2186" s="92"/>
      <c r="C2186" s="90"/>
      <c r="D2186" s="90"/>
      <c r="E2186" s="90"/>
      <c r="F2186" s="90"/>
      <c r="G2186" s="90"/>
      <c r="H2186" s="90"/>
      <c r="I2186" s="90"/>
      <c r="J2186" s="90"/>
      <c r="K2186" s="90"/>
      <c r="L2186" s="90"/>
      <c r="M2186" s="90"/>
      <c r="N2186" s="90"/>
      <c r="O2186" s="90"/>
      <c r="P2186" s="90"/>
    </row>
    <row r="2187" spans="1:16" ht="13.2">
      <c r="A2187" s="90"/>
      <c r="B2187" s="92"/>
      <c r="C2187" s="90"/>
      <c r="D2187" s="90"/>
      <c r="E2187" s="90"/>
      <c r="F2187" s="90"/>
      <c r="G2187" s="90"/>
      <c r="H2187" s="90"/>
      <c r="I2187" s="90"/>
      <c r="J2187" s="90"/>
      <c r="K2187" s="90"/>
      <c r="L2187" s="90"/>
      <c r="M2187" s="90"/>
      <c r="N2187" s="90"/>
      <c r="O2187" s="90"/>
      <c r="P2187" s="90"/>
    </row>
    <row r="2188" spans="1:16" ht="13.2">
      <c r="A2188" s="90"/>
      <c r="B2188" s="92"/>
      <c r="C2188" s="90"/>
      <c r="D2188" s="90"/>
      <c r="E2188" s="90"/>
      <c r="F2188" s="90"/>
      <c r="G2188" s="90"/>
      <c r="H2188" s="90"/>
      <c r="I2188" s="90"/>
      <c r="J2188" s="90"/>
      <c r="K2188" s="90"/>
      <c r="L2188" s="90"/>
      <c r="M2188" s="90"/>
      <c r="N2188" s="90"/>
      <c r="O2188" s="90"/>
      <c r="P2188" s="90"/>
    </row>
    <row r="2189" spans="1:16" ht="13.2">
      <c r="A2189" s="90"/>
      <c r="B2189" s="92"/>
      <c r="C2189" s="90"/>
      <c r="D2189" s="90"/>
      <c r="E2189" s="90"/>
      <c r="F2189" s="90"/>
      <c r="G2189" s="90"/>
      <c r="H2189" s="90"/>
      <c r="I2189" s="90"/>
      <c r="J2189" s="90"/>
      <c r="K2189" s="90"/>
      <c r="L2189" s="90"/>
      <c r="M2189" s="90"/>
      <c r="N2189" s="90"/>
      <c r="O2189" s="90"/>
      <c r="P2189" s="90"/>
    </row>
    <row r="2190" spans="1:16" ht="13.2">
      <c r="A2190" s="90"/>
      <c r="B2190" s="92"/>
      <c r="C2190" s="90"/>
      <c r="D2190" s="90"/>
      <c r="E2190" s="90"/>
      <c r="F2190" s="90"/>
      <c r="G2190" s="90"/>
      <c r="H2190" s="90"/>
      <c r="I2190" s="90"/>
      <c r="J2190" s="90"/>
      <c r="K2190" s="90"/>
      <c r="L2190" s="90"/>
      <c r="M2190" s="90"/>
      <c r="N2190" s="90"/>
      <c r="O2190" s="90"/>
      <c r="P2190" s="90"/>
    </row>
    <row r="2191" spans="1:16" ht="13.2">
      <c r="A2191" s="90"/>
      <c r="B2191" s="92"/>
      <c r="C2191" s="90"/>
      <c r="D2191" s="90"/>
      <c r="E2191" s="90"/>
      <c r="F2191" s="90"/>
      <c r="G2191" s="90"/>
      <c r="H2191" s="90"/>
      <c r="I2191" s="90"/>
      <c r="J2191" s="90"/>
      <c r="K2191" s="90"/>
      <c r="L2191" s="90"/>
      <c r="M2191" s="90"/>
      <c r="N2191" s="90"/>
      <c r="O2191" s="90"/>
      <c r="P2191" s="90"/>
    </row>
    <row r="2192" spans="1:16" ht="13.2">
      <c r="A2192" s="90"/>
      <c r="B2192" s="92"/>
      <c r="C2192" s="90"/>
      <c r="D2192" s="90"/>
      <c r="E2192" s="90"/>
      <c r="F2192" s="90"/>
      <c r="G2192" s="90"/>
      <c r="H2192" s="90"/>
      <c r="I2192" s="90"/>
      <c r="J2192" s="90"/>
      <c r="K2192" s="90"/>
      <c r="L2192" s="90"/>
      <c r="M2192" s="90"/>
      <c r="N2192" s="90"/>
      <c r="O2192" s="90"/>
      <c r="P2192" s="90"/>
    </row>
    <row r="2193" spans="1:16" ht="13.2">
      <c r="A2193" s="90"/>
      <c r="B2193" s="92"/>
      <c r="C2193" s="90"/>
      <c r="D2193" s="90"/>
      <c r="E2193" s="90"/>
      <c r="F2193" s="90"/>
      <c r="G2193" s="90"/>
      <c r="H2193" s="90"/>
      <c r="I2193" s="90"/>
      <c r="J2193" s="90"/>
      <c r="K2193" s="90"/>
      <c r="L2193" s="90"/>
      <c r="M2193" s="90"/>
      <c r="N2193" s="90"/>
      <c r="O2193" s="90"/>
      <c r="P2193" s="90"/>
    </row>
    <row r="2194" spans="1:16" ht="13.2">
      <c r="A2194" s="90"/>
      <c r="B2194" s="92"/>
      <c r="C2194" s="90"/>
      <c r="D2194" s="90"/>
      <c r="E2194" s="90"/>
      <c r="F2194" s="90"/>
      <c r="G2194" s="90"/>
      <c r="H2194" s="90"/>
      <c r="I2194" s="90"/>
      <c r="J2194" s="90"/>
      <c r="K2194" s="90"/>
      <c r="L2194" s="90"/>
      <c r="M2194" s="90"/>
      <c r="N2194" s="90"/>
      <c r="O2194" s="90"/>
      <c r="P2194" s="90"/>
    </row>
    <row r="2195" spans="1:16" ht="13.2">
      <c r="A2195" s="90"/>
      <c r="B2195" s="92"/>
      <c r="C2195" s="90"/>
      <c r="D2195" s="90"/>
      <c r="E2195" s="90"/>
      <c r="F2195" s="90"/>
      <c r="G2195" s="90"/>
      <c r="H2195" s="90"/>
      <c r="I2195" s="90"/>
      <c r="J2195" s="90"/>
      <c r="K2195" s="90"/>
      <c r="L2195" s="90"/>
      <c r="M2195" s="90"/>
      <c r="N2195" s="90"/>
      <c r="O2195" s="90"/>
      <c r="P2195" s="90"/>
    </row>
    <row r="2196" spans="1:16" ht="13.2">
      <c r="A2196" s="90"/>
      <c r="B2196" s="92"/>
      <c r="C2196" s="90"/>
      <c r="D2196" s="90"/>
      <c r="E2196" s="90"/>
      <c r="F2196" s="90"/>
      <c r="G2196" s="90"/>
      <c r="H2196" s="90"/>
      <c r="I2196" s="90"/>
      <c r="J2196" s="90"/>
      <c r="K2196" s="90"/>
      <c r="L2196" s="90"/>
      <c r="M2196" s="90"/>
      <c r="N2196" s="90"/>
      <c r="O2196" s="90"/>
      <c r="P2196" s="90"/>
    </row>
    <row r="2197" spans="1:16" ht="13.2">
      <c r="A2197" s="90"/>
      <c r="B2197" s="92"/>
      <c r="C2197" s="90"/>
      <c r="D2197" s="90"/>
      <c r="E2197" s="90"/>
      <c r="F2197" s="90"/>
      <c r="G2197" s="90"/>
      <c r="H2197" s="90"/>
      <c r="I2197" s="90"/>
      <c r="J2197" s="90"/>
      <c r="K2197" s="90"/>
      <c r="L2197" s="90"/>
      <c r="M2197" s="90"/>
      <c r="N2197" s="90"/>
      <c r="O2197" s="90"/>
      <c r="P2197" s="90"/>
    </row>
    <row r="2198" spans="1:16" ht="13.2">
      <c r="A2198" s="90"/>
      <c r="B2198" s="92"/>
      <c r="C2198" s="90"/>
      <c r="D2198" s="90"/>
      <c r="E2198" s="90"/>
      <c r="F2198" s="90"/>
      <c r="G2198" s="90"/>
      <c r="H2198" s="90"/>
      <c r="I2198" s="90"/>
      <c r="J2198" s="90"/>
      <c r="K2198" s="90"/>
      <c r="L2198" s="90"/>
      <c r="M2198" s="90"/>
      <c r="N2198" s="90"/>
      <c r="O2198" s="90"/>
      <c r="P2198" s="90"/>
    </row>
    <row r="2199" spans="1:16" ht="13.2">
      <c r="A2199" s="90"/>
      <c r="B2199" s="92"/>
      <c r="C2199" s="90"/>
      <c r="D2199" s="90"/>
      <c r="E2199" s="90"/>
      <c r="F2199" s="90"/>
      <c r="G2199" s="90"/>
      <c r="H2199" s="90"/>
      <c r="I2199" s="90"/>
      <c r="J2199" s="90"/>
      <c r="K2199" s="90"/>
      <c r="L2199" s="90"/>
      <c r="M2199" s="90"/>
      <c r="N2199" s="90"/>
      <c r="O2199" s="90"/>
      <c r="P2199" s="90"/>
    </row>
    <row r="2200" spans="1:16" ht="13.2">
      <c r="A2200" s="90"/>
      <c r="B2200" s="92"/>
      <c r="C2200" s="90"/>
      <c r="D2200" s="90"/>
      <c r="E2200" s="90"/>
      <c r="F2200" s="90"/>
      <c r="G2200" s="90"/>
      <c r="H2200" s="90"/>
      <c r="I2200" s="90"/>
      <c r="J2200" s="90"/>
      <c r="K2200" s="90"/>
      <c r="L2200" s="90"/>
      <c r="M2200" s="90"/>
      <c r="N2200" s="90"/>
      <c r="O2200" s="90"/>
      <c r="P2200" s="90"/>
    </row>
    <row r="2201" spans="1:16" ht="13.2">
      <c r="A2201" s="90"/>
      <c r="B2201" s="92"/>
      <c r="C2201" s="90"/>
      <c r="D2201" s="90"/>
      <c r="E2201" s="90"/>
      <c r="F2201" s="90"/>
      <c r="G2201" s="90"/>
      <c r="H2201" s="90"/>
      <c r="I2201" s="90"/>
      <c r="J2201" s="90"/>
      <c r="K2201" s="90"/>
      <c r="L2201" s="90"/>
      <c r="M2201" s="90"/>
      <c r="N2201" s="90"/>
      <c r="O2201" s="90"/>
      <c r="P2201" s="90"/>
    </row>
    <row r="2202" spans="1:16" ht="13.2">
      <c r="A2202" s="90"/>
      <c r="B2202" s="92"/>
      <c r="C2202" s="90"/>
      <c r="D2202" s="90"/>
      <c r="E2202" s="90"/>
      <c r="F2202" s="90"/>
      <c r="G2202" s="90"/>
      <c r="H2202" s="90"/>
      <c r="I2202" s="90"/>
      <c r="J2202" s="90"/>
      <c r="K2202" s="90"/>
      <c r="L2202" s="90"/>
      <c r="M2202" s="90"/>
      <c r="N2202" s="90"/>
      <c r="O2202" s="90"/>
      <c r="P2202" s="90"/>
    </row>
    <row r="2203" spans="1:16" ht="13.2">
      <c r="A2203" s="90"/>
      <c r="B2203" s="92"/>
      <c r="C2203" s="90"/>
      <c r="D2203" s="90"/>
      <c r="E2203" s="90"/>
      <c r="F2203" s="90"/>
      <c r="G2203" s="90"/>
      <c r="H2203" s="90"/>
      <c r="I2203" s="90"/>
      <c r="J2203" s="90"/>
      <c r="K2203" s="90"/>
      <c r="L2203" s="90"/>
      <c r="M2203" s="90"/>
      <c r="N2203" s="90"/>
      <c r="O2203" s="90"/>
      <c r="P2203" s="90"/>
    </row>
    <row r="2204" spans="1:16" ht="13.2">
      <c r="A2204" s="90"/>
      <c r="B2204" s="92"/>
      <c r="C2204" s="90"/>
      <c r="D2204" s="90"/>
      <c r="E2204" s="90"/>
      <c r="F2204" s="90"/>
      <c r="G2204" s="90"/>
      <c r="H2204" s="90"/>
      <c r="I2204" s="90"/>
      <c r="J2204" s="90"/>
      <c r="K2204" s="90"/>
      <c r="L2204" s="90"/>
      <c r="M2204" s="90"/>
      <c r="N2204" s="90"/>
      <c r="O2204" s="90"/>
      <c r="P2204" s="90"/>
    </row>
    <row r="2205" spans="1:16" ht="13.2">
      <c r="A2205" s="90"/>
      <c r="B2205" s="92"/>
      <c r="C2205" s="90"/>
      <c r="D2205" s="90"/>
      <c r="E2205" s="90"/>
      <c r="F2205" s="90"/>
      <c r="G2205" s="90"/>
      <c r="H2205" s="90"/>
      <c r="I2205" s="90"/>
      <c r="J2205" s="90"/>
      <c r="K2205" s="90"/>
      <c r="L2205" s="90"/>
      <c r="M2205" s="90"/>
      <c r="N2205" s="90"/>
      <c r="O2205" s="90"/>
      <c r="P2205" s="90"/>
    </row>
    <row r="2206" spans="1:16" ht="13.2">
      <c r="A2206" s="90"/>
      <c r="B2206" s="92"/>
      <c r="C2206" s="90"/>
      <c r="D2206" s="90"/>
      <c r="E2206" s="90"/>
      <c r="F2206" s="90"/>
      <c r="G2206" s="90"/>
      <c r="H2206" s="90"/>
      <c r="I2206" s="90"/>
      <c r="J2206" s="90"/>
      <c r="K2206" s="90"/>
      <c r="L2206" s="90"/>
      <c r="M2206" s="90"/>
      <c r="N2206" s="90"/>
      <c r="O2206" s="90"/>
      <c r="P2206" s="90"/>
    </row>
    <row r="2207" spans="1:16" ht="13.2">
      <c r="A2207" s="90"/>
      <c r="B2207" s="92"/>
      <c r="C2207" s="90"/>
      <c r="D2207" s="90"/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</row>
    <row r="2208" spans="1:16" ht="13.2">
      <c r="A2208" s="90"/>
      <c r="B2208" s="92"/>
      <c r="C2208" s="90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</row>
    <row r="2209" spans="1:16" ht="13.2">
      <c r="A2209" s="90"/>
      <c r="B2209" s="92"/>
      <c r="C2209" s="90"/>
      <c r="D2209" s="90"/>
      <c r="E2209" s="90"/>
      <c r="F2209" s="90"/>
      <c r="G2209" s="90"/>
      <c r="H2209" s="90"/>
      <c r="I2209" s="90"/>
      <c r="J2209" s="90"/>
      <c r="K2209" s="90"/>
      <c r="L2209" s="90"/>
      <c r="M2209" s="90"/>
      <c r="N2209" s="90"/>
      <c r="O2209" s="90"/>
      <c r="P2209" s="90"/>
    </row>
    <row r="2210" spans="1:16" ht="13.2">
      <c r="A2210" s="90"/>
      <c r="B2210" s="92"/>
      <c r="C2210" s="90"/>
      <c r="D2210" s="90"/>
      <c r="E2210" s="90"/>
      <c r="F2210" s="90"/>
      <c r="G2210" s="90"/>
      <c r="H2210" s="90"/>
      <c r="I2210" s="90"/>
      <c r="J2210" s="90"/>
      <c r="K2210" s="90"/>
      <c r="L2210" s="90"/>
      <c r="M2210" s="90"/>
      <c r="N2210" s="90"/>
      <c r="O2210" s="90"/>
      <c r="P2210" s="90"/>
    </row>
    <row r="2211" spans="1:16" ht="13.2">
      <c r="A2211" s="90"/>
      <c r="B2211" s="92"/>
      <c r="C2211" s="90"/>
      <c r="D2211" s="90"/>
      <c r="E2211" s="90"/>
      <c r="F2211" s="90"/>
      <c r="G2211" s="90"/>
      <c r="H2211" s="90"/>
      <c r="I2211" s="90"/>
      <c r="J2211" s="90"/>
      <c r="K2211" s="90"/>
      <c r="L2211" s="90"/>
      <c r="M2211" s="90"/>
      <c r="N2211" s="90"/>
      <c r="O2211" s="90"/>
      <c r="P2211" s="90"/>
    </row>
    <row r="2212" spans="1:16" ht="13.2">
      <c r="A2212" s="90"/>
      <c r="B2212" s="92"/>
      <c r="C2212" s="90"/>
      <c r="D2212" s="90"/>
      <c r="E2212" s="90"/>
      <c r="F2212" s="90"/>
      <c r="G2212" s="90"/>
      <c r="H2212" s="90"/>
      <c r="I2212" s="90"/>
      <c r="J2212" s="90"/>
      <c r="K2212" s="90"/>
      <c r="L2212" s="90"/>
      <c r="M2212" s="90"/>
      <c r="N2212" s="90"/>
      <c r="O2212" s="90"/>
      <c r="P2212" s="90"/>
    </row>
    <row r="2213" spans="1:16" ht="13.2">
      <c r="A2213" s="90"/>
      <c r="B2213" s="92"/>
      <c r="C2213" s="90"/>
      <c r="D2213" s="90"/>
      <c r="E2213" s="90"/>
      <c r="F2213" s="90"/>
      <c r="G2213" s="90"/>
      <c r="H2213" s="90"/>
      <c r="I2213" s="90"/>
      <c r="J2213" s="90"/>
      <c r="K2213" s="90"/>
      <c r="L2213" s="90"/>
      <c r="M2213" s="90"/>
      <c r="N2213" s="90"/>
      <c r="O2213" s="90"/>
      <c r="P2213" s="90"/>
    </row>
    <row r="2214" spans="1:16" ht="13.2">
      <c r="A2214" s="90"/>
      <c r="B2214" s="92"/>
      <c r="C2214" s="90"/>
      <c r="D2214" s="90"/>
      <c r="E2214" s="90"/>
      <c r="F2214" s="90"/>
      <c r="G2214" s="90"/>
      <c r="H2214" s="90"/>
      <c r="I2214" s="90"/>
      <c r="J2214" s="90"/>
      <c r="K2214" s="90"/>
      <c r="L2214" s="90"/>
      <c r="M2214" s="90"/>
      <c r="N2214" s="90"/>
      <c r="O2214" s="90"/>
      <c r="P2214" s="90"/>
    </row>
    <row r="2215" spans="1:16" ht="13.2">
      <c r="A2215" s="90"/>
      <c r="B2215" s="92"/>
      <c r="C2215" s="90"/>
      <c r="D2215" s="90"/>
      <c r="E2215" s="90"/>
      <c r="F2215" s="90"/>
      <c r="G2215" s="90"/>
      <c r="H2215" s="90"/>
      <c r="I2215" s="90"/>
      <c r="J2215" s="90"/>
      <c r="K2215" s="90"/>
      <c r="L2215" s="90"/>
      <c r="M2215" s="90"/>
      <c r="N2215" s="90"/>
      <c r="O2215" s="90"/>
      <c r="P2215" s="90"/>
    </row>
    <row r="2216" spans="1:16" ht="13.2">
      <c r="A2216" s="90"/>
      <c r="B2216" s="92"/>
      <c r="C2216" s="90"/>
      <c r="D2216" s="90"/>
      <c r="E2216" s="90"/>
      <c r="F2216" s="90"/>
      <c r="G2216" s="90"/>
      <c r="H2216" s="90"/>
      <c r="I2216" s="90"/>
      <c r="J2216" s="90"/>
      <c r="K2216" s="90"/>
      <c r="L2216" s="90"/>
      <c r="M2216" s="90"/>
      <c r="N2216" s="90"/>
      <c r="O2216" s="90"/>
      <c r="P2216" s="90"/>
    </row>
    <row r="2217" spans="1:16" ht="13.2">
      <c r="A2217" s="90"/>
      <c r="B2217" s="92"/>
      <c r="C2217" s="90"/>
      <c r="D2217" s="90"/>
      <c r="E2217" s="90"/>
      <c r="F2217" s="90"/>
      <c r="G2217" s="90"/>
      <c r="H2217" s="90"/>
      <c r="I2217" s="90"/>
      <c r="J2217" s="90"/>
      <c r="K2217" s="90"/>
      <c r="L2217" s="90"/>
      <c r="M2217" s="90"/>
      <c r="N2217" s="90"/>
      <c r="O2217" s="90"/>
      <c r="P2217" s="90"/>
    </row>
    <row r="2218" spans="1:16" ht="13.2">
      <c r="A2218" s="90"/>
      <c r="B2218" s="92"/>
      <c r="C2218" s="90"/>
      <c r="D2218" s="90"/>
      <c r="E2218" s="90"/>
      <c r="F2218" s="90"/>
      <c r="G2218" s="90"/>
      <c r="H2218" s="90"/>
      <c r="I2218" s="90"/>
      <c r="J2218" s="90"/>
      <c r="K2218" s="90"/>
      <c r="L2218" s="90"/>
      <c r="M2218" s="90"/>
      <c r="N2218" s="90"/>
      <c r="O2218" s="90"/>
      <c r="P2218" s="90"/>
    </row>
    <row r="2219" spans="1:16" ht="13.2">
      <c r="A2219" s="90"/>
      <c r="B2219" s="92"/>
      <c r="C2219" s="90"/>
      <c r="D2219" s="90"/>
      <c r="E2219" s="90"/>
      <c r="F2219" s="90"/>
      <c r="G2219" s="90"/>
      <c r="H2219" s="90"/>
      <c r="I2219" s="90"/>
      <c r="J2219" s="90"/>
      <c r="K2219" s="90"/>
      <c r="L2219" s="90"/>
      <c r="M2219" s="90"/>
      <c r="N2219" s="90"/>
      <c r="O2219" s="90"/>
      <c r="P2219" s="90"/>
    </row>
    <row r="2220" spans="1:16" ht="13.2">
      <c r="A2220" s="90"/>
      <c r="B2220" s="92"/>
      <c r="C2220" s="90"/>
      <c r="D2220" s="90"/>
      <c r="E2220" s="90"/>
      <c r="F2220" s="90"/>
      <c r="G2220" s="90"/>
      <c r="H2220" s="90"/>
      <c r="I2220" s="90"/>
      <c r="J2220" s="90"/>
      <c r="K2220" s="90"/>
      <c r="L2220" s="90"/>
      <c r="M2220" s="90"/>
      <c r="N2220" s="90"/>
      <c r="O2220" s="90"/>
      <c r="P2220" s="90"/>
    </row>
    <row r="2221" spans="1:16" ht="13.2">
      <c r="A2221" s="90"/>
      <c r="B2221" s="92"/>
      <c r="C2221" s="90"/>
      <c r="D2221" s="90"/>
      <c r="E2221" s="90"/>
      <c r="F2221" s="90"/>
      <c r="G2221" s="90"/>
      <c r="H2221" s="90"/>
      <c r="I2221" s="90"/>
      <c r="J2221" s="90"/>
      <c r="K2221" s="90"/>
      <c r="L2221" s="90"/>
      <c r="M2221" s="90"/>
      <c r="N2221" s="90"/>
      <c r="O2221" s="90"/>
      <c r="P2221" s="90"/>
    </row>
    <row r="2222" spans="1:16" ht="13.2">
      <c r="A2222" s="90"/>
      <c r="B2222" s="92"/>
      <c r="C2222" s="90"/>
      <c r="D2222" s="90"/>
      <c r="E2222" s="90"/>
      <c r="F2222" s="90"/>
      <c r="G2222" s="90"/>
      <c r="H2222" s="90"/>
      <c r="I2222" s="90"/>
      <c r="J2222" s="90"/>
      <c r="K2222" s="90"/>
      <c r="L2222" s="90"/>
      <c r="M2222" s="90"/>
      <c r="N2222" s="90"/>
      <c r="O2222" s="90"/>
      <c r="P2222" s="90"/>
    </row>
    <row r="2223" spans="1:16" ht="13.2">
      <c r="A2223" s="90"/>
      <c r="B2223" s="92"/>
      <c r="C2223" s="90"/>
      <c r="D2223" s="90"/>
      <c r="E2223" s="90"/>
      <c r="F2223" s="90"/>
      <c r="G2223" s="90"/>
      <c r="H2223" s="90"/>
      <c r="I2223" s="90"/>
      <c r="J2223" s="90"/>
      <c r="K2223" s="90"/>
      <c r="L2223" s="90"/>
      <c r="M2223" s="90"/>
      <c r="N2223" s="90"/>
      <c r="O2223" s="90"/>
      <c r="P2223" s="90"/>
    </row>
    <row r="2224" spans="1:16" ht="13.2">
      <c r="A2224" s="90"/>
      <c r="B2224" s="92"/>
      <c r="C2224" s="90"/>
      <c r="D2224" s="90"/>
      <c r="E2224" s="90"/>
      <c r="F2224" s="90"/>
      <c r="G2224" s="90"/>
      <c r="H2224" s="90"/>
      <c r="I2224" s="90"/>
      <c r="J2224" s="90"/>
      <c r="K2224" s="90"/>
      <c r="L2224" s="90"/>
      <c r="M2224" s="90"/>
      <c r="N2224" s="90"/>
      <c r="O2224" s="90"/>
      <c r="P2224" s="90"/>
    </row>
    <row r="2225" spans="1:16" ht="13.2">
      <c r="A2225" s="90"/>
      <c r="B2225" s="92"/>
      <c r="C2225" s="90"/>
      <c r="D2225" s="90"/>
      <c r="E2225" s="90"/>
      <c r="F2225" s="90"/>
      <c r="G2225" s="90"/>
      <c r="H2225" s="90"/>
      <c r="I2225" s="90"/>
      <c r="J2225" s="90"/>
      <c r="K2225" s="90"/>
      <c r="L2225" s="90"/>
      <c r="M2225" s="90"/>
      <c r="N2225" s="90"/>
      <c r="O2225" s="90"/>
      <c r="P2225" s="90"/>
    </row>
    <row r="2226" spans="1:16" ht="13.2">
      <c r="A2226" s="90"/>
      <c r="B2226" s="92"/>
      <c r="C2226" s="90"/>
      <c r="D2226" s="90"/>
      <c r="E2226" s="90"/>
      <c r="F2226" s="90"/>
      <c r="G2226" s="90"/>
      <c r="H2226" s="90"/>
      <c r="I2226" s="90"/>
      <c r="J2226" s="90"/>
      <c r="K2226" s="90"/>
      <c r="L2226" s="90"/>
      <c r="M2226" s="90"/>
      <c r="N2226" s="90"/>
      <c r="O2226" s="90"/>
      <c r="P2226" s="90"/>
    </row>
    <row r="2227" spans="1:16" ht="13.2">
      <c r="A2227" s="90"/>
      <c r="B2227" s="92"/>
      <c r="C2227" s="90"/>
      <c r="D2227" s="90"/>
      <c r="E2227" s="90"/>
      <c r="F2227" s="90"/>
      <c r="G2227" s="90"/>
      <c r="H2227" s="90"/>
      <c r="I2227" s="90"/>
      <c r="J2227" s="90"/>
      <c r="K2227" s="90"/>
      <c r="L2227" s="90"/>
      <c r="M2227" s="90"/>
      <c r="N2227" s="90"/>
      <c r="O2227" s="90"/>
      <c r="P2227" s="90"/>
    </row>
    <row r="2228" spans="1:16" ht="13.2">
      <c r="A2228" s="90"/>
      <c r="B2228" s="92"/>
      <c r="C2228" s="90"/>
      <c r="D2228" s="90"/>
      <c r="E2228" s="90"/>
      <c r="F2228" s="90"/>
      <c r="G2228" s="90"/>
      <c r="H2228" s="90"/>
      <c r="I2228" s="90"/>
      <c r="J2228" s="90"/>
      <c r="K2228" s="90"/>
      <c r="L2228" s="90"/>
      <c r="M2228" s="90"/>
      <c r="N2228" s="90"/>
      <c r="O2228" s="90"/>
      <c r="P2228" s="90"/>
    </row>
    <row r="2229" spans="1:16" ht="13.2">
      <c r="A2229" s="90"/>
      <c r="B2229" s="92"/>
      <c r="C2229" s="90"/>
      <c r="D2229" s="90"/>
      <c r="E2229" s="90"/>
      <c r="F2229" s="90"/>
      <c r="G2229" s="90"/>
      <c r="H2229" s="90"/>
      <c r="I2229" s="90"/>
      <c r="J2229" s="90"/>
      <c r="K2229" s="90"/>
      <c r="L2229" s="90"/>
      <c r="M2229" s="90"/>
      <c r="N2229" s="90"/>
      <c r="O2229" s="90"/>
      <c r="P2229" s="90"/>
    </row>
    <row r="2230" spans="1:16" ht="13.2">
      <c r="A2230" s="90"/>
      <c r="B2230" s="92"/>
      <c r="C2230" s="90"/>
      <c r="D2230" s="90"/>
      <c r="E2230" s="90"/>
      <c r="F2230" s="90"/>
      <c r="G2230" s="90"/>
      <c r="H2230" s="90"/>
      <c r="I2230" s="90"/>
      <c r="J2230" s="90"/>
      <c r="K2230" s="90"/>
      <c r="L2230" s="90"/>
      <c r="M2230" s="90"/>
      <c r="N2230" s="90"/>
      <c r="O2230" s="90"/>
      <c r="P2230" s="90"/>
    </row>
    <row r="2231" spans="1:16" ht="13.2">
      <c r="A2231" s="90"/>
      <c r="B2231" s="92"/>
      <c r="C2231" s="90"/>
      <c r="D2231" s="90"/>
      <c r="E2231" s="90"/>
      <c r="F2231" s="90"/>
      <c r="G2231" s="90"/>
      <c r="H2231" s="90"/>
      <c r="I2231" s="90"/>
      <c r="J2231" s="90"/>
      <c r="K2231" s="90"/>
      <c r="L2231" s="90"/>
      <c r="M2231" s="90"/>
      <c r="N2231" s="90"/>
      <c r="O2231" s="90"/>
      <c r="P2231" s="90"/>
    </row>
    <row r="2232" spans="1:16" ht="13.2">
      <c r="A2232" s="90"/>
      <c r="B2232" s="92"/>
      <c r="C2232" s="90"/>
      <c r="D2232" s="90"/>
      <c r="E2232" s="90"/>
      <c r="F2232" s="90"/>
      <c r="G2232" s="90"/>
      <c r="H2232" s="90"/>
      <c r="I2232" s="90"/>
      <c r="J2232" s="90"/>
      <c r="K2232" s="90"/>
      <c r="L2232" s="90"/>
      <c r="M2232" s="90"/>
      <c r="N2232" s="90"/>
      <c r="O2232" s="90"/>
      <c r="P2232" s="90"/>
    </row>
    <row r="2233" spans="1:16" ht="13.2">
      <c r="A2233" s="90"/>
      <c r="B2233" s="92"/>
      <c r="C2233" s="90"/>
      <c r="D2233" s="90"/>
      <c r="E2233" s="90"/>
      <c r="F2233" s="90"/>
      <c r="G2233" s="90"/>
      <c r="H2233" s="90"/>
      <c r="I2233" s="90"/>
      <c r="J2233" s="90"/>
      <c r="K2233" s="90"/>
      <c r="L2233" s="90"/>
      <c r="M2233" s="90"/>
      <c r="N2233" s="90"/>
      <c r="O2233" s="90"/>
      <c r="P2233" s="90"/>
    </row>
    <row r="2234" spans="1:16" ht="13.2">
      <c r="A2234" s="90"/>
      <c r="B2234" s="92"/>
      <c r="C2234" s="90"/>
      <c r="D2234" s="90"/>
      <c r="E2234" s="90"/>
      <c r="F2234" s="90"/>
      <c r="G2234" s="90"/>
      <c r="H2234" s="90"/>
      <c r="I2234" s="90"/>
      <c r="J2234" s="90"/>
      <c r="K2234" s="90"/>
      <c r="L2234" s="90"/>
      <c r="M2234" s="90"/>
      <c r="N2234" s="90"/>
      <c r="O2234" s="90"/>
      <c r="P2234" s="90"/>
    </row>
    <row r="2235" spans="1:16" ht="13.2">
      <c r="A2235" s="90"/>
      <c r="B2235" s="92"/>
      <c r="C2235" s="90"/>
      <c r="D2235" s="90"/>
      <c r="E2235" s="90"/>
      <c r="F2235" s="90"/>
      <c r="G2235" s="90"/>
      <c r="H2235" s="90"/>
      <c r="I2235" s="90"/>
      <c r="J2235" s="90"/>
      <c r="K2235" s="90"/>
      <c r="L2235" s="90"/>
      <c r="M2235" s="90"/>
      <c r="N2235" s="90"/>
      <c r="O2235" s="90"/>
      <c r="P2235" s="90"/>
    </row>
    <row r="2236" spans="1:16" ht="13.2">
      <c r="A2236" s="90"/>
      <c r="B2236" s="92"/>
      <c r="C2236" s="90"/>
      <c r="D2236" s="90"/>
      <c r="E2236" s="90"/>
      <c r="F2236" s="90"/>
      <c r="G2236" s="90"/>
      <c r="H2236" s="90"/>
      <c r="I2236" s="90"/>
      <c r="J2236" s="90"/>
      <c r="K2236" s="90"/>
      <c r="L2236" s="90"/>
      <c r="M2236" s="90"/>
      <c r="N2236" s="90"/>
      <c r="O2236" s="90"/>
      <c r="P2236" s="90"/>
    </row>
    <row r="2237" spans="1:16" ht="13.2">
      <c r="A2237" s="90"/>
      <c r="B2237" s="92"/>
      <c r="C2237" s="90"/>
      <c r="D2237" s="90"/>
      <c r="E2237" s="90"/>
      <c r="F2237" s="90"/>
      <c r="G2237" s="90"/>
      <c r="H2237" s="90"/>
      <c r="I2237" s="90"/>
      <c r="J2237" s="90"/>
      <c r="K2237" s="90"/>
      <c r="L2237" s="90"/>
      <c r="M2237" s="90"/>
      <c r="N2237" s="90"/>
      <c r="O2237" s="90"/>
      <c r="P2237" s="90"/>
    </row>
    <row r="2238" spans="1:16" ht="13.2">
      <c r="A2238" s="90"/>
      <c r="B2238" s="92"/>
      <c r="C2238" s="90"/>
      <c r="D2238" s="90"/>
      <c r="E2238" s="90"/>
      <c r="F2238" s="90"/>
      <c r="G2238" s="90"/>
      <c r="H2238" s="90"/>
      <c r="I2238" s="90"/>
      <c r="J2238" s="90"/>
      <c r="K2238" s="90"/>
      <c r="L2238" s="90"/>
      <c r="M2238" s="90"/>
      <c r="N2238" s="90"/>
      <c r="O2238" s="90"/>
      <c r="P2238" s="90"/>
    </row>
    <row r="2239" spans="1:16" ht="13.2">
      <c r="A2239" s="90"/>
      <c r="B2239" s="92"/>
      <c r="C2239" s="90"/>
      <c r="D2239" s="90"/>
      <c r="E2239" s="90"/>
      <c r="F2239" s="90"/>
      <c r="G2239" s="90"/>
      <c r="H2239" s="90"/>
      <c r="I2239" s="90"/>
      <c r="J2239" s="90"/>
      <c r="K2239" s="90"/>
      <c r="L2239" s="90"/>
      <c r="M2239" s="90"/>
      <c r="N2239" s="90"/>
      <c r="O2239" s="90"/>
      <c r="P2239" s="90"/>
    </row>
    <row r="2240" spans="1:16" ht="13.2">
      <c r="A2240" s="90"/>
      <c r="B2240" s="92"/>
      <c r="C2240" s="90"/>
      <c r="D2240" s="90"/>
      <c r="E2240" s="90"/>
      <c r="F2240" s="90"/>
      <c r="G2240" s="90"/>
      <c r="H2240" s="90"/>
      <c r="I2240" s="90"/>
      <c r="J2240" s="90"/>
      <c r="K2240" s="90"/>
      <c r="L2240" s="90"/>
      <c r="M2240" s="90"/>
      <c r="N2240" s="90"/>
      <c r="O2240" s="90"/>
      <c r="P2240" s="90"/>
    </row>
    <row r="2241" spans="1:16" ht="13.2">
      <c r="A2241" s="90"/>
      <c r="B2241" s="92"/>
      <c r="C2241" s="90"/>
      <c r="D2241" s="90"/>
      <c r="E2241" s="90"/>
      <c r="F2241" s="90"/>
      <c r="G2241" s="90"/>
      <c r="H2241" s="90"/>
      <c r="I2241" s="90"/>
      <c r="J2241" s="90"/>
      <c r="K2241" s="90"/>
      <c r="L2241" s="90"/>
      <c r="M2241" s="90"/>
      <c r="N2241" s="90"/>
      <c r="O2241" s="90"/>
      <c r="P2241" s="90"/>
    </row>
    <row r="2242" spans="1:16" ht="13.2">
      <c r="A2242" s="90"/>
      <c r="B2242" s="92"/>
      <c r="C2242" s="90"/>
      <c r="D2242" s="90"/>
      <c r="E2242" s="90"/>
      <c r="F2242" s="90"/>
      <c r="G2242" s="90"/>
      <c r="H2242" s="90"/>
      <c r="I2242" s="90"/>
      <c r="J2242" s="90"/>
      <c r="K2242" s="90"/>
      <c r="L2242" s="90"/>
      <c r="M2242" s="90"/>
      <c r="N2242" s="90"/>
      <c r="O2242" s="90"/>
      <c r="P2242" s="90"/>
    </row>
    <row r="2243" spans="1:16" ht="13.2">
      <c r="A2243" s="90"/>
      <c r="B2243" s="92"/>
      <c r="C2243" s="90"/>
      <c r="D2243" s="90"/>
      <c r="E2243" s="90"/>
      <c r="F2243" s="90"/>
      <c r="G2243" s="90"/>
      <c r="H2243" s="90"/>
      <c r="I2243" s="90"/>
      <c r="J2243" s="90"/>
      <c r="K2243" s="90"/>
      <c r="L2243" s="90"/>
      <c r="M2243" s="90"/>
      <c r="N2243" s="90"/>
      <c r="O2243" s="90"/>
      <c r="P2243" s="90"/>
    </row>
    <row r="2244" spans="1:16" ht="13.2">
      <c r="A2244" s="90"/>
      <c r="B2244" s="92"/>
      <c r="C2244" s="90"/>
      <c r="D2244" s="90"/>
      <c r="E2244" s="90"/>
      <c r="F2244" s="90"/>
      <c r="G2244" s="90"/>
      <c r="H2244" s="90"/>
      <c r="I2244" s="90"/>
      <c r="J2244" s="90"/>
      <c r="K2244" s="90"/>
      <c r="L2244" s="90"/>
      <c r="M2244" s="90"/>
      <c r="N2244" s="90"/>
      <c r="O2244" s="90"/>
      <c r="P2244" s="90"/>
    </row>
    <row r="2245" spans="1:16" ht="13.2">
      <c r="A2245" s="90"/>
      <c r="B2245" s="92"/>
      <c r="C2245" s="90"/>
      <c r="D2245" s="90"/>
      <c r="E2245" s="90"/>
      <c r="F2245" s="90"/>
      <c r="G2245" s="90"/>
      <c r="H2245" s="90"/>
      <c r="I2245" s="90"/>
      <c r="J2245" s="90"/>
      <c r="K2245" s="90"/>
      <c r="L2245" s="90"/>
      <c r="M2245" s="90"/>
      <c r="N2245" s="90"/>
      <c r="O2245" s="90"/>
      <c r="P2245" s="90"/>
    </row>
    <row r="2246" spans="1:16" ht="13.2">
      <c r="A2246" s="90"/>
      <c r="B2246" s="92"/>
      <c r="C2246" s="90"/>
      <c r="D2246" s="90"/>
      <c r="E2246" s="90"/>
      <c r="F2246" s="90"/>
      <c r="G2246" s="90"/>
      <c r="H2246" s="90"/>
      <c r="I2246" s="90"/>
      <c r="J2246" s="90"/>
      <c r="K2246" s="90"/>
      <c r="L2246" s="90"/>
      <c r="M2246" s="90"/>
      <c r="N2246" s="90"/>
      <c r="O2246" s="90"/>
      <c r="P2246" s="90"/>
    </row>
    <row r="2247" spans="1:16" ht="13.2">
      <c r="A2247" s="90"/>
      <c r="B2247" s="92"/>
      <c r="C2247" s="90"/>
      <c r="D2247" s="90"/>
      <c r="E2247" s="90"/>
      <c r="F2247" s="90"/>
      <c r="G2247" s="90"/>
      <c r="H2247" s="90"/>
      <c r="I2247" s="90"/>
      <c r="J2247" s="90"/>
      <c r="K2247" s="90"/>
      <c r="L2247" s="90"/>
      <c r="M2247" s="90"/>
      <c r="N2247" s="90"/>
      <c r="O2247" s="90"/>
      <c r="P2247" s="90"/>
    </row>
    <row r="2248" spans="1:16" ht="13.2">
      <c r="A2248" s="90"/>
      <c r="B2248" s="92"/>
      <c r="C2248" s="90"/>
      <c r="D2248" s="90"/>
      <c r="E2248" s="90"/>
      <c r="F2248" s="90"/>
      <c r="G2248" s="90"/>
      <c r="H2248" s="90"/>
      <c r="I2248" s="90"/>
      <c r="J2248" s="90"/>
      <c r="K2248" s="90"/>
      <c r="L2248" s="90"/>
      <c r="M2248" s="90"/>
      <c r="N2248" s="90"/>
      <c r="O2248" s="90"/>
      <c r="P2248" s="90"/>
    </row>
    <row r="2249" spans="1:16" ht="13.2">
      <c r="A2249" s="90"/>
      <c r="B2249" s="92"/>
      <c r="C2249" s="90"/>
      <c r="D2249" s="90"/>
      <c r="E2249" s="90"/>
      <c r="F2249" s="90"/>
      <c r="G2249" s="90"/>
      <c r="H2249" s="90"/>
      <c r="I2249" s="90"/>
      <c r="J2249" s="90"/>
      <c r="K2249" s="90"/>
      <c r="L2249" s="90"/>
      <c r="M2249" s="90"/>
      <c r="N2249" s="90"/>
      <c r="O2249" s="90"/>
      <c r="P2249" s="90"/>
    </row>
    <row r="2250" spans="1:16" ht="13.2">
      <c r="A2250" s="90"/>
      <c r="B2250" s="92"/>
      <c r="C2250" s="90"/>
      <c r="D2250" s="90"/>
      <c r="E2250" s="90"/>
      <c r="F2250" s="90"/>
      <c r="G2250" s="90"/>
      <c r="H2250" s="90"/>
      <c r="I2250" s="90"/>
      <c r="J2250" s="90"/>
      <c r="K2250" s="90"/>
      <c r="L2250" s="90"/>
      <c r="M2250" s="90"/>
      <c r="N2250" s="90"/>
      <c r="O2250" s="90"/>
      <c r="P2250" s="90"/>
    </row>
    <row r="2251" spans="1:16" ht="13.2">
      <c r="A2251" s="90"/>
      <c r="B2251" s="92"/>
      <c r="C2251" s="90"/>
      <c r="D2251" s="90"/>
      <c r="E2251" s="90"/>
      <c r="F2251" s="90"/>
      <c r="G2251" s="90"/>
      <c r="H2251" s="90"/>
      <c r="I2251" s="90"/>
      <c r="J2251" s="90"/>
      <c r="K2251" s="90"/>
      <c r="L2251" s="90"/>
      <c r="M2251" s="90"/>
      <c r="N2251" s="90"/>
      <c r="O2251" s="90"/>
      <c r="P2251" s="90"/>
    </row>
    <row r="2252" spans="1:16" ht="13.2">
      <c r="A2252" s="90"/>
      <c r="B2252" s="92"/>
      <c r="C2252" s="90"/>
      <c r="D2252" s="90"/>
      <c r="E2252" s="90"/>
      <c r="F2252" s="90"/>
      <c r="G2252" s="90"/>
      <c r="H2252" s="90"/>
      <c r="I2252" s="90"/>
      <c r="J2252" s="90"/>
      <c r="K2252" s="90"/>
      <c r="L2252" s="90"/>
      <c r="M2252" s="90"/>
      <c r="N2252" s="90"/>
      <c r="O2252" s="90"/>
      <c r="P2252" s="90"/>
    </row>
    <row r="2253" spans="1:16" ht="13.2">
      <c r="A2253" s="90"/>
      <c r="B2253" s="92"/>
      <c r="C2253" s="90"/>
      <c r="D2253" s="90"/>
      <c r="E2253" s="90"/>
      <c r="F2253" s="90"/>
      <c r="G2253" s="90"/>
      <c r="H2253" s="90"/>
      <c r="I2253" s="90"/>
      <c r="J2253" s="90"/>
      <c r="K2253" s="90"/>
      <c r="L2253" s="90"/>
      <c r="M2253" s="90"/>
      <c r="N2253" s="90"/>
      <c r="O2253" s="90"/>
      <c r="P2253" s="90"/>
    </row>
    <row r="2254" spans="1:16" ht="13.2">
      <c r="A2254" s="90"/>
      <c r="B2254" s="92"/>
      <c r="C2254" s="90"/>
      <c r="D2254" s="90"/>
      <c r="E2254" s="90"/>
      <c r="F2254" s="90"/>
      <c r="G2254" s="90"/>
      <c r="H2254" s="90"/>
      <c r="I2254" s="90"/>
      <c r="J2254" s="90"/>
      <c r="K2254" s="90"/>
      <c r="L2254" s="90"/>
      <c r="M2254" s="90"/>
      <c r="N2254" s="90"/>
      <c r="O2254" s="90"/>
      <c r="P2254" s="90"/>
    </row>
    <row r="2255" spans="1:16" ht="13.2">
      <c r="A2255" s="90"/>
      <c r="B2255" s="92"/>
      <c r="C2255" s="90"/>
      <c r="D2255" s="90"/>
      <c r="E2255" s="90"/>
      <c r="F2255" s="90"/>
      <c r="G2255" s="90"/>
      <c r="H2255" s="90"/>
      <c r="I2255" s="90"/>
      <c r="J2255" s="90"/>
      <c r="K2255" s="90"/>
      <c r="L2255" s="90"/>
      <c r="M2255" s="90"/>
      <c r="N2255" s="90"/>
      <c r="O2255" s="90"/>
      <c r="P2255" s="90"/>
    </row>
    <row r="2256" spans="1:16" ht="13.2">
      <c r="A2256" s="90"/>
      <c r="B2256" s="92"/>
      <c r="C2256" s="90"/>
      <c r="D2256" s="90"/>
      <c r="E2256" s="90"/>
      <c r="F2256" s="90"/>
      <c r="G2256" s="90"/>
      <c r="H2256" s="90"/>
      <c r="I2256" s="90"/>
      <c r="J2256" s="90"/>
      <c r="K2256" s="90"/>
      <c r="L2256" s="90"/>
      <c r="M2256" s="90"/>
      <c r="N2256" s="90"/>
      <c r="O2256" s="90"/>
      <c r="P2256" s="90"/>
    </row>
    <row r="2257" spans="1:16" ht="13.2">
      <c r="A2257" s="90"/>
      <c r="B2257" s="92"/>
      <c r="C2257" s="90"/>
      <c r="D2257" s="90"/>
      <c r="E2257" s="90"/>
      <c r="F2257" s="90"/>
      <c r="G2257" s="90"/>
      <c r="H2257" s="90"/>
      <c r="I2257" s="90"/>
      <c r="J2257" s="90"/>
      <c r="K2257" s="90"/>
      <c r="L2257" s="90"/>
      <c r="M2257" s="90"/>
      <c r="N2257" s="90"/>
      <c r="O2257" s="90"/>
      <c r="P2257" s="90"/>
    </row>
    <row r="2258" spans="1:16" ht="13.2">
      <c r="A2258" s="90"/>
      <c r="B2258" s="92"/>
      <c r="C2258" s="90"/>
      <c r="D2258" s="90"/>
      <c r="E2258" s="90"/>
      <c r="F2258" s="90"/>
      <c r="G2258" s="90"/>
      <c r="H2258" s="90"/>
      <c r="I2258" s="90"/>
      <c r="J2258" s="90"/>
      <c r="K2258" s="90"/>
      <c r="L2258" s="90"/>
      <c r="M2258" s="90"/>
      <c r="N2258" s="90"/>
      <c r="O2258" s="90"/>
      <c r="P2258" s="90"/>
    </row>
    <row r="2259" spans="1:16" ht="13.2">
      <c r="A2259" s="90"/>
      <c r="B2259" s="92"/>
      <c r="C2259" s="90"/>
      <c r="D2259" s="90"/>
      <c r="E2259" s="90"/>
      <c r="F2259" s="90"/>
      <c r="G2259" s="90"/>
      <c r="H2259" s="90"/>
      <c r="I2259" s="90"/>
      <c r="J2259" s="90"/>
      <c r="K2259" s="90"/>
      <c r="L2259" s="90"/>
      <c r="M2259" s="90"/>
      <c r="N2259" s="90"/>
      <c r="O2259" s="90"/>
      <c r="P2259" s="90"/>
    </row>
    <row r="2260" spans="1:16" ht="13.2">
      <c r="A2260" s="90"/>
      <c r="B2260" s="92"/>
      <c r="C2260" s="90"/>
      <c r="D2260" s="90"/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</row>
    <row r="2261" spans="1:16" ht="13.2">
      <c r="A2261" s="90"/>
      <c r="B2261" s="92"/>
      <c r="C2261" s="90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</row>
    <row r="2262" spans="1:16" ht="13.2">
      <c r="A2262" s="90"/>
      <c r="B2262" s="92"/>
      <c r="C2262" s="90"/>
      <c r="D2262" s="90"/>
      <c r="E2262" s="90"/>
      <c r="F2262" s="90"/>
      <c r="G2262" s="90"/>
      <c r="H2262" s="90"/>
      <c r="I2262" s="90"/>
      <c r="J2262" s="90"/>
      <c r="K2262" s="90"/>
      <c r="L2262" s="90"/>
      <c r="M2262" s="90"/>
      <c r="N2262" s="90"/>
      <c r="O2262" s="90"/>
      <c r="P2262" s="90"/>
    </row>
    <row r="2263" spans="1:16" ht="13.2">
      <c r="A2263" s="90"/>
      <c r="B2263" s="92"/>
      <c r="C2263" s="90"/>
      <c r="D2263" s="90"/>
      <c r="E2263" s="90"/>
      <c r="F2263" s="90"/>
      <c r="G2263" s="90"/>
      <c r="H2263" s="90"/>
      <c r="I2263" s="90"/>
      <c r="J2263" s="90"/>
      <c r="K2263" s="90"/>
      <c r="L2263" s="90"/>
      <c r="M2263" s="90"/>
      <c r="N2263" s="90"/>
      <c r="O2263" s="90"/>
      <c r="P2263" s="90"/>
    </row>
    <row r="2264" spans="1:16" ht="13.2">
      <c r="A2264" s="90"/>
      <c r="B2264" s="92"/>
      <c r="C2264" s="90"/>
      <c r="D2264" s="90"/>
      <c r="E2264" s="90"/>
      <c r="F2264" s="90"/>
      <c r="G2264" s="90"/>
      <c r="H2264" s="90"/>
      <c r="I2264" s="90"/>
      <c r="J2264" s="90"/>
      <c r="K2264" s="90"/>
      <c r="L2264" s="90"/>
      <c r="M2264" s="90"/>
      <c r="N2264" s="90"/>
      <c r="O2264" s="90"/>
      <c r="P2264" s="90"/>
    </row>
    <row r="2265" spans="1:16" ht="13.2">
      <c r="A2265" s="90"/>
      <c r="B2265" s="92"/>
      <c r="C2265" s="90"/>
      <c r="D2265" s="90"/>
      <c r="E2265" s="90"/>
      <c r="F2265" s="90"/>
      <c r="G2265" s="90"/>
      <c r="H2265" s="90"/>
      <c r="I2265" s="90"/>
      <c r="J2265" s="90"/>
      <c r="K2265" s="90"/>
      <c r="L2265" s="90"/>
      <c r="M2265" s="90"/>
      <c r="N2265" s="90"/>
      <c r="O2265" s="90"/>
      <c r="P2265" s="90"/>
    </row>
    <row r="2266" spans="1:16" ht="13.2">
      <c r="A2266" s="90"/>
      <c r="B2266" s="92"/>
      <c r="C2266" s="90"/>
      <c r="D2266" s="90"/>
      <c r="E2266" s="90"/>
      <c r="F2266" s="90"/>
      <c r="G2266" s="90"/>
      <c r="H2266" s="90"/>
      <c r="I2266" s="90"/>
      <c r="J2266" s="90"/>
      <c r="K2266" s="90"/>
      <c r="L2266" s="90"/>
      <c r="M2266" s="90"/>
      <c r="N2266" s="90"/>
      <c r="O2266" s="90"/>
      <c r="P2266" s="90"/>
    </row>
    <row r="2267" spans="1:16" ht="13.2">
      <c r="A2267" s="90"/>
      <c r="B2267" s="92"/>
      <c r="C2267" s="90"/>
      <c r="D2267" s="90"/>
      <c r="E2267" s="90"/>
      <c r="F2267" s="90"/>
      <c r="G2267" s="90"/>
      <c r="H2267" s="90"/>
      <c r="I2267" s="90"/>
      <c r="J2267" s="90"/>
      <c r="K2267" s="90"/>
      <c r="L2267" s="90"/>
      <c r="M2267" s="90"/>
      <c r="N2267" s="90"/>
      <c r="O2267" s="90"/>
      <c r="P2267" s="90"/>
    </row>
    <row r="2268" spans="1:16" ht="13.2">
      <c r="A2268" s="90"/>
      <c r="B2268" s="92"/>
      <c r="C2268" s="90"/>
      <c r="D2268" s="90"/>
      <c r="E2268" s="90"/>
      <c r="F2268" s="90"/>
      <c r="G2268" s="90"/>
      <c r="H2268" s="90"/>
      <c r="I2268" s="90"/>
      <c r="J2268" s="90"/>
      <c r="K2268" s="90"/>
      <c r="L2268" s="90"/>
      <c r="M2268" s="90"/>
      <c r="N2268" s="90"/>
      <c r="O2268" s="90"/>
      <c r="P2268" s="90"/>
    </row>
    <row r="2269" spans="1:16" ht="13.2">
      <c r="A2269" s="90"/>
      <c r="B2269" s="92"/>
      <c r="C2269" s="90"/>
      <c r="D2269" s="90"/>
      <c r="E2269" s="90"/>
      <c r="F2269" s="90"/>
      <c r="G2269" s="90"/>
      <c r="H2269" s="90"/>
      <c r="I2269" s="90"/>
      <c r="J2269" s="90"/>
      <c r="K2269" s="90"/>
      <c r="L2269" s="90"/>
      <c r="M2269" s="90"/>
      <c r="N2269" s="90"/>
      <c r="O2269" s="90"/>
      <c r="P2269" s="90"/>
    </row>
    <row r="2270" spans="1:16" ht="13.2">
      <c r="A2270" s="90"/>
      <c r="B2270" s="92"/>
      <c r="C2270" s="90"/>
      <c r="D2270" s="90"/>
      <c r="E2270" s="90"/>
      <c r="F2270" s="90"/>
      <c r="G2270" s="90"/>
      <c r="H2270" s="90"/>
      <c r="I2270" s="90"/>
      <c r="J2270" s="90"/>
      <c r="K2270" s="90"/>
      <c r="L2270" s="90"/>
      <c r="M2270" s="90"/>
      <c r="N2270" s="90"/>
      <c r="O2270" s="90"/>
      <c r="P2270" s="90"/>
    </row>
    <row r="2271" spans="1:16" ht="13.2">
      <c r="A2271" s="90"/>
      <c r="B2271" s="92"/>
      <c r="C2271" s="90"/>
      <c r="D2271" s="90"/>
      <c r="E2271" s="90"/>
      <c r="F2271" s="90"/>
      <c r="G2271" s="90"/>
      <c r="H2271" s="90"/>
      <c r="I2271" s="90"/>
      <c r="J2271" s="90"/>
      <c r="K2271" s="90"/>
      <c r="L2271" s="90"/>
      <c r="M2271" s="90"/>
      <c r="N2271" s="90"/>
      <c r="O2271" s="90"/>
      <c r="P2271" s="90"/>
    </row>
    <row r="2272" spans="1:16" ht="13.2">
      <c r="A2272" s="90"/>
      <c r="B2272" s="92"/>
      <c r="C2272" s="90"/>
      <c r="D2272" s="90"/>
      <c r="E2272" s="90"/>
      <c r="F2272" s="90"/>
      <c r="G2272" s="90"/>
      <c r="H2272" s="90"/>
      <c r="I2272" s="90"/>
      <c r="J2272" s="90"/>
      <c r="K2272" s="90"/>
      <c r="L2272" s="90"/>
      <c r="M2272" s="90"/>
      <c r="N2272" s="90"/>
      <c r="O2272" s="90"/>
      <c r="P2272" s="90"/>
    </row>
    <row r="2273" spans="1:16" ht="13.2">
      <c r="A2273" s="90"/>
      <c r="B2273" s="92"/>
      <c r="C2273" s="90"/>
      <c r="D2273" s="90"/>
      <c r="E2273" s="90"/>
      <c r="F2273" s="90"/>
      <c r="G2273" s="90"/>
      <c r="H2273" s="90"/>
      <c r="I2273" s="90"/>
      <c r="J2273" s="90"/>
      <c r="K2273" s="90"/>
      <c r="L2273" s="90"/>
      <c r="M2273" s="90"/>
      <c r="N2273" s="90"/>
      <c r="O2273" s="90"/>
      <c r="P2273" s="90"/>
    </row>
    <row r="2274" spans="1:16" ht="13.2">
      <c r="A2274" s="90"/>
      <c r="B2274" s="92"/>
      <c r="C2274" s="90"/>
      <c r="D2274" s="90"/>
      <c r="E2274" s="90"/>
      <c r="F2274" s="90"/>
      <c r="G2274" s="90"/>
      <c r="H2274" s="90"/>
      <c r="I2274" s="90"/>
      <c r="J2274" s="90"/>
      <c r="K2274" s="90"/>
      <c r="L2274" s="90"/>
      <c r="M2274" s="90"/>
      <c r="N2274" s="90"/>
      <c r="O2274" s="90"/>
      <c r="P2274" s="90"/>
    </row>
    <row r="2275" spans="1:16" ht="13.2">
      <c r="A2275" s="90"/>
      <c r="B2275" s="92"/>
      <c r="C2275" s="90"/>
      <c r="D2275" s="90"/>
      <c r="E2275" s="90"/>
      <c r="F2275" s="90"/>
      <c r="G2275" s="90"/>
      <c r="H2275" s="90"/>
      <c r="I2275" s="90"/>
      <c r="J2275" s="90"/>
      <c r="K2275" s="90"/>
      <c r="L2275" s="90"/>
      <c r="M2275" s="90"/>
      <c r="N2275" s="90"/>
      <c r="O2275" s="90"/>
      <c r="P2275" s="90"/>
    </row>
    <row r="2276" spans="1:16" ht="13.2">
      <c r="A2276" s="90"/>
      <c r="B2276" s="92"/>
      <c r="C2276" s="90"/>
      <c r="D2276" s="90"/>
      <c r="E2276" s="90"/>
      <c r="F2276" s="90"/>
      <c r="G2276" s="90"/>
      <c r="H2276" s="90"/>
      <c r="I2276" s="90"/>
      <c r="J2276" s="90"/>
      <c r="K2276" s="90"/>
      <c r="L2276" s="90"/>
      <c r="M2276" s="90"/>
      <c r="N2276" s="90"/>
      <c r="O2276" s="90"/>
      <c r="P2276" s="90"/>
    </row>
    <row r="2277" spans="1:16" ht="13.2">
      <c r="A2277" s="90"/>
      <c r="B2277" s="92"/>
      <c r="C2277" s="90"/>
      <c r="D2277" s="90"/>
      <c r="E2277" s="90"/>
      <c r="F2277" s="90"/>
      <c r="G2277" s="90"/>
      <c r="H2277" s="90"/>
      <c r="I2277" s="90"/>
      <c r="J2277" s="90"/>
      <c r="K2277" s="90"/>
      <c r="L2277" s="90"/>
      <c r="M2277" s="90"/>
      <c r="N2277" s="90"/>
      <c r="O2277" s="90"/>
      <c r="P2277" s="90"/>
    </row>
    <row r="2278" spans="1:16" ht="13.2">
      <c r="A2278" s="90"/>
      <c r="B2278" s="92"/>
      <c r="C2278" s="90"/>
      <c r="D2278" s="90"/>
      <c r="E2278" s="90"/>
      <c r="F2278" s="90"/>
      <c r="G2278" s="90"/>
      <c r="H2278" s="90"/>
      <c r="I2278" s="90"/>
      <c r="J2278" s="90"/>
      <c r="K2278" s="90"/>
      <c r="L2278" s="90"/>
      <c r="M2278" s="90"/>
      <c r="N2278" s="90"/>
      <c r="O2278" s="90"/>
      <c r="P2278" s="90"/>
    </row>
    <row r="2279" spans="1:16" ht="13.2">
      <c r="A2279" s="90"/>
      <c r="B2279" s="92"/>
      <c r="C2279" s="90"/>
      <c r="D2279" s="90"/>
      <c r="E2279" s="90"/>
      <c r="F2279" s="90"/>
      <c r="G2279" s="90"/>
      <c r="H2279" s="90"/>
      <c r="I2279" s="90"/>
      <c r="J2279" s="90"/>
      <c r="K2279" s="90"/>
      <c r="L2279" s="90"/>
      <c r="M2279" s="90"/>
      <c r="N2279" s="90"/>
      <c r="O2279" s="90"/>
      <c r="P2279" s="90"/>
    </row>
    <row r="2280" spans="1:16" ht="13.2">
      <c r="A2280" s="90"/>
      <c r="B2280" s="92"/>
      <c r="C2280" s="90"/>
      <c r="D2280" s="90"/>
      <c r="E2280" s="90"/>
      <c r="F2280" s="90"/>
      <c r="G2280" s="90"/>
      <c r="H2280" s="90"/>
      <c r="I2280" s="90"/>
      <c r="J2280" s="90"/>
      <c r="K2280" s="90"/>
      <c r="L2280" s="90"/>
      <c r="M2280" s="90"/>
      <c r="N2280" s="90"/>
      <c r="O2280" s="90"/>
      <c r="P2280" s="90"/>
    </row>
    <row r="2281" spans="1:16" ht="13.2">
      <c r="A2281" s="90"/>
      <c r="B2281" s="92"/>
      <c r="C2281" s="90"/>
      <c r="D2281" s="90"/>
      <c r="E2281" s="90"/>
      <c r="F2281" s="90"/>
      <c r="G2281" s="90"/>
      <c r="H2281" s="90"/>
      <c r="I2281" s="90"/>
      <c r="J2281" s="90"/>
      <c r="K2281" s="90"/>
      <c r="L2281" s="90"/>
      <c r="M2281" s="90"/>
      <c r="N2281" s="90"/>
      <c r="O2281" s="90"/>
      <c r="P2281" s="90"/>
    </row>
    <row r="2282" spans="1:16" ht="13.2">
      <c r="A2282" s="90"/>
      <c r="B2282" s="92"/>
      <c r="C2282" s="90"/>
      <c r="D2282" s="90"/>
      <c r="E2282" s="90"/>
      <c r="F2282" s="90"/>
      <c r="G2282" s="90"/>
      <c r="H2282" s="90"/>
      <c r="I2282" s="90"/>
      <c r="J2282" s="90"/>
      <c r="K2282" s="90"/>
      <c r="L2282" s="90"/>
      <c r="M2282" s="90"/>
      <c r="N2282" s="90"/>
      <c r="O2282" s="90"/>
      <c r="P2282" s="90"/>
    </row>
    <row r="2283" spans="1:16" ht="13.2">
      <c r="A2283" s="90"/>
      <c r="B2283" s="92"/>
      <c r="C2283" s="90"/>
      <c r="D2283" s="90"/>
      <c r="E2283" s="90"/>
      <c r="F2283" s="90"/>
      <c r="G2283" s="90"/>
      <c r="H2283" s="90"/>
      <c r="I2283" s="90"/>
      <c r="J2283" s="90"/>
      <c r="K2283" s="90"/>
      <c r="L2283" s="90"/>
      <c r="M2283" s="90"/>
      <c r="N2283" s="90"/>
      <c r="O2283" s="90"/>
      <c r="P2283" s="90"/>
    </row>
    <row r="2284" spans="1:16" ht="13.2">
      <c r="A2284" s="90"/>
      <c r="B2284" s="92"/>
      <c r="C2284" s="90"/>
      <c r="D2284" s="90"/>
      <c r="E2284" s="90"/>
      <c r="F2284" s="90"/>
      <c r="G2284" s="90"/>
      <c r="H2284" s="90"/>
      <c r="I2284" s="90"/>
      <c r="J2284" s="90"/>
      <c r="K2284" s="90"/>
      <c r="L2284" s="90"/>
      <c r="M2284" s="90"/>
      <c r="N2284" s="90"/>
      <c r="O2284" s="90"/>
      <c r="P2284" s="90"/>
    </row>
    <row r="2285" spans="1:16" ht="13.2">
      <c r="A2285" s="90"/>
      <c r="B2285" s="92"/>
      <c r="C2285" s="90"/>
      <c r="D2285" s="90"/>
      <c r="E2285" s="90"/>
      <c r="F2285" s="90"/>
      <c r="G2285" s="90"/>
      <c r="H2285" s="90"/>
      <c r="I2285" s="90"/>
      <c r="J2285" s="90"/>
      <c r="K2285" s="90"/>
      <c r="L2285" s="90"/>
      <c r="M2285" s="90"/>
      <c r="N2285" s="90"/>
      <c r="O2285" s="90"/>
      <c r="P2285" s="90"/>
    </row>
    <row r="2286" spans="1:16" ht="13.2">
      <c r="A2286" s="90"/>
      <c r="B2286" s="92"/>
      <c r="C2286" s="90"/>
      <c r="D2286" s="90"/>
      <c r="E2286" s="90"/>
      <c r="F2286" s="90"/>
      <c r="G2286" s="90"/>
      <c r="H2286" s="90"/>
      <c r="I2286" s="90"/>
      <c r="J2286" s="90"/>
      <c r="K2286" s="90"/>
      <c r="L2286" s="90"/>
      <c r="M2286" s="90"/>
      <c r="N2286" s="90"/>
      <c r="O2286" s="90"/>
      <c r="P2286" s="90"/>
    </row>
    <row r="2287" spans="1:16" ht="13.2">
      <c r="A2287" s="90"/>
      <c r="B2287" s="92"/>
      <c r="C2287" s="90"/>
      <c r="D2287" s="90"/>
      <c r="E2287" s="90"/>
      <c r="F2287" s="90"/>
      <c r="G2287" s="90"/>
      <c r="H2287" s="90"/>
      <c r="I2287" s="90"/>
      <c r="J2287" s="90"/>
      <c r="K2287" s="90"/>
      <c r="L2287" s="90"/>
      <c r="M2287" s="90"/>
      <c r="N2287" s="90"/>
      <c r="O2287" s="90"/>
      <c r="P2287" s="90"/>
    </row>
    <row r="2288" spans="1:16" ht="13.2">
      <c r="A2288" s="90"/>
      <c r="B2288" s="92"/>
      <c r="C2288" s="90"/>
      <c r="D2288" s="90"/>
      <c r="E2288" s="90"/>
      <c r="F2288" s="90"/>
      <c r="G2288" s="90"/>
      <c r="H2288" s="90"/>
      <c r="I2288" s="90"/>
      <c r="J2288" s="90"/>
      <c r="K2288" s="90"/>
      <c r="L2288" s="90"/>
      <c r="M2288" s="90"/>
      <c r="N2288" s="90"/>
      <c r="O2288" s="90"/>
      <c r="P2288" s="90"/>
    </row>
    <row r="2289" spans="1:16" ht="13.2">
      <c r="A2289" s="90"/>
      <c r="B2289" s="92"/>
      <c r="C2289" s="90"/>
      <c r="D2289" s="90"/>
      <c r="E2289" s="90"/>
      <c r="F2289" s="90"/>
      <c r="G2289" s="90"/>
      <c r="H2289" s="90"/>
      <c r="I2289" s="90"/>
      <c r="J2289" s="90"/>
      <c r="K2289" s="90"/>
      <c r="L2289" s="90"/>
      <c r="M2289" s="90"/>
      <c r="N2289" s="90"/>
      <c r="O2289" s="90"/>
      <c r="P2289" s="90"/>
    </row>
    <row r="2290" spans="1:16" ht="13.2">
      <c r="A2290" s="90"/>
      <c r="B2290" s="92"/>
      <c r="C2290" s="90"/>
      <c r="D2290" s="90"/>
      <c r="E2290" s="90"/>
      <c r="F2290" s="90"/>
      <c r="G2290" s="90"/>
      <c r="H2290" s="90"/>
      <c r="I2290" s="90"/>
      <c r="J2290" s="90"/>
      <c r="K2290" s="90"/>
      <c r="L2290" s="90"/>
      <c r="M2290" s="90"/>
      <c r="N2290" s="90"/>
      <c r="O2290" s="90"/>
      <c r="P2290" s="90"/>
    </row>
    <row r="2291" spans="1:16" ht="13.2">
      <c r="A2291" s="90"/>
      <c r="B2291" s="92"/>
      <c r="C2291" s="90"/>
      <c r="D2291" s="90"/>
      <c r="E2291" s="90"/>
      <c r="F2291" s="90"/>
      <c r="G2291" s="90"/>
      <c r="H2291" s="90"/>
      <c r="I2291" s="90"/>
      <c r="J2291" s="90"/>
      <c r="K2291" s="90"/>
      <c r="L2291" s="90"/>
      <c r="M2291" s="90"/>
      <c r="N2291" s="90"/>
      <c r="O2291" s="90"/>
      <c r="P2291" s="90"/>
    </row>
    <row r="2292" spans="1:16" ht="13.2">
      <c r="A2292" s="90"/>
      <c r="B2292" s="92"/>
      <c r="C2292" s="90"/>
      <c r="D2292" s="90"/>
      <c r="E2292" s="90"/>
      <c r="F2292" s="90"/>
      <c r="G2292" s="90"/>
      <c r="H2292" s="90"/>
      <c r="I2292" s="90"/>
      <c r="J2292" s="90"/>
      <c r="K2292" s="90"/>
      <c r="L2292" s="90"/>
      <c r="M2292" s="90"/>
      <c r="N2292" s="90"/>
      <c r="O2292" s="90"/>
      <c r="P2292" s="90"/>
    </row>
    <row r="2293" spans="1:16" ht="13.2">
      <c r="A2293" s="90"/>
      <c r="B2293" s="92"/>
      <c r="C2293" s="90"/>
      <c r="D2293" s="90"/>
      <c r="E2293" s="90"/>
      <c r="F2293" s="90"/>
      <c r="G2293" s="90"/>
      <c r="H2293" s="90"/>
      <c r="I2293" s="90"/>
      <c r="J2293" s="90"/>
      <c r="K2293" s="90"/>
      <c r="L2293" s="90"/>
      <c r="M2293" s="90"/>
      <c r="N2293" s="90"/>
      <c r="O2293" s="90"/>
      <c r="P2293" s="90"/>
    </row>
    <row r="2294" spans="1:16" ht="13.2">
      <c r="A2294" s="90"/>
      <c r="B2294" s="92"/>
      <c r="C2294" s="90"/>
      <c r="D2294" s="90"/>
      <c r="E2294" s="90"/>
      <c r="F2294" s="90"/>
      <c r="G2294" s="90"/>
      <c r="H2294" s="90"/>
      <c r="I2294" s="90"/>
      <c r="J2294" s="90"/>
      <c r="K2294" s="90"/>
      <c r="L2294" s="90"/>
      <c r="M2294" s="90"/>
      <c r="N2294" s="90"/>
      <c r="O2294" s="90"/>
      <c r="P2294" s="90"/>
    </row>
    <row r="2295" spans="1:16" ht="13.2">
      <c r="A2295" s="90"/>
      <c r="B2295" s="92"/>
      <c r="C2295" s="90"/>
      <c r="D2295" s="90"/>
      <c r="E2295" s="90"/>
      <c r="F2295" s="90"/>
      <c r="G2295" s="90"/>
      <c r="H2295" s="90"/>
      <c r="I2295" s="90"/>
      <c r="J2295" s="90"/>
      <c r="K2295" s="90"/>
      <c r="L2295" s="90"/>
      <c r="M2295" s="90"/>
      <c r="N2295" s="90"/>
      <c r="O2295" s="90"/>
      <c r="P2295" s="90"/>
    </row>
    <row r="2296" spans="1:16" ht="13.2">
      <c r="A2296" s="90"/>
      <c r="B2296" s="92"/>
      <c r="C2296" s="90"/>
      <c r="D2296" s="90"/>
      <c r="E2296" s="90"/>
      <c r="F2296" s="90"/>
      <c r="G2296" s="90"/>
      <c r="H2296" s="90"/>
      <c r="I2296" s="90"/>
      <c r="J2296" s="90"/>
      <c r="K2296" s="90"/>
      <c r="L2296" s="90"/>
      <c r="M2296" s="90"/>
      <c r="N2296" s="90"/>
      <c r="O2296" s="90"/>
      <c r="P2296" s="90"/>
    </row>
    <row r="2297" spans="1:16" ht="13.2">
      <c r="A2297" s="90"/>
      <c r="B2297" s="92"/>
      <c r="C2297" s="90"/>
      <c r="D2297" s="90"/>
      <c r="E2297" s="90"/>
      <c r="F2297" s="90"/>
      <c r="G2297" s="90"/>
      <c r="H2297" s="90"/>
      <c r="I2297" s="90"/>
      <c r="J2297" s="90"/>
      <c r="K2297" s="90"/>
      <c r="L2297" s="90"/>
      <c r="M2297" s="90"/>
      <c r="N2297" s="90"/>
      <c r="O2297" s="90"/>
      <c r="P2297" s="90"/>
    </row>
    <row r="2298" spans="1:16" ht="13.2">
      <c r="A2298" s="90"/>
      <c r="B2298" s="92"/>
      <c r="C2298" s="90"/>
      <c r="D2298" s="90"/>
      <c r="E2298" s="90"/>
      <c r="F2298" s="90"/>
      <c r="G2298" s="90"/>
      <c r="H2298" s="90"/>
      <c r="I2298" s="90"/>
      <c r="J2298" s="90"/>
      <c r="K2298" s="90"/>
      <c r="L2298" s="90"/>
      <c r="M2298" s="90"/>
      <c r="N2298" s="90"/>
      <c r="O2298" s="90"/>
      <c r="P2298" s="90"/>
    </row>
    <row r="2299" spans="1:16" ht="13.2">
      <c r="A2299" s="90"/>
      <c r="B2299" s="92"/>
      <c r="C2299" s="90"/>
      <c r="D2299" s="90"/>
      <c r="E2299" s="90"/>
      <c r="F2299" s="90"/>
      <c r="G2299" s="90"/>
      <c r="H2299" s="90"/>
      <c r="I2299" s="90"/>
      <c r="J2299" s="90"/>
      <c r="K2299" s="90"/>
      <c r="L2299" s="90"/>
      <c r="M2299" s="90"/>
      <c r="N2299" s="90"/>
      <c r="O2299" s="90"/>
      <c r="P2299" s="90"/>
    </row>
    <row r="2300" spans="1:16" ht="13.2">
      <c r="A2300" s="90"/>
      <c r="B2300" s="92"/>
      <c r="C2300" s="90"/>
      <c r="D2300" s="90"/>
      <c r="E2300" s="90"/>
      <c r="F2300" s="90"/>
      <c r="G2300" s="90"/>
      <c r="H2300" s="90"/>
      <c r="I2300" s="90"/>
      <c r="J2300" s="90"/>
      <c r="K2300" s="90"/>
      <c r="L2300" s="90"/>
      <c r="M2300" s="90"/>
      <c r="N2300" s="90"/>
      <c r="O2300" s="90"/>
      <c r="P2300" s="90"/>
    </row>
    <row r="2301" spans="1:16" ht="13.2">
      <c r="A2301" s="90"/>
      <c r="B2301" s="92"/>
      <c r="C2301" s="90"/>
      <c r="D2301" s="90"/>
      <c r="E2301" s="90"/>
      <c r="F2301" s="90"/>
      <c r="G2301" s="90"/>
      <c r="H2301" s="90"/>
      <c r="I2301" s="90"/>
      <c r="J2301" s="90"/>
      <c r="K2301" s="90"/>
      <c r="L2301" s="90"/>
      <c r="M2301" s="90"/>
      <c r="N2301" s="90"/>
      <c r="O2301" s="90"/>
      <c r="P2301" s="90"/>
    </row>
    <row r="2302" spans="1:16" ht="13.2">
      <c r="A2302" s="90"/>
      <c r="B2302" s="92"/>
      <c r="C2302" s="90"/>
      <c r="D2302" s="90"/>
      <c r="E2302" s="90"/>
      <c r="F2302" s="90"/>
      <c r="G2302" s="90"/>
      <c r="H2302" s="90"/>
      <c r="I2302" s="90"/>
      <c r="J2302" s="90"/>
      <c r="K2302" s="90"/>
      <c r="L2302" s="90"/>
      <c r="M2302" s="90"/>
      <c r="N2302" s="90"/>
      <c r="O2302" s="90"/>
      <c r="P2302" s="90"/>
    </row>
    <row r="2303" spans="1:16" ht="13.2">
      <c r="A2303" s="90"/>
      <c r="B2303" s="92"/>
      <c r="C2303" s="90"/>
      <c r="D2303" s="90"/>
      <c r="E2303" s="90"/>
      <c r="F2303" s="90"/>
      <c r="G2303" s="90"/>
      <c r="H2303" s="90"/>
      <c r="I2303" s="90"/>
      <c r="J2303" s="90"/>
      <c r="K2303" s="90"/>
      <c r="L2303" s="90"/>
      <c r="M2303" s="90"/>
      <c r="N2303" s="90"/>
      <c r="O2303" s="90"/>
      <c r="P2303" s="90"/>
    </row>
    <row r="2304" spans="1:16" ht="13.2">
      <c r="A2304" s="90"/>
      <c r="B2304" s="92"/>
      <c r="C2304" s="90"/>
      <c r="D2304" s="90"/>
      <c r="E2304" s="90"/>
      <c r="F2304" s="90"/>
      <c r="G2304" s="90"/>
      <c r="H2304" s="90"/>
      <c r="I2304" s="90"/>
      <c r="J2304" s="90"/>
      <c r="K2304" s="90"/>
      <c r="L2304" s="90"/>
      <c r="M2304" s="90"/>
      <c r="N2304" s="90"/>
      <c r="O2304" s="90"/>
      <c r="P2304" s="90"/>
    </row>
    <row r="2305" spans="1:16" ht="13.2">
      <c r="A2305" s="90"/>
      <c r="B2305" s="92"/>
      <c r="C2305" s="90"/>
      <c r="D2305" s="90"/>
      <c r="E2305" s="90"/>
      <c r="F2305" s="90"/>
      <c r="G2305" s="90"/>
      <c r="H2305" s="90"/>
      <c r="I2305" s="90"/>
      <c r="J2305" s="90"/>
      <c r="K2305" s="90"/>
      <c r="L2305" s="90"/>
      <c r="M2305" s="90"/>
      <c r="N2305" s="90"/>
      <c r="O2305" s="90"/>
      <c r="P2305" s="90"/>
    </row>
    <row r="2306" spans="1:16" ht="13.2">
      <c r="A2306" s="90"/>
      <c r="B2306" s="92"/>
      <c r="C2306" s="90"/>
      <c r="D2306" s="90"/>
      <c r="E2306" s="90"/>
      <c r="F2306" s="90"/>
      <c r="G2306" s="90"/>
      <c r="H2306" s="90"/>
      <c r="I2306" s="90"/>
      <c r="J2306" s="90"/>
      <c r="K2306" s="90"/>
      <c r="L2306" s="90"/>
      <c r="M2306" s="90"/>
      <c r="N2306" s="90"/>
      <c r="O2306" s="90"/>
      <c r="P2306" s="90"/>
    </row>
    <row r="2307" spans="1:16" ht="13.2">
      <c r="A2307" s="90"/>
      <c r="B2307" s="92"/>
      <c r="C2307" s="90"/>
      <c r="D2307" s="90"/>
      <c r="E2307" s="90"/>
      <c r="F2307" s="90"/>
      <c r="G2307" s="90"/>
      <c r="H2307" s="90"/>
      <c r="I2307" s="90"/>
      <c r="J2307" s="90"/>
      <c r="K2307" s="90"/>
      <c r="L2307" s="90"/>
      <c r="M2307" s="90"/>
      <c r="N2307" s="90"/>
      <c r="O2307" s="90"/>
      <c r="P2307" s="90"/>
    </row>
    <row r="2308" spans="1:16" ht="13.2">
      <c r="A2308" s="90"/>
      <c r="B2308" s="92"/>
      <c r="C2308" s="90"/>
      <c r="D2308" s="90"/>
      <c r="E2308" s="90"/>
      <c r="F2308" s="90"/>
      <c r="G2308" s="90"/>
      <c r="H2308" s="90"/>
      <c r="I2308" s="90"/>
      <c r="J2308" s="90"/>
      <c r="K2308" s="90"/>
      <c r="L2308" s="90"/>
      <c r="M2308" s="90"/>
      <c r="N2308" s="90"/>
      <c r="O2308" s="90"/>
      <c r="P2308" s="90"/>
    </row>
    <row r="2309" spans="1:16" ht="13.2">
      <c r="A2309" s="90"/>
      <c r="B2309" s="92"/>
      <c r="C2309" s="90"/>
      <c r="D2309" s="90"/>
      <c r="E2309" s="90"/>
      <c r="F2309" s="90"/>
      <c r="G2309" s="90"/>
      <c r="H2309" s="90"/>
      <c r="I2309" s="90"/>
      <c r="J2309" s="90"/>
      <c r="K2309" s="90"/>
      <c r="L2309" s="90"/>
      <c r="M2309" s="90"/>
      <c r="N2309" s="90"/>
      <c r="O2309" s="90"/>
      <c r="P2309" s="90"/>
    </row>
    <row r="2310" spans="1:16" ht="13.2">
      <c r="A2310" s="90"/>
      <c r="B2310" s="92"/>
      <c r="C2310" s="90"/>
      <c r="D2310" s="90"/>
      <c r="E2310" s="90"/>
      <c r="F2310" s="90"/>
      <c r="G2310" s="90"/>
      <c r="H2310" s="90"/>
      <c r="I2310" s="90"/>
      <c r="J2310" s="90"/>
      <c r="K2310" s="90"/>
      <c r="L2310" s="90"/>
      <c r="M2310" s="90"/>
      <c r="N2310" s="90"/>
      <c r="O2310" s="90"/>
      <c r="P2310" s="90"/>
    </row>
    <row r="2311" spans="1:16" ht="13.2">
      <c r="A2311" s="90"/>
      <c r="B2311" s="92"/>
      <c r="C2311" s="90"/>
      <c r="D2311" s="90"/>
      <c r="E2311" s="90"/>
      <c r="F2311" s="90"/>
      <c r="G2311" s="90"/>
      <c r="H2311" s="90"/>
      <c r="I2311" s="90"/>
      <c r="J2311" s="90"/>
      <c r="K2311" s="90"/>
      <c r="L2311" s="90"/>
      <c r="M2311" s="90"/>
      <c r="N2311" s="90"/>
      <c r="O2311" s="90"/>
      <c r="P2311" s="90"/>
    </row>
    <row r="2312" spans="1:16" ht="13.2">
      <c r="A2312" s="90"/>
      <c r="B2312" s="92"/>
      <c r="C2312" s="90"/>
      <c r="D2312" s="90"/>
      <c r="E2312" s="90"/>
      <c r="F2312" s="90"/>
      <c r="G2312" s="90"/>
      <c r="H2312" s="90"/>
      <c r="I2312" s="90"/>
      <c r="J2312" s="90"/>
      <c r="K2312" s="90"/>
      <c r="L2312" s="90"/>
      <c r="M2312" s="90"/>
      <c r="N2312" s="90"/>
      <c r="O2312" s="90"/>
      <c r="P2312" s="90"/>
    </row>
    <row r="2313" spans="1:16" ht="13.2">
      <c r="A2313" s="90"/>
      <c r="B2313" s="92"/>
      <c r="C2313" s="90"/>
      <c r="D2313" s="90"/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</row>
    <row r="2314" spans="1:16" ht="13.2">
      <c r="A2314" s="90"/>
      <c r="B2314" s="92"/>
      <c r="C2314" s="90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</row>
    <row r="2315" spans="1:16" ht="13.2">
      <c r="A2315" s="90"/>
      <c r="B2315" s="92"/>
      <c r="C2315" s="90"/>
      <c r="D2315" s="90"/>
      <c r="E2315" s="90"/>
      <c r="F2315" s="90"/>
      <c r="G2315" s="90"/>
      <c r="H2315" s="90"/>
      <c r="I2315" s="90"/>
      <c r="J2315" s="90"/>
      <c r="K2315" s="90"/>
      <c r="L2315" s="90"/>
      <c r="M2315" s="90"/>
      <c r="N2315" s="90"/>
      <c r="O2315" s="90"/>
      <c r="P2315" s="90"/>
    </row>
    <row r="2316" spans="1:16" ht="13.2">
      <c r="A2316" s="90"/>
      <c r="B2316" s="92"/>
      <c r="C2316" s="90"/>
      <c r="D2316" s="90"/>
      <c r="E2316" s="90"/>
      <c r="F2316" s="90"/>
      <c r="G2316" s="90"/>
      <c r="H2316" s="90"/>
      <c r="I2316" s="90"/>
      <c r="J2316" s="90"/>
      <c r="K2316" s="90"/>
      <c r="L2316" s="90"/>
      <c r="M2316" s="90"/>
      <c r="N2316" s="90"/>
      <c r="O2316" s="90"/>
      <c r="P2316" s="90"/>
    </row>
    <row r="2317" spans="1:16" ht="13.2">
      <c r="A2317" s="90"/>
      <c r="B2317" s="92"/>
      <c r="C2317" s="90"/>
      <c r="D2317" s="90"/>
      <c r="E2317" s="90"/>
      <c r="F2317" s="90"/>
      <c r="G2317" s="90"/>
      <c r="H2317" s="90"/>
      <c r="I2317" s="90"/>
      <c r="J2317" s="90"/>
      <c r="K2317" s="90"/>
      <c r="L2317" s="90"/>
      <c r="M2317" s="90"/>
      <c r="N2317" s="90"/>
      <c r="O2317" s="90"/>
      <c r="P2317" s="90"/>
    </row>
    <row r="2318" spans="1:16" ht="13.2">
      <c r="A2318" s="90"/>
      <c r="B2318" s="92"/>
      <c r="C2318" s="90"/>
      <c r="D2318" s="90"/>
      <c r="E2318" s="90"/>
      <c r="F2318" s="90"/>
      <c r="G2318" s="90"/>
      <c r="H2318" s="90"/>
      <c r="I2318" s="90"/>
      <c r="J2318" s="90"/>
      <c r="K2318" s="90"/>
      <c r="L2318" s="90"/>
      <c r="M2318" s="90"/>
      <c r="N2318" s="90"/>
      <c r="O2318" s="90"/>
      <c r="P2318" s="90"/>
    </row>
    <row r="2319" spans="1:16" ht="13.2">
      <c r="A2319" s="90"/>
      <c r="B2319" s="92"/>
      <c r="C2319" s="90"/>
      <c r="D2319" s="90"/>
      <c r="E2319" s="90"/>
      <c r="F2319" s="90"/>
      <c r="G2319" s="90"/>
      <c r="H2319" s="90"/>
      <c r="I2319" s="90"/>
      <c r="J2319" s="90"/>
      <c r="K2319" s="90"/>
      <c r="L2319" s="90"/>
      <c r="M2319" s="90"/>
      <c r="N2319" s="90"/>
      <c r="O2319" s="90"/>
      <c r="P2319" s="90"/>
    </row>
    <row r="2320" spans="1:16" ht="13.2">
      <c r="A2320" s="90"/>
      <c r="B2320" s="92"/>
      <c r="C2320" s="90"/>
      <c r="D2320" s="90"/>
      <c r="E2320" s="90"/>
      <c r="F2320" s="90"/>
      <c r="G2320" s="90"/>
      <c r="H2320" s="90"/>
      <c r="I2320" s="90"/>
      <c r="J2320" s="90"/>
      <c r="K2320" s="90"/>
      <c r="L2320" s="90"/>
      <c r="M2320" s="90"/>
      <c r="N2320" s="90"/>
      <c r="O2320" s="90"/>
      <c r="P2320" s="90"/>
    </row>
    <row r="2321" spans="1:16" ht="13.2">
      <c r="A2321" s="90"/>
      <c r="B2321" s="92"/>
      <c r="C2321" s="90"/>
      <c r="D2321" s="90"/>
      <c r="E2321" s="90"/>
      <c r="F2321" s="90"/>
      <c r="G2321" s="90"/>
      <c r="H2321" s="90"/>
      <c r="I2321" s="90"/>
      <c r="J2321" s="90"/>
      <c r="K2321" s="90"/>
      <c r="L2321" s="90"/>
      <c r="M2321" s="90"/>
      <c r="N2321" s="90"/>
      <c r="O2321" s="90"/>
      <c r="P2321" s="90"/>
    </row>
    <row r="2322" spans="1:16" ht="13.2">
      <c r="A2322" s="90"/>
      <c r="B2322" s="92"/>
      <c r="C2322" s="90"/>
      <c r="D2322" s="90"/>
      <c r="E2322" s="90"/>
      <c r="F2322" s="90"/>
      <c r="G2322" s="90"/>
      <c r="H2322" s="90"/>
      <c r="I2322" s="90"/>
      <c r="J2322" s="90"/>
      <c r="K2322" s="90"/>
      <c r="L2322" s="90"/>
      <c r="M2322" s="90"/>
      <c r="N2322" s="90"/>
      <c r="O2322" s="90"/>
      <c r="P2322" s="90"/>
    </row>
    <row r="2323" spans="1:16" ht="13.2">
      <c r="A2323" s="90"/>
      <c r="B2323" s="92"/>
      <c r="C2323" s="90"/>
      <c r="D2323" s="90"/>
      <c r="E2323" s="90"/>
      <c r="F2323" s="90"/>
      <c r="G2323" s="90"/>
      <c r="H2323" s="90"/>
      <c r="I2323" s="90"/>
      <c r="J2323" s="90"/>
      <c r="K2323" s="90"/>
      <c r="L2323" s="90"/>
      <c r="M2323" s="90"/>
      <c r="N2323" s="90"/>
      <c r="O2323" s="90"/>
      <c r="P2323" s="90"/>
    </row>
    <row r="2324" spans="1:16" ht="13.2">
      <c r="A2324" s="90"/>
      <c r="B2324" s="92"/>
      <c r="C2324" s="90"/>
      <c r="D2324" s="90"/>
      <c r="E2324" s="90"/>
      <c r="F2324" s="90"/>
      <c r="G2324" s="90"/>
      <c r="H2324" s="90"/>
      <c r="I2324" s="90"/>
      <c r="J2324" s="90"/>
      <c r="K2324" s="90"/>
      <c r="L2324" s="90"/>
      <c r="M2324" s="90"/>
      <c r="N2324" s="90"/>
      <c r="O2324" s="90"/>
      <c r="P2324" s="90"/>
    </row>
    <row r="2325" spans="1:16" ht="13.2">
      <c r="A2325" s="90"/>
      <c r="B2325" s="92"/>
      <c r="C2325" s="90"/>
      <c r="D2325" s="90"/>
      <c r="E2325" s="90"/>
      <c r="F2325" s="90"/>
      <c r="G2325" s="90"/>
      <c r="H2325" s="90"/>
      <c r="I2325" s="90"/>
      <c r="J2325" s="90"/>
      <c r="K2325" s="90"/>
      <c r="L2325" s="90"/>
      <c r="M2325" s="90"/>
      <c r="N2325" s="90"/>
      <c r="O2325" s="90"/>
      <c r="P2325" s="90"/>
    </row>
    <row r="2326" spans="1:16" ht="13.2">
      <c r="A2326" s="90"/>
      <c r="B2326" s="92"/>
      <c r="C2326" s="90"/>
      <c r="D2326" s="90"/>
      <c r="E2326" s="90"/>
      <c r="F2326" s="90"/>
      <c r="G2326" s="90"/>
      <c r="H2326" s="90"/>
      <c r="I2326" s="90"/>
      <c r="J2326" s="90"/>
      <c r="K2326" s="90"/>
      <c r="L2326" s="90"/>
      <c r="M2326" s="90"/>
      <c r="N2326" s="90"/>
      <c r="O2326" s="90"/>
      <c r="P2326" s="90"/>
    </row>
    <row r="2327" spans="1:16" ht="13.2">
      <c r="A2327" s="90"/>
      <c r="B2327" s="92"/>
      <c r="C2327" s="90"/>
      <c r="D2327" s="90"/>
      <c r="E2327" s="90"/>
      <c r="F2327" s="90"/>
      <c r="G2327" s="90"/>
      <c r="H2327" s="90"/>
      <c r="I2327" s="90"/>
      <c r="J2327" s="90"/>
      <c r="K2327" s="90"/>
      <c r="L2327" s="90"/>
      <c r="M2327" s="90"/>
      <c r="N2327" s="90"/>
      <c r="O2327" s="90"/>
      <c r="P2327" s="90"/>
    </row>
    <row r="2328" spans="1:16" ht="13.2">
      <c r="A2328" s="90"/>
      <c r="B2328" s="92"/>
      <c r="C2328" s="90"/>
      <c r="D2328" s="90"/>
      <c r="E2328" s="90"/>
      <c r="F2328" s="90"/>
      <c r="G2328" s="90"/>
      <c r="H2328" s="90"/>
      <c r="I2328" s="90"/>
      <c r="J2328" s="90"/>
      <c r="K2328" s="90"/>
      <c r="L2328" s="90"/>
      <c r="M2328" s="90"/>
      <c r="N2328" s="90"/>
      <c r="O2328" s="90"/>
      <c r="P2328" s="90"/>
    </row>
    <row r="2329" spans="1:16" ht="13.2">
      <c r="A2329" s="90"/>
      <c r="B2329" s="92"/>
      <c r="C2329" s="90"/>
      <c r="D2329" s="90"/>
      <c r="E2329" s="90"/>
      <c r="F2329" s="90"/>
      <c r="G2329" s="90"/>
      <c r="H2329" s="90"/>
      <c r="I2329" s="90"/>
      <c r="J2329" s="90"/>
      <c r="K2329" s="90"/>
      <c r="L2329" s="90"/>
      <c r="M2329" s="90"/>
      <c r="N2329" s="90"/>
      <c r="O2329" s="90"/>
      <c r="P2329" s="90"/>
    </row>
    <row r="2330" spans="1:16" ht="13.2">
      <c r="A2330" s="90"/>
      <c r="B2330" s="92"/>
      <c r="C2330" s="90"/>
      <c r="D2330" s="90"/>
      <c r="E2330" s="90"/>
      <c r="F2330" s="90"/>
      <c r="G2330" s="90"/>
      <c r="H2330" s="90"/>
      <c r="I2330" s="90"/>
      <c r="J2330" s="90"/>
      <c r="K2330" s="90"/>
      <c r="L2330" s="90"/>
      <c r="M2330" s="90"/>
      <c r="N2330" s="90"/>
      <c r="O2330" s="90"/>
      <c r="P2330" s="90"/>
    </row>
    <row r="2331" spans="1:16" ht="13.2">
      <c r="A2331" s="90"/>
      <c r="B2331" s="92"/>
      <c r="C2331" s="90"/>
      <c r="D2331" s="90"/>
      <c r="E2331" s="90"/>
      <c r="F2331" s="90"/>
      <c r="G2331" s="90"/>
      <c r="H2331" s="90"/>
      <c r="I2331" s="90"/>
      <c r="J2331" s="90"/>
      <c r="K2331" s="90"/>
      <c r="L2331" s="90"/>
      <c r="M2331" s="90"/>
      <c r="N2331" s="90"/>
      <c r="O2331" s="90"/>
      <c r="P2331" s="90"/>
    </row>
    <row r="2332" spans="1:16" ht="13.2">
      <c r="A2332" s="90"/>
      <c r="B2332" s="92"/>
      <c r="C2332" s="90"/>
      <c r="D2332" s="90"/>
      <c r="E2332" s="90"/>
      <c r="F2332" s="90"/>
      <c r="G2332" s="90"/>
      <c r="H2332" s="90"/>
      <c r="I2332" s="90"/>
      <c r="J2332" s="90"/>
      <c r="K2332" s="90"/>
      <c r="L2332" s="90"/>
      <c r="M2332" s="90"/>
      <c r="N2332" s="90"/>
      <c r="O2332" s="90"/>
      <c r="P2332" s="90"/>
    </row>
    <row r="2333" spans="1:16" ht="13.2">
      <c r="A2333" s="90"/>
      <c r="B2333" s="92"/>
      <c r="C2333" s="90"/>
      <c r="D2333" s="90"/>
      <c r="E2333" s="90"/>
      <c r="F2333" s="90"/>
      <c r="G2333" s="90"/>
      <c r="H2333" s="90"/>
      <c r="I2333" s="90"/>
      <c r="J2333" s="90"/>
      <c r="K2333" s="90"/>
      <c r="L2333" s="90"/>
      <c r="M2333" s="90"/>
      <c r="N2333" s="90"/>
      <c r="O2333" s="90"/>
      <c r="P2333" s="90"/>
    </row>
    <row r="2334" spans="1:16" ht="13.2">
      <c r="A2334" s="90"/>
      <c r="B2334" s="92"/>
      <c r="C2334" s="90"/>
      <c r="D2334" s="90"/>
      <c r="E2334" s="90"/>
      <c r="F2334" s="90"/>
      <c r="G2334" s="90"/>
      <c r="H2334" s="90"/>
      <c r="I2334" s="90"/>
      <c r="J2334" s="90"/>
      <c r="K2334" s="90"/>
      <c r="L2334" s="90"/>
      <c r="M2334" s="90"/>
      <c r="N2334" s="90"/>
      <c r="O2334" s="90"/>
      <c r="P2334" s="90"/>
    </row>
    <row r="2335" spans="1:16" ht="13.2">
      <c r="A2335" s="90"/>
      <c r="B2335" s="92"/>
      <c r="C2335" s="90"/>
      <c r="D2335" s="90"/>
      <c r="E2335" s="90"/>
      <c r="F2335" s="90"/>
      <c r="G2335" s="90"/>
      <c r="H2335" s="90"/>
      <c r="I2335" s="90"/>
      <c r="J2335" s="90"/>
      <c r="K2335" s="90"/>
      <c r="L2335" s="90"/>
      <c r="M2335" s="90"/>
      <c r="N2335" s="90"/>
      <c r="O2335" s="90"/>
      <c r="P2335" s="90"/>
    </row>
    <row r="2336" spans="1:16" ht="13.2">
      <c r="A2336" s="90"/>
      <c r="B2336" s="92"/>
      <c r="C2336" s="90"/>
      <c r="D2336" s="90"/>
      <c r="E2336" s="90"/>
      <c r="F2336" s="90"/>
      <c r="G2336" s="90"/>
      <c r="H2336" s="90"/>
      <c r="I2336" s="90"/>
      <c r="J2336" s="90"/>
      <c r="K2336" s="90"/>
      <c r="L2336" s="90"/>
      <c r="M2336" s="90"/>
      <c r="N2336" s="90"/>
      <c r="O2336" s="90"/>
      <c r="P2336" s="90"/>
    </row>
    <row r="2337" spans="1:16" ht="13.2">
      <c r="A2337" s="90"/>
      <c r="B2337" s="92"/>
      <c r="C2337" s="90"/>
      <c r="D2337" s="90"/>
      <c r="E2337" s="90"/>
      <c r="F2337" s="90"/>
      <c r="G2337" s="90"/>
      <c r="H2337" s="90"/>
      <c r="I2337" s="90"/>
      <c r="J2337" s="90"/>
      <c r="K2337" s="90"/>
      <c r="L2337" s="90"/>
      <c r="M2337" s="90"/>
      <c r="N2337" s="90"/>
      <c r="O2337" s="90"/>
      <c r="P2337" s="90"/>
    </row>
    <row r="2338" spans="1:16" ht="13.2">
      <c r="A2338" s="90"/>
      <c r="B2338" s="92"/>
      <c r="C2338" s="90"/>
      <c r="D2338" s="90"/>
      <c r="E2338" s="90"/>
      <c r="F2338" s="90"/>
      <c r="G2338" s="90"/>
      <c r="H2338" s="90"/>
      <c r="I2338" s="90"/>
      <c r="J2338" s="90"/>
      <c r="K2338" s="90"/>
      <c r="L2338" s="90"/>
      <c r="M2338" s="90"/>
      <c r="N2338" s="90"/>
      <c r="O2338" s="90"/>
      <c r="P2338" s="90"/>
    </row>
    <row r="2339" spans="1:16" ht="13.2">
      <c r="A2339" s="90"/>
      <c r="B2339" s="92"/>
      <c r="C2339" s="90"/>
      <c r="D2339" s="90"/>
      <c r="E2339" s="90"/>
      <c r="F2339" s="90"/>
      <c r="G2339" s="90"/>
      <c r="H2339" s="90"/>
      <c r="I2339" s="90"/>
      <c r="J2339" s="90"/>
      <c r="K2339" s="90"/>
      <c r="L2339" s="90"/>
      <c r="M2339" s="90"/>
      <c r="N2339" s="90"/>
      <c r="O2339" s="90"/>
      <c r="P2339" s="90"/>
    </row>
    <row r="2340" spans="1:16" ht="13.2">
      <c r="A2340" s="90"/>
      <c r="B2340" s="92"/>
      <c r="C2340" s="90"/>
      <c r="D2340" s="90"/>
      <c r="E2340" s="90"/>
      <c r="F2340" s="90"/>
      <c r="G2340" s="90"/>
      <c r="H2340" s="90"/>
      <c r="I2340" s="90"/>
      <c r="J2340" s="90"/>
      <c r="K2340" s="90"/>
      <c r="L2340" s="90"/>
      <c r="M2340" s="90"/>
      <c r="N2340" s="90"/>
      <c r="O2340" s="90"/>
      <c r="P2340" s="90"/>
    </row>
    <row r="2341" spans="1:16" ht="13.2">
      <c r="A2341" s="90"/>
      <c r="B2341" s="92"/>
      <c r="C2341" s="90"/>
      <c r="D2341" s="90"/>
      <c r="E2341" s="90"/>
      <c r="F2341" s="90"/>
      <c r="G2341" s="90"/>
      <c r="H2341" s="90"/>
      <c r="I2341" s="90"/>
      <c r="J2341" s="90"/>
      <c r="K2341" s="90"/>
      <c r="L2341" s="90"/>
      <c r="M2341" s="90"/>
      <c r="N2341" s="90"/>
      <c r="O2341" s="90"/>
      <c r="P2341" s="90"/>
    </row>
    <row r="2342" spans="1:16" ht="13.2">
      <c r="A2342" s="90"/>
      <c r="B2342" s="92"/>
      <c r="C2342" s="90"/>
      <c r="D2342" s="90"/>
      <c r="E2342" s="90"/>
      <c r="F2342" s="90"/>
      <c r="G2342" s="90"/>
      <c r="H2342" s="90"/>
      <c r="I2342" s="90"/>
      <c r="J2342" s="90"/>
      <c r="K2342" s="90"/>
      <c r="L2342" s="90"/>
      <c r="M2342" s="90"/>
      <c r="N2342" s="90"/>
      <c r="O2342" s="90"/>
      <c r="P2342" s="90"/>
    </row>
    <row r="2343" spans="1:16" ht="13.2">
      <c r="A2343" s="90"/>
      <c r="B2343" s="92"/>
      <c r="C2343" s="90"/>
      <c r="D2343" s="90"/>
      <c r="E2343" s="90"/>
      <c r="F2343" s="90"/>
      <c r="G2343" s="90"/>
      <c r="H2343" s="90"/>
      <c r="I2343" s="90"/>
      <c r="J2343" s="90"/>
      <c r="K2343" s="90"/>
      <c r="L2343" s="90"/>
      <c r="M2343" s="90"/>
      <c r="N2343" s="90"/>
      <c r="O2343" s="90"/>
      <c r="P2343" s="90"/>
    </row>
    <row r="2344" spans="1:16" ht="13.2">
      <c r="A2344" s="90"/>
      <c r="B2344" s="92"/>
      <c r="C2344" s="90"/>
      <c r="D2344" s="90"/>
      <c r="E2344" s="90"/>
      <c r="F2344" s="90"/>
      <c r="G2344" s="90"/>
      <c r="H2344" s="90"/>
      <c r="I2344" s="90"/>
      <c r="J2344" s="90"/>
      <c r="K2344" s="90"/>
      <c r="L2344" s="90"/>
      <c r="M2344" s="90"/>
      <c r="N2344" s="90"/>
      <c r="O2344" s="90"/>
      <c r="P2344" s="90"/>
    </row>
    <row r="2345" spans="1:16" ht="13.2">
      <c r="A2345" s="90"/>
      <c r="B2345" s="92"/>
      <c r="C2345" s="90"/>
      <c r="D2345" s="90"/>
      <c r="E2345" s="90"/>
      <c r="F2345" s="90"/>
      <c r="G2345" s="90"/>
      <c r="H2345" s="90"/>
      <c r="I2345" s="90"/>
      <c r="J2345" s="90"/>
      <c r="K2345" s="90"/>
      <c r="L2345" s="90"/>
      <c r="M2345" s="90"/>
      <c r="N2345" s="90"/>
      <c r="O2345" s="90"/>
      <c r="P2345" s="90"/>
    </row>
    <row r="2346" spans="1:16" ht="13.2">
      <c r="A2346" s="90"/>
      <c r="B2346" s="92"/>
      <c r="C2346" s="90"/>
      <c r="D2346" s="90"/>
      <c r="E2346" s="90"/>
      <c r="F2346" s="90"/>
      <c r="G2346" s="90"/>
      <c r="H2346" s="90"/>
      <c r="I2346" s="90"/>
      <c r="J2346" s="90"/>
      <c r="K2346" s="90"/>
      <c r="L2346" s="90"/>
      <c r="M2346" s="90"/>
      <c r="N2346" s="90"/>
      <c r="O2346" s="90"/>
      <c r="P2346" s="90"/>
    </row>
    <row r="2347" spans="1:16" ht="13.2">
      <c r="A2347" s="90"/>
      <c r="B2347" s="92"/>
      <c r="C2347" s="90"/>
      <c r="D2347" s="90"/>
      <c r="E2347" s="90"/>
      <c r="F2347" s="90"/>
      <c r="G2347" s="90"/>
      <c r="H2347" s="90"/>
      <c r="I2347" s="90"/>
      <c r="J2347" s="90"/>
      <c r="K2347" s="90"/>
      <c r="L2347" s="90"/>
      <c r="M2347" s="90"/>
      <c r="N2347" s="90"/>
      <c r="O2347" s="90"/>
      <c r="P2347" s="90"/>
    </row>
    <row r="2348" spans="1:16" ht="13.2">
      <c r="A2348" s="90"/>
      <c r="B2348" s="92"/>
      <c r="C2348" s="90"/>
      <c r="D2348" s="90"/>
      <c r="E2348" s="90"/>
      <c r="F2348" s="90"/>
      <c r="G2348" s="90"/>
      <c r="H2348" s="90"/>
      <c r="I2348" s="90"/>
      <c r="J2348" s="90"/>
      <c r="K2348" s="90"/>
      <c r="L2348" s="90"/>
      <c r="M2348" s="90"/>
      <c r="N2348" s="90"/>
      <c r="O2348" s="90"/>
      <c r="P2348" s="90"/>
    </row>
    <row r="2349" spans="1:16" ht="13.2">
      <c r="A2349" s="90"/>
      <c r="B2349" s="92"/>
      <c r="C2349" s="90"/>
      <c r="D2349" s="90"/>
      <c r="E2349" s="90"/>
      <c r="F2349" s="90"/>
      <c r="G2349" s="90"/>
      <c r="H2349" s="90"/>
      <c r="I2349" s="90"/>
      <c r="J2349" s="90"/>
      <c r="K2349" s="90"/>
      <c r="L2349" s="90"/>
      <c r="M2349" s="90"/>
      <c r="N2349" s="90"/>
      <c r="O2349" s="90"/>
      <c r="P2349" s="90"/>
    </row>
    <row r="2350" spans="1:16" ht="13.2">
      <c r="A2350" s="90"/>
      <c r="B2350" s="92"/>
      <c r="C2350" s="90"/>
      <c r="D2350" s="90"/>
      <c r="E2350" s="90"/>
      <c r="F2350" s="90"/>
      <c r="G2350" s="90"/>
      <c r="H2350" s="90"/>
      <c r="I2350" s="90"/>
      <c r="J2350" s="90"/>
      <c r="K2350" s="90"/>
      <c r="L2350" s="90"/>
      <c r="M2350" s="90"/>
      <c r="N2350" s="90"/>
      <c r="O2350" s="90"/>
      <c r="P2350" s="90"/>
    </row>
    <row r="2351" spans="1:16" ht="13.2">
      <c r="A2351" s="90"/>
      <c r="B2351" s="92"/>
      <c r="C2351" s="90"/>
      <c r="D2351" s="90"/>
      <c r="E2351" s="90"/>
      <c r="F2351" s="90"/>
      <c r="G2351" s="90"/>
      <c r="H2351" s="90"/>
      <c r="I2351" s="90"/>
      <c r="J2351" s="90"/>
      <c r="K2351" s="90"/>
      <c r="L2351" s="90"/>
      <c r="M2351" s="90"/>
      <c r="N2351" s="90"/>
      <c r="O2351" s="90"/>
      <c r="P2351" s="90"/>
    </row>
    <row r="2352" spans="1:16" ht="13.2">
      <c r="A2352" s="90"/>
      <c r="B2352" s="92"/>
      <c r="C2352" s="90"/>
      <c r="D2352" s="90"/>
      <c r="E2352" s="90"/>
      <c r="F2352" s="90"/>
      <c r="G2352" s="90"/>
      <c r="H2352" s="90"/>
      <c r="I2352" s="90"/>
      <c r="J2352" s="90"/>
      <c r="K2352" s="90"/>
      <c r="L2352" s="90"/>
      <c r="M2352" s="90"/>
      <c r="N2352" s="90"/>
      <c r="O2352" s="90"/>
      <c r="P2352" s="90"/>
    </row>
    <row r="2353" spans="1:16" ht="13.2">
      <c r="A2353" s="90"/>
      <c r="B2353" s="92"/>
      <c r="C2353" s="90"/>
      <c r="D2353" s="90"/>
      <c r="E2353" s="90"/>
      <c r="F2353" s="90"/>
      <c r="G2353" s="90"/>
      <c r="H2353" s="90"/>
      <c r="I2353" s="90"/>
      <c r="J2353" s="90"/>
      <c r="K2353" s="90"/>
      <c r="L2353" s="90"/>
      <c r="M2353" s="90"/>
      <c r="N2353" s="90"/>
      <c r="O2353" s="90"/>
      <c r="P2353" s="90"/>
    </row>
    <row r="2354" spans="1:16" ht="13.2">
      <c r="A2354" s="90"/>
      <c r="B2354" s="92"/>
      <c r="C2354" s="90"/>
      <c r="D2354" s="90"/>
      <c r="E2354" s="90"/>
      <c r="F2354" s="90"/>
      <c r="G2354" s="90"/>
      <c r="H2354" s="90"/>
      <c r="I2354" s="90"/>
      <c r="J2354" s="90"/>
      <c r="K2354" s="90"/>
      <c r="L2354" s="90"/>
      <c r="M2354" s="90"/>
      <c r="N2354" s="90"/>
      <c r="O2354" s="90"/>
      <c r="P2354" s="90"/>
    </row>
    <row r="2355" spans="1:16" ht="13.2">
      <c r="A2355" s="90"/>
      <c r="B2355" s="92"/>
      <c r="C2355" s="90"/>
      <c r="D2355" s="90"/>
      <c r="E2355" s="90"/>
      <c r="F2355" s="90"/>
      <c r="G2355" s="90"/>
      <c r="H2355" s="90"/>
      <c r="I2355" s="90"/>
      <c r="J2355" s="90"/>
      <c r="K2355" s="90"/>
      <c r="L2355" s="90"/>
      <c r="M2355" s="90"/>
      <c r="N2355" s="90"/>
      <c r="O2355" s="90"/>
      <c r="P2355" s="90"/>
    </row>
    <row r="2356" spans="1:16" ht="13.2">
      <c r="A2356" s="90"/>
      <c r="B2356" s="92"/>
      <c r="C2356" s="90"/>
      <c r="D2356" s="90"/>
      <c r="E2356" s="90"/>
      <c r="F2356" s="90"/>
      <c r="G2356" s="90"/>
      <c r="H2356" s="90"/>
      <c r="I2356" s="90"/>
      <c r="J2356" s="90"/>
      <c r="K2356" s="90"/>
      <c r="L2356" s="90"/>
      <c r="M2356" s="90"/>
      <c r="N2356" s="90"/>
      <c r="O2356" s="90"/>
      <c r="P2356" s="90"/>
    </row>
    <row r="2357" spans="1:16" ht="13.2">
      <c r="A2357" s="90"/>
      <c r="B2357" s="92"/>
      <c r="C2357" s="90"/>
      <c r="D2357" s="90"/>
      <c r="E2357" s="90"/>
      <c r="F2357" s="90"/>
      <c r="G2357" s="90"/>
      <c r="H2357" s="90"/>
      <c r="I2357" s="90"/>
      <c r="J2357" s="90"/>
      <c r="K2357" s="90"/>
      <c r="L2357" s="90"/>
      <c r="M2357" s="90"/>
      <c r="N2357" s="90"/>
      <c r="O2357" s="90"/>
      <c r="P2357" s="90"/>
    </row>
    <row r="2358" spans="1:16" ht="13.2">
      <c r="A2358" s="90"/>
      <c r="B2358" s="92"/>
      <c r="C2358" s="90"/>
      <c r="D2358" s="90"/>
      <c r="E2358" s="90"/>
      <c r="F2358" s="90"/>
      <c r="G2358" s="90"/>
      <c r="H2358" s="90"/>
      <c r="I2358" s="90"/>
      <c r="J2358" s="90"/>
      <c r="K2358" s="90"/>
      <c r="L2358" s="90"/>
      <c r="M2358" s="90"/>
      <c r="N2358" s="90"/>
      <c r="O2358" s="90"/>
      <c r="P2358" s="90"/>
    </row>
    <row r="2359" spans="1:16" ht="13.2">
      <c r="A2359" s="90"/>
      <c r="B2359" s="92"/>
      <c r="C2359" s="90"/>
      <c r="D2359" s="90"/>
      <c r="E2359" s="90"/>
      <c r="F2359" s="90"/>
      <c r="G2359" s="90"/>
      <c r="H2359" s="90"/>
      <c r="I2359" s="90"/>
      <c r="J2359" s="90"/>
      <c r="K2359" s="90"/>
      <c r="L2359" s="90"/>
      <c r="M2359" s="90"/>
      <c r="N2359" s="90"/>
      <c r="O2359" s="90"/>
      <c r="P2359" s="90"/>
    </row>
    <row r="2360" spans="1:16" ht="13.2">
      <c r="A2360" s="90"/>
      <c r="B2360" s="92"/>
      <c r="C2360" s="90"/>
      <c r="D2360" s="90"/>
      <c r="E2360" s="90"/>
      <c r="F2360" s="90"/>
      <c r="G2360" s="90"/>
      <c r="H2360" s="90"/>
      <c r="I2360" s="90"/>
      <c r="J2360" s="90"/>
      <c r="K2360" s="90"/>
      <c r="L2360" s="90"/>
      <c r="M2360" s="90"/>
      <c r="N2360" s="90"/>
      <c r="O2360" s="90"/>
      <c r="P2360" s="90"/>
    </row>
    <row r="2361" spans="1:16" ht="13.2">
      <c r="A2361" s="90"/>
      <c r="B2361" s="92"/>
      <c r="C2361" s="90"/>
      <c r="D2361" s="90"/>
      <c r="E2361" s="90"/>
      <c r="F2361" s="90"/>
      <c r="G2361" s="90"/>
      <c r="H2361" s="90"/>
      <c r="I2361" s="90"/>
      <c r="J2361" s="90"/>
      <c r="K2361" s="90"/>
      <c r="L2361" s="90"/>
      <c r="M2361" s="90"/>
      <c r="N2361" s="90"/>
      <c r="O2361" s="90"/>
      <c r="P2361" s="90"/>
    </row>
    <row r="2362" spans="1:16" ht="13.2">
      <c r="A2362" s="90"/>
      <c r="B2362" s="92"/>
      <c r="C2362" s="90"/>
      <c r="D2362" s="90"/>
      <c r="E2362" s="90"/>
      <c r="F2362" s="90"/>
      <c r="G2362" s="90"/>
      <c r="H2362" s="90"/>
      <c r="I2362" s="90"/>
      <c r="J2362" s="90"/>
      <c r="K2362" s="90"/>
      <c r="L2362" s="90"/>
      <c r="M2362" s="90"/>
      <c r="N2362" s="90"/>
      <c r="O2362" s="90"/>
      <c r="P2362" s="90"/>
    </row>
    <row r="2363" spans="1:16" ht="13.2">
      <c r="A2363" s="90"/>
      <c r="B2363" s="92"/>
      <c r="C2363" s="90"/>
      <c r="D2363" s="90"/>
      <c r="E2363" s="90"/>
      <c r="F2363" s="90"/>
      <c r="G2363" s="90"/>
      <c r="H2363" s="90"/>
      <c r="I2363" s="90"/>
      <c r="J2363" s="90"/>
      <c r="K2363" s="90"/>
      <c r="L2363" s="90"/>
      <c r="M2363" s="90"/>
      <c r="N2363" s="90"/>
      <c r="O2363" s="90"/>
      <c r="P2363" s="90"/>
    </row>
    <row r="2364" spans="1:16" ht="13.2">
      <c r="A2364" s="90"/>
      <c r="B2364" s="92"/>
      <c r="C2364" s="90"/>
      <c r="D2364" s="90"/>
      <c r="E2364" s="90"/>
      <c r="F2364" s="90"/>
      <c r="G2364" s="90"/>
      <c r="H2364" s="90"/>
      <c r="I2364" s="90"/>
      <c r="J2364" s="90"/>
      <c r="K2364" s="90"/>
      <c r="L2364" s="90"/>
      <c r="M2364" s="90"/>
      <c r="N2364" s="90"/>
      <c r="O2364" s="90"/>
      <c r="P2364" s="90"/>
    </row>
    <row r="2365" spans="1:16" ht="13.2">
      <c r="A2365" s="90"/>
      <c r="B2365" s="92"/>
      <c r="C2365" s="90"/>
      <c r="D2365" s="90"/>
      <c r="E2365" s="90"/>
      <c r="F2365" s="90"/>
      <c r="G2365" s="90"/>
      <c r="H2365" s="90"/>
      <c r="I2365" s="90"/>
      <c r="J2365" s="90"/>
      <c r="K2365" s="90"/>
      <c r="L2365" s="90"/>
      <c r="M2365" s="90"/>
      <c r="N2365" s="90"/>
      <c r="O2365" s="90"/>
      <c r="P2365" s="90"/>
    </row>
    <row r="2366" spans="1:16" ht="13.2">
      <c r="A2366" s="90"/>
      <c r="B2366" s="92"/>
      <c r="C2366" s="90"/>
      <c r="D2366" s="90"/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</row>
    <row r="2367" spans="1:16" ht="13.2">
      <c r="A2367" s="90"/>
      <c r="B2367" s="92"/>
      <c r="C2367" s="90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</row>
    <row r="2368" spans="1:16" ht="13.2">
      <c r="A2368" s="90"/>
      <c r="B2368" s="92"/>
      <c r="C2368" s="90"/>
      <c r="D2368" s="90"/>
      <c r="E2368" s="90"/>
      <c r="F2368" s="90"/>
      <c r="G2368" s="90"/>
      <c r="H2368" s="90"/>
      <c r="I2368" s="90"/>
      <c r="J2368" s="90"/>
      <c r="K2368" s="90"/>
      <c r="L2368" s="90"/>
      <c r="M2368" s="90"/>
      <c r="N2368" s="90"/>
      <c r="O2368" s="90"/>
      <c r="P2368" s="90"/>
    </row>
    <row r="2369" spans="1:16" ht="13.2">
      <c r="A2369" s="90"/>
      <c r="B2369" s="92"/>
      <c r="C2369" s="90"/>
      <c r="D2369" s="90"/>
      <c r="E2369" s="90"/>
      <c r="F2369" s="90"/>
      <c r="G2369" s="90"/>
      <c r="H2369" s="90"/>
      <c r="I2369" s="90"/>
      <c r="J2369" s="90"/>
      <c r="K2369" s="90"/>
      <c r="L2369" s="90"/>
      <c r="M2369" s="90"/>
      <c r="N2369" s="90"/>
      <c r="O2369" s="90"/>
      <c r="P2369" s="90"/>
    </row>
    <row r="2370" spans="1:16" ht="13.2">
      <c r="A2370" s="90"/>
      <c r="B2370" s="92"/>
      <c r="C2370" s="90"/>
      <c r="D2370" s="90"/>
      <c r="E2370" s="90"/>
      <c r="F2370" s="90"/>
      <c r="G2370" s="90"/>
      <c r="H2370" s="90"/>
      <c r="I2370" s="90"/>
      <c r="J2370" s="90"/>
      <c r="K2370" s="90"/>
      <c r="L2370" s="90"/>
      <c r="M2370" s="90"/>
      <c r="N2370" s="90"/>
      <c r="O2370" s="90"/>
      <c r="P2370" s="90"/>
    </row>
    <row r="2371" spans="1:16" ht="13.2">
      <c r="A2371" s="90"/>
      <c r="B2371" s="92"/>
      <c r="C2371" s="90"/>
      <c r="D2371" s="90"/>
      <c r="E2371" s="90"/>
      <c r="F2371" s="90"/>
      <c r="G2371" s="90"/>
      <c r="H2371" s="90"/>
      <c r="I2371" s="90"/>
      <c r="J2371" s="90"/>
      <c r="K2371" s="90"/>
      <c r="L2371" s="90"/>
      <c r="M2371" s="90"/>
      <c r="N2371" s="90"/>
      <c r="O2371" s="90"/>
      <c r="P2371" s="90"/>
    </row>
    <row r="2372" spans="1:16" ht="13.2">
      <c r="A2372" s="90"/>
      <c r="B2372" s="92"/>
      <c r="C2372" s="90"/>
      <c r="D2372" s="90"/>
      <c r="E2372" s="90"/>
      <c r="F2372" s="90"/>
      <c r="G2372" s="90"/>
      <c r="H2372" s="90"/>
      <c r="I2372" s="90"/>
      <c r="J2372" s="90"/>
      <c r="K2372" s="90"/>
      <c r="L2372" s="90"/>
      <c r="M2372" s="90"/>
      <c r="N2372" s="90"/>
      <c r="O2372" s="90"/>
      <c r="P2372" s="90"/>
    </row>
    <row r="2373" spans="1:16" ht="13.2">
      <c r="A2373" s="90"/>
      <c r="B2373" s="92"/>
      <c r="C2373" s="90"/>
      <c r="D2373" s="90"/>
      <c r="E2373" s="90"/>
      <c r="F2373" s="90"/>
      <c r="G2373" s="90"/>
      <c r="H2373" s="90"/>
      <c r="I2373" s="90"/>
      <c r="J2373" s="90"/>
      <c r="K2373" s="90"/>
      <c r="L2373" s="90"/>
      <c r="M2373" s="90"/>
      <c r="N2373" s="90"/>
      <c r="O2373" s="90"/>
      <c r="P2373" s="90"/>
    </row>
    <row r="2374" spans="1:16" ht="13.2">
      <c r="A2374" s="90"/>
      <c r="B2374" s="92"/>
      <c r="C2374" s="90"/>
      <c r="D2374" s="90"/>
      <c r="E2374" s="90"/>
      <c r="F2374" s="90"/>
      <c r="G2374" s="90"/>
      <c r="H2374" s="90"/>
      <c r="I2374" s="90"/>
      <c r="J2374" s="90"/>
      <c r="K2374" s="90"/>
      <c r="L2374" s="90"/>
      <c r="M2374" s="90"/>
      <c r="N2374" s="90"/>
      <c r="O2374" s="90"/>
      <c r="P2374" s="90"/>
    </row>
    <row r="2375" spans="1:16" ht="13.2">
      <c r="A2375" s="90"/>
      <c r="B2375" s="92"/>
      <c r="C2375" s="90"/>
      <c r="D2375" s="90"/>
      <c r="E2375" s="90"/>
      <c r="F2375" s="90"/>
      <c r="G2375" s="90"/>
      <c r="H2375" s="90"/>
      <c r="I2375" s="90"/>
      <c r="J2375" s="90"/>
      <c r="K2375" s="90"/>
      <c r="L2375" s="90"/>
      <c r="M2375" s="90"/>
      <c r="N2375" s="90"/>
      <c r="O2375" s="90"/>
      <c r="P2375" s="90"/>
    </row>
    <row r="2376" spans="1:16" ht="13.2">
      <c r="A2376" s="90"/>
      <c r="B2376" s="92"/>
      <c r="C2376" s="90"/>
      <c r="D2376" s="90"/>
      <c r="E2376" s="90"/>
      <c r="F2376" s="90"/>
      <c r="G2376" s="90"/>
      <c r="H2376" s="90"/>
      <c r="I2376" s="90"/>
      <c r="J2376" s="90"/>
      <c r="K2376" s="90"/>
      <c r="L2376" s="90"/>
      <c r="M2376" s="90"/>
      <c r="N2376" s="90"/>
      <c r="O2376" s="90"/>
      <c r="P2376" s="90"/>
    </row>
    <row r="2377" spans="1:16" ht="13.2">
      <c r="A2377" s="90"/>
      <c r="B2377" s="92"/>
      <c r="C2377" s="90"/>
      <c r="D2377" s="90"/>
      <c r="E2377" s="90"/>
      <c r="F2377" s="90"/>
      <c r="G2377" s="90"/>
      <c r="H2377" s="90"/>
      <c r="I2377" s="90"/>
      <c r="J2377" s="90"/>
      <c r="K2377" s="90"/>
      <c r="L2377" s="90"/>
      <c r="M2377" s="90"/>
      <c r="N2377" s="90"/>
      <c r="O2377" s="90"/>
      <c r="P2377" s="90"/>
    </row>
    <row r="2378" spans="1:16" ht="13.2">
      <c r="A2378" s="90"/>
      <c r="B2378" s="92"/>
      <c r="C2378" s="90"/>
      <c r="D2378" s="90"/>
      <c r="E2378" s="90"/>
      <c r="F2378" s="90"/>
      <c r="G2378" s="90"/>
      <c r="H2378" s="90"/>
      <c r="I2378" s="90"/>
      <c r="J2378" s="90"/>
      <c r="K2378" s="90"/>
      <c r="L2378" s="90"/>
      <c r="M2378" s="90"/>
      <c r="N2378" s="90"/>
      <c r="O2378" s="90"/>
      <c r="P2378" s="90"/>
    </row>
    <row r="2379" spans="1:16" ht="13.2">
      <c r="A2379" s="90"/>
      <c r="B2379" s="92"/>
      <c r="C2379" s="90"/>
      <c r="D2379" s="90"/>
      <c r="E2379" s="90"/>
      <c r="F2379" s="90"/>
      <c r="G2379" s="90"/>
      <c r="H2379" s="90"/>
      <c r="I2379" s="90"/>
      <c r="J2379" s="90"/>
      <c r="K2379" s="90"/>
      <c r="L2379" s="90"/>
      <c r="M2379" s="90"/>
      <c r="N2379" s="90"/>
      <c r="O2379" s="90"/>
      <c r="P2379" s="90"/>
    </row>
    <row r="2380" spans="1:16" ht="13.2">
      <c r="A2380" s="90"/>
      <c r="B2380" s="92"/>
      <c r="C2380" s="90"/>
      <c r="D2380" s="90"/>
      <c r="E2380" s="90"/>
      <c r="F2380" s="90"/>
      <c r="G2380" s="90"/>
      <c r="H2380" s="90"/>
      <c r="I2380" s="90"/>
      <c r="J2380" s="90"/>
      <c r="K2380" s="90"/>
      <c r="L2380" s="90"/>
      <c r="M2380" s="90"/>
      <c r="N2380" s="90"/>
      <c r="O2380" s="90"/>
      <c r="P2380" s="90"/>
    </row>
    <row r="2381" spans="1:16" ht="13.2">
      <c r="A2381" s="90"/>
      <c r="B2381" s="92"/>
      <c r="C2381" s="90"/>
      <c r="D2381" s="90"/>
      <c r="E2381" s="90"/>
      <c r="F2381" s="90"/>
      <c r="G2381" s="90"/>
      <c r="H2381" s="90"/>
      <c r="I2381" s="90"/>
      <c r="J2381" s="90"/>
      <c r="K2381" s="90"/>
      <c r="L2381" s="90"/>
      <c r="M2381" s="90"/>
      <c r="N2381" s="90"/>
      <c r="O2381" s="90"/>
      <c r="P2381" s="90"/>
    </row>
    <row r="2382" spans="1:16" ht="13.2">
      <c r="A2382" s="90"/>
      <c r="B2382" s="92"/>
      <c r="C2382" s="90"/>
      <c r="D2382" s="90"/>
      <c r="E2382" s="90"/>
      <c r="F2382" s="90"/>
      <c r="G2382" s="90"/>
      <c r="H2382" s="90"/>
      <c r="I2382" s="90"/>
      <c r="J2382" s="90"/>
      <c r="K2382" s="90"/>
      <c r="L2382" s="90"/>
      <c r="M2382" s="90"/>
      <c r="N2382" s="90"/>
      <c r="O2382" s="90"/>
      <c r="P2382" s="90"/>
    </row>
    <row r="2383" spans="1:16" ht="13.2">
      <c r="A2383" s="90"/>
      <c r="B2383" s="92"/>
      <c r="C2383" s="90"/>
      <c r="D2383" s="90"/>
      <c r="E2383" s="90"/>
      <c r="F2383" s="90"/>
      <c r="G2383" s="90"/>
      <c r="H2383" s="90"/>
      <c r="I2383" s="90"/>
      <c r="J2383" s="90"/>
      <c r="K2383" s="90"/>
      <c r="L2383" s="90"/>
      <c r="M2383" s="90"/>
      <c r="N2383" s="90"/>
      <c r="O2383" s="90"/>
      <c r="P2383" s="90"/>
    </row>
    <row r="2384" spans="1:16" ht="13.2">
      <c r="A2384" s="90"/>
      <c r="B2384" s="92"/>
      <c r="C2384" s="90"/>
      <c r="D2384" s="90"/>
      <c r="E2384" s="90"/>
      <c r="F2384" s="90"/>
      <c r="G2384" s="90"/>
      <c r="H2384" s="90"/>
      <c r="I2384" s="90"/>
      <c r="J2384" s="90"/>
      <c r="K2384" s="90"/>
      <c r="L2384" s="90"/>
      <c r="M2384" s="90"/>
      <c r="N2384" s="90"/>
      <c r="O2384" s="90"/>
      <c r="P2384" s="90"/>
    </row>
    <row r="2385" spans="1:16" ht="13.2">
      <c r="A2385" s="90"/>
      <c r="B2385" s="92"/>
      <c r="C2385" s="90"/>
      <c r="D2385" s="90"/>
      <c r="E2385" s="90"/>
      <c r="F2385" s="90"/>
      <c r="G2385" s="90"/>
      <c r="H2385" s="90"/>
      <c r="I2385" s="90"/>
      <c r="J2385" s="90"/>
      <c r="K2385" s="90"/>
      <c r="L2385" s="90"/>
      <c r="M2385" s="90"/>
      <c r="N2385" s="90"/>
      <c r="O2385" s="90"/>
      <c r="P2385" s="90"/>
    </row>
    <row r="2386" spans="1:16" ht="13.2">
      <c r="A2386" s="90"/>
      <c r="B2386" s="92"/>
      <c r="C2386" s="90"/>
      <c r="D2386" s="90"/>
      <c r="E2386" s="90"/>
      <c r="F2386" s="90"/>
      <c r="G2386" s="90"/>
      <c r="H2386" s="90"/>
      <c r="I2386" s="90"/>
      <c r="J2386" s="90"/>
      <c r="K2386" s="90"/>
      <c r="L2386" s="90"/>
      <c r="M2386" s="90"/>
      <c r="N2386" s="90"/>
      <c r="O2386" s="90"/>
      <c r="P2386" s="90"/>
    </row>
    <row r="2387" spans="1:16" ht="13.2">
      <c r="A2387" s="90"/>
      <c r="B2387" s="92"/>
      <c r="C2387" s="90"/>
      <c r="D2387" s="90"/>
      <c r="E2387" s="90"/>
      <c r="F2387" s="90"/>
      <c r="G2387" s="90"/>
      <c r="H2387" s="90"/>
      <c r="I2387" s="90"/>
      <c r="J2387" s="90"/>
      <c r="K2387" s="90"/>
      <c r="L2387" s="90"/>
      <c r="M2387" s="90"/>
      <c r="N2387" s="90"/>
      <c r="O2387" s="90"/>
      <c r="P2387" s="90"/>
    </row>
    <row r="2388" spans="1:16" ht="13.2">
      <c r="A2388" s="90"/>
      <c r="B2388" s="92"/>
      <c r="C2388" s="90"/>
      <c r="D2388" s="90"/>
      <c r="E2388" s="90"/>
      <c r="F2388" s="90"/>
      <c r="G2388" s="90"/>
      <c r="H2388" s="90"/>
      <c r="I2388" s="90"/>
      <c r="J2388" s="90"/>
      <c r="K2388" s="90"/>
      <c r="L2388" s="90"/>
      <c r="M2388" s="90"/>
      <c r="N2388" s="90"/>
      <c r="O2388" s="90"/>
      <c r="P2388" s="90"/>
    </row>
    <row r="2389" spans="1:16" ht="13.2">
      <c r="A2389" s="90"/>
      <c r="B2389" s="92"/>
      <c r="C2389" s="90"/>
      <c r="D2389" s="90"/>
      <c r="E2389" s="90"/>
      <c r="F2389" s="90"/>
      <c r="G2389" s="90"/>
      <c r="H2389" s="90"/>
      <c r="I2389" s="90"/>
      <c r="J2389" s="90"/>
      <c r="K2389" s="90"/>
      <c r="L2389" s="90"/>
      <c r="M2389" s="90"/>
      <c r="N2389" s="90"/>
      <c r="O2389" s="90"/>
      <c r="P2389" s="90"/>
    </row>
    <row r="2390" spans="1:16" ht="13.2">
      <c r="A2390" s="90"/>
      <c r="B2390" s="92"/>
      <c r="C2390" s="90"/>
      <c r="D2390" s="90"/>
      <c r="E2390" s="90"/>
      <c r="F2390" s="90"/>
      <c r="G2390" s="90"/>
      <c r="H2390" s="90"/>
      <c r="I2390" s="90"/>
      <c r="J2390" s="90"/>
      <c r="K2390" s="90"/>
      <c r="L2390" s="90"/>
      <c r="M2390" s="90"/>
      <c r="N2390" s="90"/>
      <c r="O2390" s="90"/>
      <c r="P2390" s="90"/>
    </row>
    <row r="2391" spans="1:16" ht="13.2">
      <c r="A2391" s="90"/>
      <c r="B2391" s="92"/>
      <c r="C2391" s="90"/>
      <c r="D2391" s="90"/>
      <c r="E2391" s="90"/>
      <c r="F2391" s="90"/>
      <c r="G2391" s="90"/>
      <c r="H2391" s="90"/>
      <c r="I2391" s="90"/>
      <c r="J2391" s="90"/>
      <c r="K2391" s="90"/>
      <c r="L2391" s="90"/>
      <c r="M2391" s="90"/>
      <c r="N2391" s="90"/>
      <c r="O2391" s="90"/>
      <c r="P2391" s="90"/>
    </row>
    <row r="2392" spans="1:16" ht="13.2">
      <c r="A2392" s="90"/>
      <c r="B2392" s="92"/>
      <c r="C2392" s="90"/>
      <c r="D2392" s="90"/>
      <c r="E2392" s="90"/>
      <c r="F2392" s="90"/>
      <c r="G2392" s="90"/>
      <c r="H2392" s="90"/>
      <c r="I2392" s="90"/>
      <c r="J2392" s="90"/>
      <c r="K2392" s="90"/>
      <c r="L2392" s="90"/>
      <c r="M2392" s="90"/>
      <c r="N2392" s="90"/>
      <c r="O2392" s="90"/>
      <c r="P2392" s="90"/>
    </row>
    <row r="2393" spans="1:16" ht="13.2">
      <c r="A2393" s="90"/>
      <c r="B2393" s="92"/>
      <c r="C2393" s="90"/>
      <c r="D2393" s="90"/>
      <c r="E2393" s="90"/>
      <c r="F2393" s="90"/>
      <c r="G2393" s="90"/>
      <c r="H2393" s="90"/>
      <c r="I2393" s="90"/>
      <c r="J2393" s="90"/>
      <c r="K2393" s="90"/>
      <c r="L2393" s="90"/>
      <c r="M2393" s="90"/>
      <c r="N2393" s="90"/>
      <c r="O2393" s="90"/>
      <c r="P2393" s="90"/>
    </row>
    <row r="2394" spans="1:16" ht="13.2">
      <c r="A2394" s="90"/>
      <c r="B2394" s="92"/>
      <c r="C2394" s="90"/>
      <c r="D2394" s="90"/>
      <c r="E2394" s="90"/>
      <c r="F2394" s="90"/>
      <c r="G2394" s="90"/>
      <c r="H2394" s="90"/>
      <c r="I2394" s="90"/>
      <c r="J2394" s="90"/>
      <c r="K2394" s="90"/>
      <c r="L2394" s="90"/>
      <c r="M2394" s="90"/>
      <c r="N2394" s="90"/>
      <c r="O2394" s="90"/>
      <c r="P2394" s="90"/>
    </row>
    <row r="2395" spans="1:16" ht="13.2">
      <c r="A2395" s="90"/>
      <c r="B2395" s="92"/>
      <c r="C2395" s="90"/>
      <c r="D2395" s="90"/>
      <c r="E2395" s="90"/>
      <c r="F2395" s="90"/>
      <c r="G2395" s="90"/>
      <c r="H2395" s="90"/>
      <c r="I2395" s="90"/>
      <c r="J2395" s="90"/>
      <c r="K2395" s="90"/>
      <c r="L2395" s="90"/>
      <c r="M2395" s="90"/>
      <c r="N2395" s="90"/>
      <c r="O2395" s="90"/>
      <c r="P2395" s="90"/>
    </row>
    <row r="2396" spans="1:16" ht="13.2">
      <c r="A2396" s="90"/>
      <c r="B2396" s="92"/>
      <c r="C2396" s="90"/>
      <c r="D2396" s="90"/>
      <c r="E2396" s="90"/>
      <c r="F2396" s="90"/>
      <c r="G2396" s="90"/>
      <c r="H2396" s="90"/>
      <c r="I2396" s="90"/>
      <c r="J2396" s="90"/>
      <c r="K2396" s="90"/>
      <c r="L2396" s="90"/>
      <c r="M2396" s="90"/>
      <c r="N2396" s="90"/>
      <c r="O2396" s="90"/>
      <c r="P2396" s="90"/>
    </row>
    <row r="2397" spans="1:16" ht="13.2">
      <c r="A2397" s="90"/>
      <c r="B2397" s="92"/>
      <c r="C2397" s="90"/>
      <c r="D2397" s="90"/>
      <c r="E2397" s="90"/>
      <c r="F2397" s="90"/>
      <c r="G2397" s="90"/>
      <c r="H2397" s="90"/>
      <c r="I2397" s="90"/>
      <c r="J2397" s="90"/>
      <c r="K2397" s="90"/>
      <c r="L2397" s="90"/>
      <c r="M2397" s="90"/>
      <c r="N2397" s="90"/>
      <c r="O2397" s="90"/>
      <c r="P2397" s="90"/>
    </row>
    <row r="2398" spans="1:16" ht="13.2">
      <c r="A2398" s="90"/>
      <c r="B2398" s="92"/>
      <c r="C2398" s="90"/>
      <c r="D2398" s="90"/>
      <c r="E2398" s="90"/>
      <c r="F2398" s="90"/>
      <c r="G2398" s="90"/>
      <c r="H2398" s="90"/>
      <c r="I2398" s="90"/>
      <c r="J2398" s="90"/>
      <c r="K2398" s="90"/>
      <c r="L2398" s="90"/>
      <c r="M2398" s="90"/>
      <c r="N2398" s="90"/>
      <c r="O2398" s="90"/>
      <c r="P2398" s="90"/>
    </row>
    <row r="2399" spans="1:16" ht="13.2">
      <c r="A2399" s="90"/>
      <c r="B2399" s="92"/>
      <c r="C2399" s="90"/>
      <c r="D2399" s="90"/>
      <c r="E2399" s="90"/>
      <c r="F2399" s="90"/>
      <c r="G2399" s="90"/>
      <c r="H2399" s="90"/>
      <c r="I2399" s="90"/>
      <c r="J2399" s="90"/>
      <c r="K2399" s="90"/>
      <c r="L2399" s="90"/>
      <c r="M2399" s="90"/>
      <c r="N2399" s="90"/>
      <c r="O2399" s="90"/>
      <c r="P2399" s="90"/>
    </row>
    <row r="2400" spans="1:16" ht="13.2">
      <c r="A2400" s="90"/>
      <c r="B2400" s="92"/>
      <c r="C2400" s="90"/>
      <c r="D2400" s="90"/>
      <c r="E2400" s="90"/>
      <c r="F2400" s="90"/>
      <c r="G2400" s="90"/>
      <c r="H2400" s="90"/>
      <c r="I2400" s="90"/>
      <c r="J2400" s="90"/>
      <c r="K2400" s="90"/>
      <c r="L2400" s="90"/>
      <c r="M2400" s="90"/>
      <c r="N2400" s="90"/>
      <c r="O2400" s="90"/>
      <c r="P2400" s="90"/>
    </row>
    <row r="2401" spans="1:16" ht="13.2">
      <c r="A2401" s="90"/>
      <c r="B2401" s="92"/>
      <c r="C2401" s="90"/>
      <c r="D2401" s="90"/>
      <c r="E2401" s="90"/>
      <c r="F2401" s="90"/>
      <c r="G2401" s="90"/>
      <c r="H2401" s="90"/>
      <c r="I2401" s="90"/>
      <c r="J2401" s="90"/>
      <c r="K2401" s="90"/>
      <c r="L2401" s="90"/>
      <c r="M2401" s="90"/>
      <c r="N2401" s="90"/>
      <c r="O2401" s="90"/>
      <c r="P2401" s="90"/>
    </row>
    <row r="2402" spans="1:16" ht="13.2">
      <c r="A2402" s="90"/>
      <c r="B2402" s="92"/>
      <c r="C2402" s="90"/>
      <c r="D2402" s="90"/>
      <c r="E2402" s="90"/>
      <c r="F2402" s="90"/>
      <c r="G2402" s="90"/>
      <c r="H2402" s="90"/>
      <c r="I2402" s="90"/>
      <c r="J2402" s="90"/>
      <c r="K2402" s="90"/>
      <c r="L2402" s="90"/>
      <c r="M2402" s="90"/>
      <c r="N2402" s="90"/>
      <c r="O2402" s="90"/>
      <c r="P2402" s="90"/>
    </row>
    <row r="2403" spans="1:16" ht="13.2">
      <c r="A2403" s="90"/>
      <c r="B2403" s="92"/>
      <c r="C2403" s="90"/>
      <c r="D2403" s="90"/>
      <c r="E2403" s="90"/>
      <c r="F2403" s="90"/>
      <c r="G2403" s="90"/>
      <c r="H2403" s="90"/>
      <c r="I2403" s="90"/>
      <c r="J2403" s="90"/>
      <c r="K2403" s="90"/>
      <c r="L2403" s="90"/>
      <c r="M2403" s="90"/>
      <c r="N2403" s="90"/>
      <c r="O2403" s="90"/>
      <c r="P2403" s="90"/>
    </row>
    <row r="2404" spans="1:16" ht="13.2">
      <c r="A2404" s="90"/>
      <c r="B2404" s="92"/>
      <c r="C2404" s="90"/>
      <c r="D2404" s="90"/>
      <c r="E2404" s="90"/>
      <c r="F2404" s="90"/>
      <c r="G2404" s="90"/>
      <c r="H2404" s="90"/>
      <c r="I2404" s="90"/>
      <c r="J2404" s="90"/>
      <c r="K2404" s="90"/>
      <c r="L2404" s="90"/>
      <c r="M2404" s="90"/>
      <c r="N2404" s="90"/>
      <c r="O2404" s="90"/>
      <c r="P2404" s="90"/>
    </row>
    <row r="2405" spans="1:16" ht="13.2">
      <c r="A2405" s="90"/>
      <c r="B2405" s="92"/>
      <c r="C2405" s="90"/>
      <c r="D2405" s="90"/>
      <c r="E2405" s="90"/>
      <c r="F2405" s="90"/>
      <c r="G2405" s="90"/>
      <c r="H2405" s="90"/>
      <c r="I2405" s="90"/>
      <c r="J2405" s="90"/>
      <c r="K2405" s="90"/>
      <c r="L2405" s="90"/>
      <c r="M2405" s="90"/>
      <c r="N2405" s="90"/>
      <c r="O2405" s="90"/>
      <c r="P2405" s="90"/>
    </row>
    <row r="2406" spans="1:16" ht="13.2">
      <c r="A2406" s="90"/>
      <c r="B2406" s="92"/>
      <c r="C2406" s="90"/>
      <c r="D2406" s="90"/>
      <c r="E2406" s="90"/>
      <c r="F2406" s="90"/>
      <c r="G2406" s="90"/>
      <c r="H2406" s="90"/>
      <c r="I2406" s="90"/>
      <c r="J2406" s="90"/>
      <c r="K2406" s="90"/>
      <c r="L2406" s="90"/>
      <c r="M2406" s="90"/>
      <c r="N2406" s="90"/>
      <c r="O2406" s="90"/>
      <c r="P2406" s="90"/>
    </row>
    <row r="2407" spans="1:16" ht="13.2">
      <c r="A2407" s="90"/>
      <c r="B2407" s="92"/>
      <c r="C2407" s="90"/>
      <c r="D2407" s="90"/>
      <c r="E2407" s="90"/>
      <c r="F2407" s="90"/>
      <c r="G2407" s="90"/>
      <c r="H2407" s="90"/>
      <c r="I2407" s="90"/>
      <c r="J2407" s="90"/>
      <c r="K2407" s="90"/>
      <c r="L2407" s="90"/>
      <c r="M2407" s="90"/>
      <c r="N2407" s="90"/>
      <c r="O2407" s="90"/>
      <c r="P2407" s="90"/>
    </row>
    <row r="2408" spans="1:16" ht="13.2">
      <c r="A2408" s="90"/>
      <c r="B2408" s="92"/>
      <c r="C2408" s="90"/>
      <c r="D2408" s="90"/>
      <c r="E2408" s="90"/>
      <c r="F2408" s="90"/>
      <c r="G2408" s="90"/>
      <c r="H2408" s="90"/>
      <c r="I2408" s="90"/>
      <c r="J2408" s="90"/>
      <c r="K2408" s="90"/>
      <c r="L2408" s="90"/>
      <c r="M2408" s="90"/>
      <c r="N2408" s="90"/>
      <c r="O2408" s="90"/>
      <c r="P2408" s="90"/>
    </row>
    <row r="2409" spans="1:16" ht="13.2">
      <c r="A2409" s="90"/>
      <c r="B2409" s="92"/>
      <c r="C2409" s="90"/>
      <c r="D2409" s="90"/>
      <c r="E2409" s="90"/>
      <c r="F2409" s="90"/>
      <c r="G2409" s="90"/>
      <c r="H2409" s="90"/>
      <c r="I2409" s="90"/>
      <c r="J2409" s="90"/>
      <c r="K2409" s="90"/>
      <c r="L2409" s="90"/>
      <c r="M2409" s="90"/>
      <c r="N2409" s="90"/>
      <c r="O2409" s="90"/>
      <c r="P2409" s="90"/>
    </row>
    <row r="2410" spans="1:16" ht="13.2">
      <c r="A2410" s="90"/>
      <c r="B2410" s="92"/>
      <c r="C2410" s="90"/>
      <c r="D2410" s="90"/>
      <c r="E2410" s="90"/>
      <c r="F2410" s="90"/>
      <c r="G2410" s="90"/>
      <c r="H2410" s="90"/>
      <c r="I2410" s="90"/>
      <c r="J2410" s="90"/>
      <c r="K2410" s="90"/>
      <c r="L2410" s="90"/>
      <c r="M2410" s="90"/>
      <c r="N2410" s="90"/>
      <c r="O2410" s="90"/>
      <c r="P2410" s="90"/>
    </row>
    <row r="2411" spans="1:16" ht="13.2">
      <c r="A2411" s="90"/>
      <c r="B2411" s="92"/>
      <c r="C2411" s="90"/>
      <c r="D2411" s="90"/>
      <c r="E2411" s="90"/>
      <c r="F2411" s="90"/>
      <c r="G2411" s="90"/>
      <c r="H2411" s="90"/>
      <c r="I2411" s="90"/>
      <c r="J2411" s="90"/>
      <c r="K2411" s="90"/>
      <c r="L2411" s="90"/>
      <c r="M2411" s="90"/>
      <c r="N2411" s="90"/>
      <c r="O2411" s="90"/>
      <c r="P2411" s="90"/>
    </row>
    <row r="2412" spans="1:16" ht="13.2">
      <c r="A2412" s="90"/>
      <c r="B2412" s="92"/>
      <c r="C2412" s="90"/>
      <c r="D2412" s="90"/>
      <c r="E2412" s="90"/>
      <c r="F2412" s="90"/>
      <c r="G2412" s="90"/>
      <c r="H2412" s="90"/>
      <c r="I2412" s="90"/>
      <c r="J2412" s="90"/>
      <c r="K2412" s="90"/>
      <c r="L2412" s="90"/>
      <c r="M2412" s="90"/>
      <c r="N2412" s="90"/>
      <c r="O2412" s="90"/>
      <c r="P2412" s="90"/>
    </row>
    <row r="2413" spans="1:16" ht="13.2">
      <c r="A2413" s="90"/>
      <c r="B2413" s="92"/>
      <c r="C2413" s="90"/>
      <c r="D2413" s="90"/>
      <c r="E2413" s="90"/>
      <c r="F2413" s="90"/>
      <c r="G2413" s="90"/>
      <c r="H2413" s="90"/>
      <c r="I2413" s="90"/>
      <c r="J2413" s="90"/>
      <c r="K2413" s="90"/>
      <c r="L2413" s="90"/>
      <c r="M2413" s="90"/>
      <c r="N2413" s="90"/>
      <c r="O2413" s="90"/>
      <c r="P2413" s="90"/>
    </row>
    <row r="2414" spans="1:16" ht="13.2">
      <c r="A2414" s="90"/>
      <c r="B2414" s="92"/>
      <c r="C2414" s="90"/>
      <c r="D2414" s="90"/>
      <c r="E2414" s="90"/>
      <c r="F2414" s="90"/>
      <c r="G2414" s="90"/>
      <c r="H2414" s="90"/>
      <c r="I2414" s="90"/>
      <c r="J2414" s="90"/>
      <c r="K2414" s="90"/>
      <c r="L2414" s="90"/>
      <c r="M2414" s="90"/>
      <c r="N2414" s="90"/>
      <c r="O2414" s="90"/>
      <c r="P2414" s="90"/>
    </row>
    <row r="2415" spans="1:16" ht="13.2">
      <c r="A2415" s="90"/>
      <c r="B2415" s="92"/>
      <c r="C2415" s="90"/>
      <c r="D2415" s="90"/>
      <c r="E2415" s="90"/>
      <c r="F2415" s="90"/>
      <c r="G2415" s="90"/>
      <c r="H2415" s="90"/>
      <c r="I2415" s="90"/>
      <c r="J2415" s="90"/>
      <c r="K2415" s="90"/>
      <c r="L2415" s="90"/>
      <c r="M2415" s="90"/>
      <c r="N2415" s="90"/>
      <c r="O2415" s="90"/>
      <c r="P2415" s="90"/>
    </row>
    <row r="2416" spans="1:16" ht="13.2">
      <c r="A2416" s="90"/>
      <c r="B2416" s="92"/>
      <c r="C2416" s="90"/>
      <c r="D2416" s="90"/>
      <c r="E2416" s="90"/>
      <c r="F2416" s="90"/>
      <c r="G2416" s="90"/>
      <c r="H2416" s="90"/>
      <c r="I2416" s="90"/>
      <c r="J2416" s="90"/>
      <c r="K2416" s="90"/>
      <c r="L2416" s="90"/>
      <c r="M2416" s="90"/>
      <c r="N2416" s="90"/>
      <c r="O2416" s="90"/>
      <c r="P2416" s="90"/>
    </row>
    <row r="2417" spans="1:16" ht="13.2">
      <c r="A2417" s="90"/>
      <c r="B2417" s="92"/>
      <c r="C2417" s="90"/>
      <c r="D2417" s="90"/>
      <c r="E2417" s="90"/>
      <c r="F2417" s="90"/>
      <c r="G2417" s="90"/>
      <c r="H2417" s="90"/>
      <c r="I2417" s="90"/>
      <c r="J2417" s="90"/>
      <c r="K2417" s="90"/>
      <c r="L2417" s="90"/>
      <c r="M2417" s="90"/>
      <c r="N2417" s="90"/>
      <c r="O2417" s="90"/>
      <c r="P2417" s="90"/>
    </row>
    <row r="2418" spans="1:16" ht="13.2">
      <c r="A2418" s="90"/>
      <c r="B2418" s="92"/>
      <c r="C2418" s="90"/>
      <c r="D2418" s="90"/>
      <c r="E2418" s="90"/>
      <c r="F2418" s="90"/>
      <c r="G2418" s="90"/>
      <c r="H2418" s="90"/>
      <c r="I2418" s="90"/>
      <c r="J2418" s="90"/>
      <c r="K2418" s="90"/>
      <c r="L2418" s="90"/>
      <c r="M2418" s="90"/>
      <c r="N2418" s="90"/>
      <c r="O2418" s="90"/>
      <c r="P2418" s="90"/>
    </row>
    <row r="2419" spans="1:16" ht="13.2">
      <c r="A2419" s="90"/>
      <c r="B2419" s="92"/>
      <c r="C2419" s="90"/>
      <c r="D2419" s="90"/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</row>
    <row r="2420" spans="1:16" ht="13.2">
      <c r="A2420" s="90"/>
      <c r="B2420" s="92"/>
      <c r="C2420" s="90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</row>
    <row r="2421" spans="1:16" ht="13.2">
      <c r="A2421" s="90"/>
      <c r="B2421" s="92"/>
      <c r="C2421" s="90"/>
      <c r="D2421" s="90"/>
      <c r="E2421" s="90"/>
      <c r="F2421" s="90"/>
      <c r="G2421" s="90"/>
      <c r="H2421" s="90"/>
      <c r="I2421" s="90"/>
      <c r="J2421" s="90"/>
      <c r="K2421" s="90"/>
      <c r="L2421" s="90"/>
      <c r="M2421" s="90"/>
      <c r="N2421" s="90"/>
      <c r="O2421" s="90"/>
      <c r="P2421" s="90"/>
    </row>
    <row r="2422" spans="1:16" ht="13.2">
      <c r="A2422" s="90"/>
      <c r="B2422" s="92"/>
      <c r="C2422" s="90"/>
      <c r="D2422" s="90"/>
      <c r="E2422" s="90"/>
      <c r="F2422" s="90"/>
      <c r="G2422" s="90"/>
      <c r="H2422" s="90"/>
      <c r="I2422" s="90"/>
      <c r="J2422" s="90"/>
      <c r="K2422" s="90"/>
      <c r="L2422" s="90"/>
      <c r="M2422" s="90"/>
      <c r="N2422" s="90"/>
      <c r="O2422" s="90"/>
      <c r="P2422" s="90"/>
    </row>
    <row r="2423" spans="1:16" ht="13.2">
      <c r="A2423" s="90"/>
      <c r="B2423" s="92"/>
      <c r="C2423" s="90"/>
      <c r="D2423" s="90"/>
      <c r="E2423" s="90"/>
      <c r="F2423" s="90"/>
      <c r="G2423" s="90"/>
      <c r="H2423" s="90"/>
      <c r="I2423" s="90"/>
      <c r="J2423" s="90"/>
      <c r="K2423" s="90"/>
      <c r="L2423" s="90"/>
      <c r="M2423" s="90"/>
      <c r="N2423" s="90"/>
      <c r="O2423" s="90"/>
      <c r="P2423" s="90"/>
    </row>
    <row r="2424" spans="1:16" ht="13.2">
      <c r="A2424" s="90"/>
      <c r="B2424" s="92"/>
      <c r="C2424" s="90"/>
      <c r="D2424" s="90"/>
      <c r="E2424" s="90"/>
      <c r="F2424" s="90"/>
      <c r="G2424" s="90"/>
      <c r="H2424" s="90"/>
      <c r="I2424" s="90"/>
      <c r="J2424" s="90"/>
      <c r="K2424" s="90"/>
      <c r="L2424" s="90"/>
      <c r="M2424" s="90"/>
      <c r="N2424" s="90"/>
      <c r="O2424" s="90"/>
      <c r="P2424" s="90"/>
    </row>
    <row r="2425" spans="1:16" ht="13.2">
      <c r="A2425" s="90"/>
      <c r="B2425" s="92"/>
      <c r="C2425" s="90"/>
      <c r="D2425" s="90"/>
      <c r="E2425" s="90"/>
      <c r="F2425" s="90"/>
      <c r="G2425" s="90"/>
      <c r="H2425" s="90"/>
      <c r="I2425" s="90"/>
      <c r="J2425" s="90"/>
      <c r="K2425" s="90"/>
      <c r="L2425" s="90"/>
      <c r="M2425" s="90"/>
      <c r="N2425" s="90"/>
      <c r="O2425" s="90"/>
      <c r="P2425" s="90"/>
    </row>
    <row r="2426" spans="1:16" ht="13.2">
      <c r="A2426" s="90"/>
      <c r="B2426" s="92"/>
      <c r="C2426" s="90"/>
      <c r="D2426" s="90"/>
      <c r="E2426" s="90"/>
      <c r="F2426" s="90"/>
      <c r="G2426" s="90"/>
      <c r="H2426" s="90"/>
      <c r="I2426" s="90"/>
      <c r="J2426" s="90"/>
      <c r="K2426" s="90"/>
      <c r="L2426" s="90"/>
      <c r="M2426" s="90"/>
      <c r="N2426" s="90"/>
      <c r="O2426" s="90"/>
      <c r="P2426" s="90"/>
    </row>
    <row r="2427" spans="1:16" ht="13.2">
      <c r="A2427" s="90"/>
      <c r="B2427" s="92"/>
      <c r="C2427" s="90"/>
      <c r="D2427" s="90"/>
      <c r="E2427" s="90"/>
      <c r="F2427" s="90"/>
      <c r="G2427" s="90"/>
      <c r="H2427" s="90"/>
      <c r="I2427" s="90"/>
      <c r="J2427" s="90"/>
      <c r="K2427" s="90"/>
      <c r="L2427" s="90"/>
      <c r="M2427" s="90"/>
      <c r="N2427" s="90"/>
      <c r="O2427" s="90"/>
      <c r="P2427" s="90"/>
    </row>
    <row r="2428" spans="1:16" ht="13.2">
      <c r="A2428" s="90"/>
      <c r="B2428" s="92"/>
      <c r="C2428" s="90"/>
      <c r="D2428" s="90"/>
      <c r="E2428" s="90"/>
      <c r="F2428" s="90"/>
      <c r="G2428" s="90"/>
      <c r="H2428" s="90"/>
      <c r="I2428" s="90"/>
      <c r="J2428" s="90"/>
      <c r="K2428" s="90"/>
      <c r="L2428" s="90"/>
      <c r="M2428" s="90"/>
      <c r="N2428" s="90"/>
      <c r="O2428" s="90"/>
      <c r="P2428" s="90"/>
    </row>
    <row r="2429" spans="1:16" ht="13.2">
      <c r="A2429" s="90"/>
      <c r="B2429" s="92"/>
      <c r="C2429" s="90"/>
      <c r="D2429" s="90"/>
      <c r="E2429" s="90"/>
      <c r="F2429" s="90"/>
      <c r="G2429" s="90"/>
      <c r="H2429" s="90"/>
      <c r="I2429" s="90"/>
      <c r="J2429" s="90"/>
      <c r="K2429" s="90"/>
      <c r="L2429" s="90"/>
      <c r="M2429" s="90"/>
      <c r="N2429" s="90"/>
      <c r="O2429" s="90"/>
      <c r="P2429" s="90"/>
    </row>
    <row r="2430" spans="1:16" ht="13.2">
      <c r="A2430" s="90"/>
      <c r="B2430" s="92"/>
      <c r="C2430" s="90"/>
      <c r="D2430" s="90"/>
      <c r="E2430" s="90"/>
      <c r="F2430" s="90"/>
      <c r="G2430" s="90"/>
      <c r="H2430" s="90"/>
      <c r="I2430" s="90"/>
      <c r="J2430" s="90"/>
      <c r="K2430" s="90"/>
      <c r="L2430" s="90"/>
      <c r="M2430" s="90"/>
      <c r="N2430" s="90"/>
      <c r="O2430" s="90"/>
      <c r="P2430" s="90"/>
    </row>
    <row r="2431" spans="1:16" ht="13.2">
      <c r="A2431" s="90"/>
      <c r="B2431" s="92"/>
      <c r="C2431" s="90"/>
      <c r="D2431" s="90"/>
      <c r="E2431" s="90"/>
      <c r="F2431" s="90"/>
      <c r="G2431" s="90"/>
      <c r="H2431" s="90"/>
      <c r="I2431" s="90"/>
      <c r="J2431" s="90"/>
      <c r="K2431" s="90"/>
      <c r="L2431" s="90"/>
      <c r="M2431" s="90"/>
      <c r="N2431" s="90"/>
      <c r="O2431" s="90"/>
      <c r="P2431" s="90"/>
    </row>
    <row r="2432" spans="1:16" ht="13.2">
      <c r="A2432" s="90"/>
      <c r="B2432" s="92"/>
      <c r="C2432" s="90"/>
      <c r="D2432" s="90"/>
      <c r="E2432" s="90"/>
      <c r="F2432" s="90"/>
      <c r="G2432" s="90"/>
      <c r="H2432" s="90"/>
      <c r="I2432" s="90"/>
      <c r="J2432" s="90"/>
      <c r="K2432" s="90"/>
      <c r="L2432" s="90"/>
      <c r="M2432" s="90"/>
      <c r="N2432" s="90"/>
      <c r="O2432" s="90"/>
      <c r="P2432" s="90"/>
    </row>
    <row r="2433" spans="1:16" ht="13.2">
      <c r="A2433" s="90"/>
      <c r="B2433" s="92"/>
      <c r="C2433" s="90"/>
      <c r="D2433" s="90"/>
      <c r="E2433" s="90"/>
      <c r="F2433" s="90"/>
      <c r="G2433" s="90"/>
      <c r="H2433" s="90"/>
      <c r="I2433" s="90"/>
      <c r="J2433" s="90"/>
      <c r="K2433" s="90"/>
      <c r="L2433" s="90"/>
      <c r="M2433" s="90"/>
      <c r="N2433" s="90"/>
      <c r="O2433" s="90"/>
      <c r="P2433" s="90"/>
    </row>
    <row r="2434" spans="1:16" ht="13.2">
      <c r="A2434" s="90"/>
      <c r="B2434" s="92"/>
      <c r="C2434" s="90"/>
      <c r="D2434" s="90"/>
      <c r="E2434" s="90"/>
      <c r="F2434" s="90"/>
      <c r="G2434" s="90"/>
      <c r="H2434" s="90"/>
      <c r="I2434" s="90"/>
      <c r="J2434" s="90"/>
      <c r="K2434" s="90"/>
      <c r="L2434" s="90"/>
      <c r="M2434" s="90"/>
      <c r="N2434" s="90"/>
      <c r="O2434" s="90"/>
      <c r="P2434" s="90"/>
    </row>
    <row r="2435" spans="1:16" ht="13.2">
      <c r="A2435" s="90"/>
      <c r="B2435" s="92"/>
      <c r="C2435" s="90"/>
      <c r="D2435" s="90"/>
      <c r="E2435" s="90"/>
      <c r="F2435" s="90"/>
      <c r="G2435" s="90"/>
      <c r="H2435" s="90"/>
      <c r="I2435" s="90"/>
      <c r="J2435" s="90"/>
      <c r="K2435" s="90"/>
      <c r="L2435" s="90"/>
      <c r="M2435" s="90"/>
      <c r="N2435" s="90"/>
      <c r="O2435" s="90"/>
      <c r="P2435" s="90"/>
    </row>
    <row r="2436" spans="1:16" ht="13.2">
      <c r="A2436" s="90"/>
      <c r="B2436" s="92"/>
      <c r="C2436" s="90"/>
      <c r="D2436" s="90"/>
      <c r="E2436" s="90"/>
      <c r="F2436" s="90"/>
      <c r="G2436" s="90"/>
      <c r="H2436" s="90"/>
      <c r="I2436" s="90"/>
      <c r="J2436" s="90"/>
      <c r="K2436" s="90"/>
      <c r="L2436" s="90"/>
      <c r="M2436" s="90"/>
      <c r="N2436" s="90"/>
      <c r="O2436" s="90"/>
      <c r="P2436" s="90"/>
    </row>
    <row r="2437" spans="1:16" ht="13.2">
      <c r="A2437" s="90"/>
      <c r="B2437" s="92"/>
      <c r="C2437" s="90"/>
      <c r="D2437" s="90"/>
      <c r="E2437" s="90"/>
      <c r="F2437" s="90"/>
      <c r="G2437" s="90"/>
      <c r="H2437" s="90"/>
      <c r="I2437" s="90"/>
      <c r="J2437" s="90"/>
      <c r="K2437" s="90"/>
      <c r="L2437" s="90"/>
      <c r="M2437" s="90"/>
      <c r="N2437" s="90"/>
      <c r="O2437" s="90"/>
      <c r="P2437" s="90"/>
    </row>
    <row r="2438" spans="1:16" ht="13.2">
      <c r="A2438" s="90"/>
      <c r="B2438" s="92"/>
      <c r="C2438" s="90"/>
      <c r="D2438" s="90"/>
      <c r="E2438" s="90"/>
      <c r="F2438" s="90"/>
      <c r="G2438" s="90"/>
      <c r="H2438" s="90"/>
      <c r="I2438" s="90"/>
      <c r="J2438" s="90"/>
      <c r="K2438" s="90"/>
      <c r="L2438" s="90"/>
      <c r="M2438" s="90"/>
      <c r="N2438" s="90"/>
      <c r="O2438" s="90"/>
      <c r="P2438" s="90"/>
    </row>
    <row r="2439" spans="1:16" ht="13.2">
      <c r="A2439" s="90"/>
      <c r="B2439" s="92"/>
      <c r="C2439" s="90"/>
      <c r="D2439" s="90"/>
      <c r="E2439" s="90"/>
      <c r="F2439" s="90"/>
      <c r="G2439" s="90"/>
      <c r="H2439" s="90"/>
      <c r="I2439" s="90"/>
      <c r="J2439" s="90"/>
      <c r="K2439" s="90"/>
      <c r="L2439" s="90"/>
      <c r="M2439" s="90"/>
      <c r="N2439" s="90"/>
      <c r="O2439" s="90"/>
      <c r="P2439" s="90"/>
    </row>
    <row r="2440" spans="1:16" ht="13.2">
      <c r="A2440" s="90"/>
      <c r="B2440" s="92"/>
      <c r="C2440" s="90"/>
      <c r="D2440" s="90"/>
      <c r="E2440" s="90"/>
      <c r="F2440" s="90"/>
      <c r="G2440" s="90"/>
      <c r="H2440" s="90"/>
      <c r="I2440" s="90"/>
      <c r="J2440" s="90"/>
      <c r="K2440" s="90"/>
      <c r="L2440" s="90"/>
      <c r="M2440" s="90"/>
      <c r="N2440" s="90"/>
      <c r="O2440" s="90"/>
      <c r="P2440" s="90"/>
    </row>
    <row r="2441" spans="1:16" ht="13.2">
      <c r="A2441" s="90"/>
      <c r="B2441" s="92"/>
      <c r="C2441" s="90"/>
      <c r="D2441" s="90"/>
      <c r="E2441" s="90"/>
      <c r="F2441" s="90"/>
      <c r="G2441" s="90"/>
      <c r="H2441" s="90"/>
      <c r="I2441" s="90"/>
      <c r="J2441" s="90"/>
      <c r="K2441" s="90"/>
      <c r="L2441" s="90"/>
      <c r="M2441" s="90"/>
      <c r="N2441" s="90"/>
      <c r="O2441" s="90"/>
      <c r="P2441" s="90"/>
    </row>
    <row r="2442" spans="1:16" ht="13.2">
      <c r="A2442" s="90"/>
      <c r="B2442" s="92"/>
      <c r="C2442" s="90"/>
      <c r="D2442" s="90"/>
      <c r="E2442" s="90"/>
      <c r="F2442" s="90"/>
      <c r="G2442" s="90"/>
      <c r="H2442" s="90"/>
      <c r="I2442" s="90"/>
      <c r="J2442" s="90"/>
      <c r="K2442" s="90"/>
      <c r="L2442" s="90"/>
      <c r="M2442" s="90"/>
      <c r="N2442" s="90"/>
      <c r="O2442" s="90"/>
      <c r="P2442" s="90"/>
    </row>
    <row r="2443" spans="1:16" ht="13.2">
      <c r="A2443" s="90"/>
      <c r="B2443" s="92"/>
      <c r="C2443" s="90"/>
      <c r="D2443" s="90"/>
      <c r="E2443" s="90"/>
      <c r="F2443" s="90"/>
      <c r="G2443" s="90"/>
      <c r="H2443" s="90"/>
      <c r="I2443" s="90"/>
      <c r="J2443" s="90"/>
      <c r="K2443" s="90"/>
      <c r="L2443" s="90"/>
      <c r="M2443" s="90"/>
      <c r="N2443" s="90"/>
      <c r="O2443" s="90"/>
      <c r="P2443" s="90"/>
    </row>
    <row r="2444" spans="1:16" ht="13.2">
      <c r="A2444" s="90"/>
      <c r="B2444" s="92"/>
      <c r="C2444" s="90"/>
      <c r="D2444" s="90"/>
      <c r="E2444" s="90"/>
      <c r="F2444" s="90"/>
      <c r="G2444" s="90"/>
      <c r="H2444" s="90"/>
      <c r="I2444" s="90"/>
      <c r="J2444" s="90"/>
      <c r="K2444" s="90"/>
      <c r="L2444" s="90"/>
      <c r="M2444" s="90"/>
      <c r="N2444" s="90"/>
      <c r="O2444" s="90"/>
      <c r="P2444" s="90"/>
    </row>
    <row r="2445" spans="1:16" ht="13.2">
      <c r="A2445" s="90"/>
      <c r="B2445" s="92"/>
      <c r="C2445" s="90"/>
      <c r="D2445" s="90"/>
      <c r="E2445" s="90"/>
      <c r="F2445" s="90"/>
      <c r="G2445" s="90"/>
      <c r="H2445" s="90"/>
      <c r="I2445" s="90"/>
      <c r="J2445" s="90"/>
      <c r="K2445" s="90"/>
      <c r="L2445" s="90"/>
      <c r="M2445" s="90"/>
      <c r="N2445" s="90"/>
      <c r="O2445" s="90"/>
      <c r="P2445" s="90"/>
    </row>
    <row r="2446" spans="1:16" ht="13.2">
      <c r="A2446" s="90"/>
      <c r="B2446" s="92"/>
      <c r="C2446" s="90"/>
      <c r="D2446" s="90"/>
      <c r="E2446" s="90"/>
      <c r="F2446" s="90"/>
      <c r="G2446" s="90"/>
      <c r="H2446" s="90"/>
      <c r="I2446" s="90"/>
      <c r="J2446" s="90"/>
      <c r="K2446" s="90"/>
      <c r="L2446" s="90"/>
      <c r="M2446" s="90"/>
      <c r="N2446" s="90"/>
      <c r="O2446" s="90"/>
      <c r="P2446" s="90"/>
    </row>
    <row r="2447" spans="1:16" ht="13.2">
      <c r="A2447" s="90"/>
      <c r="B2447" s="92"/>
      <c r="C2447" s="90"/>
      <c r="D2447" s="90"/>
      <c r="E2447" s="90"/>
      <c r="F2447" s="90"/>
      <c r="G2447" s="90"/>
      <c r="H2447" s="90"/>
      <c r="I2447" s="90"/>
      <c r="J2447" s="90"/>
      <c r="K2447" s="90"/>
      <c r="L2447" s="90"/>
      <c r="M2447" s="90"/>
      <c r="N2447" s="90"/>
      <c r="O2447" s="90"/>
      <c r="P2447" s="90"/>
    </row>
    <row r="2448" spans="1:16" ht="13.2">
      <c r="A2448" s="90"/>
      <c r="B2448" s="92"/>
      <c r="C2448" s="90"/>
      <c r="D2448" s="90"/>
      <c r="E2448" s="90"/>
      <c r="F2448" s="90"/>
      <c r="G2448" s="90"/>
      <c r="H2448" s="90"/>
      <c r="I2448" s="90"/>
      <c r="J2448" s="90"/>
      <c r="K2448" s="90"/>
      <c r="L2448" s="90"/>
      <c r="M2448" s="90"/>
      <c r="N2448" s="90"/>
      <c r="O2448" s="90"/>
      <c r="P2448" s="90"/>
    </row>
    <row r="2449" spans="1:16" ht="13.2">
      <c r="A2449" s="90"/>
      <c r="B2449" s="92"/>
      <c r="C2449" s="90"/>
      <c r="D2449" s="90"/>
      <c r="E2449" s="90"/>
      <c r="F2449" s="90"/>
      <c r="G2449" s="90"/>
      <c r="H2449" s="90"/>
      <c r="I2449" s="90"/>
      <c r="J2449" s="90"/>
      <c r="K2449" s="90"/>
      <c r="L2449" s="90"/>
      <c r="M2449" s="90"/>
      <c r="N2449" s="90"/>
      <c r="O2449" s="90"/>
      <c r="P2449" s="90"/>
    </row>
    <row r="2450" spans="1:16" ht="13.2">
      <c r="A2450" s="90"/>
      <c r="B2450" s="92"/>
      <c r="C2450" s="90"/>
      <c r="D2450" s="90"/>
      <c r="E2450" s="90"/>
      <c r="F2450" s="90"/>
      <c r="G2450" s="90"/>
      <c r="H2450" s="90"/>
      <c r="I2450" s="90"/>
      <c r="J2450" s="90"/>
      <c r="K2450" s="90"/>
      <c r="L2450" s="90"/>
      <c r="M2450" s="90"/>
      <c r="N2450" s="90"/>
      <c r="O2450" s="90"/>
      <c r="P2450" s="90"/>
    </row>
    <row r="2451" spans="1:16" ht="13.2">
      <c r="A2451" s="90"/>
      <c r="B2451" s="92"/>
      <c r="C2451" s="90"/>
      <c r="D2451" s="90"/>
      <c r="E2451" s="90"/>
      <c r="F2451" s="90"/>
      <c r="G2451" s="90"/>
      <c r="H2451" s="90"/>
      <c r="I2451" s="90"/>
      <c r="J2451" s="90"/>
      <c r="K2451" s="90"/>
      <c r="L2451" s="90"/>
      <c r="M2451" s="90"/>
      <c r="N2451" s="90"/>
      <c r="O2451" s="90"/>
      <c r="P2451" s="90"/>
    </row>
    <row r="2452" spans="1:16" ht="13.2">
      <c r="A2452" s="90"/>
      <c r="B2452" s="92"/>
      <c r="C2452" s="90"/>
      <c r="D2452" s="90"/>
      <c r="E2452" s="90"/>
      <c r="F2452" s="90"/>
      <c r="G2452" s="90"/>
      <c r="H2452" s="90"/>
      <c r="I2452" s="90"/>
      <c r="J2452" s="90"/>
      <c r="K2452" s="90"/>
      <c r="L2452" s="90"/>
      <c r="M2452" s="90"/>
      <c r="N2452" s="90"/>
      <c r="O2452" s="90"/>
      <c r="P2452" s="90"/>
    </row>
    <row r="2453" spans="1:16" ht="13.2">
      <c r="A2453" s="90"/>
      <c r="B2453" s="92"/>
      <c r="C2453" s="90"/>
      <c r="D2453" s="90"/>
      <c r="E2453" s="90"/>
      <c r="F2453" s="90"/>
      <c r="G2453" s="90"/>
      <c r="H2453" s="90"/>
      <c r="I2453" s="90"/>
      <c r="J2453" s="90"/>
      <c r="K2453" s="90"/>
      <c r="L2453" s="90"/>
      <c r="M2453" s="90"/>
      <c r="N2453" s="90"/>
      <c r="O2453" s="90"/>
      <c r="P2453" s="90"/>
    </row>
    <row r="2454" spans="1:16" ht="13.2">
      <c r="A2454" s="90"/>
      <c r="B2454" s="92"/>
      <c r="C2454" s="90"/>
      <c r="D2454" s="90"/>
      <c r="E2454" s="90"/>
      <c r="F2454" s="90"/>
      <c r="G2454" s="90"/>
      <c r="H2454" s="90"/>
      <c r="I2454" s="90"/>
      <c r="J2454" s="90"/>
      <c r="K2454" s="90"/>
      <c r="L2454" s="90"/>
      <c r="M2454" s="90"/>
      <c r="N2454" s="90"/>
      <c r="O2454" s="90"/>
      <c r="P2454" s="90"/>
    </row>
    <row r="2455" spans="1:16" ht="13.2">
      <c r="A2455" s="90"/>
      <c r="B2455" s="92"/>
      <c r="C2455" s="90"/>
      <c r="D2455" s="90"/>
      <c r="E2455" s="90"/>
      <c r="F2455" s="90"/>
      <c r="G2455" s="90"/>
      <c r="H2455" s="90"/>
      <c r="I2455" s="90"/>
      <c r="J2455" s="90"/>
      <c r="K2455" s="90"/>
      <c r="L2455" s="90"/>
      <c r="M2455" s="90"/>
      <c r="N2455" s="90"/>
      <c r="O2455" s="90"/>
      <c r="P2455" s="90"/>
    </row>
    <row r="2456" spans="1:16" ht="13.2">
      <c r="A2456" s="90"/>
      <c r="B2456" s="92"/>
      <c r="C2456" s="90"/>
      <c r="D2456" s="90"/>
      <c r="E2456" s="90"/>
      <c r="F2456" s="90"/>
      <c r="G2456" s="90"/>
      <c r="H2456" s="90"/>
      <c r="I2456" s="90"/>
      <c r="J2456" s="90"/>
      <c r="K2456" s="90"/>
      <c r="L2456" s="90"/>
      <c r="M2456" s="90"/>
      <c r="N2456" s="90"/>
      <c r="O2456" s="90"/>
      <c r="P2456" s="90"/>
    </row>
    <row r="2457" spans="1:16" ht="13.2">
      <c r="A2457" s="90"/>
      <c r="B2457" s="92"/>
      <c r="C2457" s="90"/>
      <c r="D2457" s="90"/>
      <c r="E2457" s="90"/>
      <c r="F2457" s="90"/>
      <c r="G2457" s="90"/>
      <c r="H2457" s="90"/>
      <c r="I2457" s="90"/>
      <c r="J2457" s="90"/>
      <c r="K2457" s="90"/>
      <c r="L2457" s="90"/>
      <c r="M2457" s="90"/>
      <c r="N2457" s="90"/>
      <c r="O2457" s="90"/>
      <c r="P2457" s="90"/>
    </row>
    <row r="2458" spans="1:16" ht="13.2">
      <c r="A2458" s="90"/>
      <c r="B2458" s="92"/>
      <c r="C2458" s="90"/>
      <c r="D2458" s="90"/>
      <c r="E2458" s="90"/>
      <c r="F2458" s="90"/>
      <c r="G2458" s="90"/>
      <c r="H2458" s="90"/>
      <c r="I2458" s="90"/>
      <c r="J2458" s="90"/>
      <c r="K2458" s="90"/>
      <c r="L2458" s="90"/>
      <c r="M2458" s="90"/>
      <c r="N2458" s="90"/>
      <c r="O2458" s="90"/>
      <c r="P2458" s="90"/>
    </row>
    <row r="2459" spans="1:16" ht="13.2">
      <c r="A2459" s="90"/>
      <c r="B2459" s="92"/>
      <c r="C2459" s="90"/>
      <c r="D2459" s="90"/>
      <c r="E2459" s="90"/>
      <c r="F2459" s="90"/>
      <c r="G2459" s="90"/>
      <c r="H2459" s="90"/>
      <c r="I2459" s="90"/>
      <c r="J2459" s="90"/>
      <c r="K2459" s="90"/>
      <c r="L2459" s="90"/>
      <c r="M2459" s="90"/>
      <c r="N2459" s="90"/>
      <c r="O2459" s="90"/>
      <c r="P2459" s="90"/>
    </row>
    <row r="2460" spans="1:16" ht="13.2">
      <c r="A2460" s="90"/>
      <c r="B2460" s="92"/>
      <c r="C2460" s="90"/>
      <c r="D2460" s="90"/>
      <c r="E2460" s="90"/>
      <c r="F2460" s="90"/>
      <c r="G2460" s="90"/>
      <c r="H2460" s="90"/>
      <c r="I2460" s="90"/>
      <c r="J2460" s="90"/>
      <c r="K2460" s="90"/>
      <c r="L2460" s="90"/>
      <c r="M2460" s="90"/>
      <c r="N2460" s="90"/>
      <c r="O2460" s="90"/>
      <c r="P2460" s="90"/>
    </row>
    <row r="2461" spans="1:16" ht="13.2">
      <c r="A2461" s="90"/>
      <c r="B2461" s="92"/>
      <c r="C2461" s="90"/>
      <c r="D2461" s="90"/>
      <c r="E2461" s="90"/>
      <c r="F2461" s="90"/>
      <c r="G2461" s="90"/>
      <c r="H2461" s="90"/>
      <c r="I2461" s="90"/>
      <c r="J2461" s="90"/>
      <c r="K2461" s="90"/>
      <c r="L2461" s="90"/>
      <c r="M2461" s="90"/>
      <c r="N2461" s="90"/>
      <c r="O2461" s="90"/>
      <c r="P2461" s="90"/>
    </row>
    <row r="2462" spans="1:16" ht="13.2">
      <c r="A2462" s="90"/>
      <c r="B2462" s="92"/>
      <c r="C2462" s="90"/>
      <c r="D2462" s="90"/>
      <c r="E2462" s="90"/>
      <c r="F2462" s="90"/>
      <c r="G2462" s="90"/>
      <c r="H2462" s="90"/>
      <c r="I2462" s="90"/>
      <c r="J2462" s="90"/>
      <c r="K2462" s="90"/>
      <c r="L2462" s="90"/>
      <c r="M2462" s="90"/>
      <c r="N2462" s="90"/>
      <c r="O2462" s="90"/>
      <c r="P2462" s="90"/>
    </row>
    <row r="2463" spans="1:16" ht="13.2">
      <c r="A2463" s="90"/>
      <c r="B2463" s="92"/>
      <c r="C2463" s="90"/>
      <c r="D2463" s="90"/>
      <c r="E2463" s="90"/>
      <c r="F2463" s="90"/>
      <c r="G2463" s="90"/>
      <c r="H2463" s="90"/>
      <c r="I2463" s="90"/>
      <c r="J2463" s="90"/>
      <c r="K2463" s="90"/>
      <c r="L2463" s="90"/>
      <c r="M2463" s="90"/>
      <c r="N2463" s="90"/>
      <c r="O2463" s="90"/>
      <c r="P2463" s="90"/>
    </row>
    <row r="2464" spans="1:16" ht="13.2">
      <c r="A2464" s="90"/>
      <c r="B2464" s="92"/>
      <c r="C2464" s="90"/>
      <c r="D2464" s="90"/>
      <c r="E2464" s="90"/>
      <c r="F2464" s="90"/>
      <c r="G2464" s="90"/>
      <c r="H2464" s="90"/>
      <c r="I2464" s="90"/>
      <c r="J2464" s="90"/>
      <c r="K2464" s="90"/>
      <c r="L2464" s="90"/>
      <c r="M2464" s="90"/>
      <c r="N2464" s="90"/>
      <c r="O2464" s="90"/>
      <c r="P2464" s="90"/>
    </row>
    <row r="2465" spans="1:16" ht="13.2">
      <c r="A2465" s="90"/>
      <c r="B2465" s="92"/>
      <c r="C2465" s="90"/>
      <c r="D2465" s="90"/>
      <c r="E2465" s="90"/>
      <c r="F2465" s="90"/>
      <c r="G2465" s="90"/>
      <c r="H2465" s="90"/>
      <c r="I2465" s="90"/>
      <c r="J2465" s="90"/>
      <c r="K2465" s="90"/>
      <c r="L2465" s="90"/>
      <c r="M2465" s="90"/>
      <c r="N2465" s="90"/>
      <c r="O2465" s="90"/>
      <c r="P2465" s="90"/>
    </row>
    <row r="2466" spans="1:16" ht="13.2">
      <c r="A2466" s="90"/>
      <c r="B2466" s="92"/>
      <c r="C2466" s="90"/>
      <c r="D2466" s="90"/>
      <c r="E2466" s="90"/>
      <c r="F2466" s="90"/>
      <c r="G2466" s="90"/>
      <c r="H2466" s="90"/>
      <c r="I2466" s="90"/>
      <c r="J2466" s="90"/>
      <c r="K2466" s="90"/>
      <c r="L2466" s="90"/>
      <c r="M2466" s="90"/>
      <c r="N2466" s="90"/>
      <c r="O2466" s="90"/>
      <c r="P2466" s="90"/>
    </row>
    <row r="2467" spans="1:16" ht="13.2">
      <c r="A2467" s="90"/>
      <c r="B2467" s="92"/>
      <c r="C2467" s="90"/>
      <c r="D2467" s="90"/>
      <c r="E2467" s="90"/>
      <c r="F2467" s="90"/>
      <c r="G2467" s="90"/>
      <c r="H2467" s="90"/>
      <c r="I2467" s="90"/>
      <c r="J2467" s="90"/>
      <c r="K2467" s="90"/>
      <c r="L2467" s="90"/>
      <c r="M2467" s="90"/>
      <c r="N2467" s="90"/>
      <c r="O2467" s="90"/>
      <c r="P2467" s="90"/>
    </row>
    <row r="2468" spans="1:16" ht="13.2">
      <c r="A2468" s="90"/>
      <c r="B2468" s="92"/>
      <c r="C2468" s="90"/>
      <c r="D2468" s="90"/>
      <c r="E2468" s="90"/>
      <c r="F2468" s="90"/>
      <c r="G2468" s="90"/>
      <c r="H2468" s="90"/>
      <c r="I2468" s="90"/>
      <c r="J2468" s="90"/>
      <c r="K2468" s="90"/>
      <c r="L2468" s="90"/>
      <c r="M2468" s="90"/>
      <c r="N2468" s="90"/>
      <c r="O2468" s="90"/>
      <c r="P2468" s="90"/>
    </row>
    <row r="2469" spans="1:16" ht="13.2">
      <c r="A2469" s="90"/>
      <c r="B2469" s="92"/>
      <c r="C2469" s="90"/>
      <c r="D2469" s="90"/>
      <c r="E2469" s="90"/>
      <c r="F2469" s="90"/>
      <c r="G2469" s="90"/>
      <c r="H2469" s="90"/>
      <c r="I2469" s="90"/>
      <c r="J2469" s="90"/>
      <c r="K2469" s="90"/>
      <c r="L2469" s="90"/>
      <c r="M2469" s="90"/>
      <c r="N2469" s="90"/>
      <c r="O2469" s="90"/>
      <c r="P2469" s="90"/>
    </row>
    <row r="2470" spans="1:16" ht="13.2">
      <c r="A2470" s="90"/>
      <c r="B2470" s="92"/>
      <c r="C2470" s="90"/>
      <c r="D2470" s="90"/>
      <c r="E2470" s="90"/>
      <c r="F2470" s="90"/>
      <c r="G2470" s="90"/>
      <c r="H2470" s="90"/>
      <c r="I2470" s="90"/>
      <c r="J2470" s="90"/>
      <c r="K2470" s="90"/>
      <c r="L2470" s="90"/>
      <c r="M2470" s="90"/>
      <c r="N2470" s="90"/>
      <c r="O2470" s="90"/>
      <c r="P2470" s="90"/>
    </row>
    <row r="2471" spans="1:16" ht="13.2">
      <c r="A2471" s="90"/>
      <c r="B2471" s="92"/>
      <c r="C2471" s="90"/>
      <c r="D2471" s="90"/>
      <c r="E2471" s="90"/>
      <c r="F2471" s="90"/>
      <c r="G2471" s="90"/>
      <c r="H2471" s="90"/>
      <c r="I2471" s="90"/>
      <c r="J2471" s="90"/>
      <c r="K2471" s="90"/>
      <c r="L2471" s="90"/>
      <c r="M2471" s="90"/>
      <c r="N2471" s="90"/>
      <c r="O2471" s="90"/>
      <c r="P2471" s="90"/>
    </row>
    <row r="2472" spans="1:16" ht="13.2">
      <c r="A2472" s="90"/>
      <c r="B2472" s="92"/>
      <c r="C2472" s="90"/>
      <c r="D2472" s="90"/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</row>
    <row r="2473" spans="1:16" ht="13.2">
      <c r="A2473" s="90"/>
      <c r="B2473" s="92"/>
      <c r="C2473" s="90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</row>
    <row r="2474" spans="1:16" ht="13.2">
      <c r="A2474" s="90"/>
      <c r="B2474" s="92"/>
      <c r="C2474" s="90"/>
      <c r="D2474" s="90"/>
      <c r="E2474" s="90"/>
      <c r="F2474" s="90"/>
      <c r="G2474" s="90"/>
      <c r="H2474" s="90"/>
      <c r="I2474" s="90"/>
      <c r="J2474" s="90"/>
      <c r="K2474" s="90"/>
      <c r="L2474" s="90"/>
      <c r="M2474" s="90"/>
      <c r="N2474" s="90"/>
      <c r="O2474" s="90"/>
      <c r="P2474" s="90"/>
    </row>
    <row r="2475" spans="1:16" ht="13.2">
      <c r="A2475" s="90"/>
      <c r="B2475" s="92"/>
      <c r="C2475" s="90"/>
      <c r="D2475" s="90"/>
      <c r="E2475" s="90"/>
      <c r="F2475" s="90"/>
      <c r="G2475" s="90"/>
      <c r="H2475" s="90"/>
      <c r="I2475" s="90"/>
      <c r="J2475" s="90"/>
      <c r="K2475" s="90"/>
      <c r="L2475" s="90"/>
      <c r="M2475" s="90"/>
      <c r="N2475" s="90"/>
      <c r="O2475" s="90"/>
      <c r="P2475" s="90"/>
    </row>
    <row r="2476" spans="1:16" ht="13.2">
      <c r="A2476" s="90"/>
      <c r="B2476" s="92"/>
      <c r="C2476" s="90"/>
      <c r="D2476" s="90"/>
      <c r="E2476" s="90"/>
      <c r="F2476" s="90"/>
      <c r="G2476" s="90"/>
      <c r="H2476" s="90"/>
      <c r="I2476" s="90"/>
      <c r="J2476" s="90"/>
      <c r="K2476" s="90"/>
      <c r="L2476" s="90"/>
      <c r="M2476" s="90"/>
      <c r="N2476" s="90"/>
      <c r="O2476" s="90"/>
      <c r="P2476" s="90"/>
    </row>
    <row r="2477" spans="1:16" ht="13.2">
      <c r="A2477" s="90"/>
      <c r="B2477" s="92"/>
      <c r="C2477" s="90"/>
      <c r="D2477" s="90"/>
      <c r="E2477" s="90"/>
      <c r="F2477" s="90"/>
      <c r="G2477" s="90"/>
      <c r="H2477" s="90"/>
      <c r="I2477" s="90"/>
      <c r="J2477" s="90"/>
      <c r="K2477" s="90"/>
      <c r="L2477" s="90"/>
      <c r="M2477" s="90"/>
      <c r="N2477" s="90"/>
      <c r="O2477" s="90"/>
      <c r="P2477" s="90"/>
    </row>
    <row r="2478" spans="1:16" ht="13.2">
      <c r="A2478" s="90"/>
      <c r="B2478" s="92"/>
      <c r="C2478" s="90"/>
      <c r="D2478" s="90"/>
      <c r="E2478" s="90"/>
      <c r="F2478" s="90"/>
      <c r="G2478" s="90"/>
      <c r="H2478" s="90"/>
      <c r="I2478" s="90"/>
      <c r="J2478" s="90"/>
      <c r="K2478" s="90"/>
      <c r="L2478" s="90"/>
      <c r="M2478" s="90"/>
      <c r="N2478" s="90"/>
      <c r="O2478" s="90"/>
      <c r="P2478" s="90"/>
    </row>
    <row r="2479" spans="1:16" ht="13.2">
      <c r="A2479" s="90"/>
      <c r="B2479" s="92"/>
      <c r="C2479" s="90"/>
      <c r="D2479" s="90"/>
      <c r="E2479" s="90"/>
      <c r="F2479" s="90"/>
      <c r="G2479" s="90"/>
      <c r="H2479" s="90"/>
      <c r="I2479" s="90"/>
      <c r="J2479" s="90"/>
      <c r="K2479" s="90"/>
      <c r="L2479" s="90"/>
      <c r="M2479" s="90"/>
      <c r="N2479" s="90"/>
      <c r="O2479" s="90"/>
      <c r="P2479" s="90"/>
    </row>
    <row r="2480" spans="1:16" ht="13.2">
      <c r="A2480" s="90"/>
      <c r="B2480" s="92"/>
      <c r="C2480" s="90"/>
      <c r="D2480" s="90"/>
      <c r="E2480" s="90"/>
      <c r="F2480" s="90"/>
      <c r="G2480" s="90"/>
      <c r="H2480" s="90"/>
      <c r="I2480" s="90"/>
      <c r="J2480" s="90"/>
      <c r="K2480" s="90"/>
      <c r="L2480" s="90"/>
      <c r="M2480" s="90"/>
      <c r="N2480" s="90"/>
      <c r="O2480" s="90"/>
      <c r="P2480" s="90"/>
    </row>
    <row r="2481" spans="1:16" ht="13.2">
      <c r="A2481" s="90"/>
      <c r="B2481" s="92"/>
      <c r="C2481" s="90"/>
      <c r="D2481" s="90"/>
      <c r="E2481" s="90"/>
      <c r="F2481" s="90"/>
      <c r="G2481" s="90"/>
      <c r="H2481" s="90"/>
      <c r="I2481" s="90"/>
      <c r="J2481" s="90"/>
      <c r="K2481" s="90"/>
      <c r="L2481" s="90"/>
      <c r="M2481" s="90"/>
      <c r="N2481" s="90"/>
      <c r="O2481" s="90"/>
      <c r="P2481" s="90"/>
    </row>
    <row r="2482" spans="1:16" ht="13.2">
      <c r="A2482" s="90"/>
      <c r="B2482" s="92"/>
      <c r="C2482" s="90"/>
      <c r="D2482" s="90"/>
      <c r="E2482" s="90"/>
      <c r="F2482" s="90"/>
      <c r="G2482" s="90"/>
      <c r="H2482" s="90"/>
      <c r="I2482" s="90"/>
      <c r="J2482" s="90"/>
      <c r="K2482" s="90"/>
      <c r="L2482" s="90"/>
      <c r="M2482" s="90"/>
      <c r="N2482" s="90"/>
      <c r="O2482" s="90"/>
      <c r="P2482" s="90"/>
    </row>
    <row r="2483" spans="1:16" ht="13.2">
      <c r="A2483" s="90"/>
      <c r="B2483" s="92"/>
      <c r="C2483" s="90"/>
      <c r="D2483" s="90"/>
      <c r="E2483" s="90"/>
      <c r="F2483" s="90"/>
      <c r="G2483" s="90"/>
      <c r="H2483" s="90"/>
      <c r="I2483" s="90"/>
      <c r="J2483" s="90"/>
      <c r="K2483" s="90"/>
      <c r="L2483" s="90"/>
      <c r="M2483" s="90"/>
      <c r="N2483" s="90"/>
      <c r="O2483" s="90"/>
      <c r="P2483" s="90"/>
    </row>
    <row r="2484" spans="1:16" ht="13.2">
      <c r="A2484" s="90"/>
      <c r="B2484" s="92"/>
      <c r="C2484" s="90"/>
      <c r="D2484" s="90"/>
      <c r="E2484" s="90"/>
      <c r="F2484" s="90"/>
      <c r="G2484" s="90"/>
      <c r="H2484" s="90"/>
      <c r="I2484" s="90"/>
      <c r="J2484" s="90"/>
      <c r="K2484" s="90"/>
      <c r="L2484" s="90"/>
      <c r="M2484" s="90"/>
      <c r="N2484" s="90"/>
      <c r="O2484" s="90"/>
      <c r="P2484" s="90"/>
    </row>
    <row r="2485" spans="1:16" ht="13.2">
      <c r="A2485" s="90"/>
      <c r="B2485" s="92"/>
      <c r="C2485" s="90"/>
      <c r="D2485" s="90"/>
      <c r="E2485" s="90"/>
      <c r="F2485" s="90"/>
      <c r="G2485" s="90"/>
      <c r="H2485" s="90"/>
      <c r="I2485" s="90"/>
      <c r="J2485" s="90"/>
      <c r="K2485" s="90"/>
      <c r="L2485" s="90"/>
      <c r="M2485" s="90"/>
      <c r="N2485" s="90"/>
      <c r="O2485" s="90"/>
      <c r="P2485" s="90"/>
    </row>
    <row r="2486" spans="1:16" ht="13.2">
      <c r="A2486" s="90"/>
      <c r="B2486" s="92"/>
      <c r="C2486" s="90"/>
      <c r="D2486" s="90"/>
      <c r="E2486" s="90"/>
      <c r="F2486" s="90"/>
      <c r="G2486" s="90"/>
      <c r="H2486" s="90"/>
      <c r="I2486" s="90"/>
      <c r="J2486" s="90"/>
      <c r="K2486" s="90"/>
      <c r="L2486" s="90"/>
      <c r="M2486" s="90"/>
      <c r="N2486" s="90"/>
      <c r="O2486" s="90"/>
      <c r="P2486" s="90"/>
    </row>
    <row r="2487" spans="1:16" ht="13.2">
      <c r="A2487" s="90"/>
      <c r="B2487" s="92"/>
      <c r="C2487" s="90"/>
      <c r="D2487" s="90"/>
      <c r="E2487" s="90"/>
      <c r="F2487" s="90"/>
      <c r="G2487" s="90"/>
      <c r="H2487" s="90"/>
      <c r="I2487" s="90"/>
      <c r="J2487" s="90"/>
      <c r="K2487" s="90"/>
      <c r="L2487" s="90"/>
      <c r="M2487" s="90"/>
      <c r="N2487" s="90"/>
      <c r="O2487" s="90"/>
      <c r="P2487" s="90"/>
    </row>
    <row r="2488" spans="1:16" ht="13.2">
      <c r="A2488" s="90"/>
      <c r="B2488" s="92"/>
      <c r="C2488" s="90"/>
      <c r="D2488" s="90"/>
      <c r="E2488" s="90"/>
      <c r="F2488" s="90"/>
      <c r="G2488" s="90"/>
      <c r="H2488" s="90"/>
      <c r="I2488" s="90"/>
      <c r="J2488" s="90"/>
      <c r="K2488" s="90"/>
      <c r="L2488" s="90"/>
      <c r="M2488" s="90"/>
      <c r="N2488" s="90"/>
      <c r="O2488" s="90"/>
      <c r="P2488" s="90"/>
    </row>
    <row r="2489" spans="1:16" ht="13.2">
      <c r="A2489" s="90"/>
      <c r="B2489" s="92"/>
      <c r="C2489" s="90"/>
      <c r="D2489" s="90"/>
      <c r="E2489" s="90"/>
      <c r="F2489" s="90"/>
      <c r="G2489" s="90"/>
      <c r="H2489" s="90"/>
      <c r="I2489" s="90"/>
      <c r="J2489" s="90"/>
      <c r="K2489" s="90"/>
      <c r="L2489" s="90"/>
      <c r="M2489" s="90"/>
      <c r="N2489" s="90"/>
      <c r="O2489" s="90"/>
      <c r="P2489" s="90"/>
    </row>
    <row r="2490" spans="1:16" ht="13.2">
      <c r="A2490" s="90"/>
      <c r="B2490" s="92"/>
      <c r="C2490" s="90"/>
      <c r="D2490" s="90"/>
      <c r="E2490" s="90"/>
      <c r="F2490" s="90"/>
      <c r="G2490" s="90"/>
      <c r="H2490" s="90"/>
      <c r="I2490" s="90"/>
      <c r="J2490" s="90"/>
      <c r="K2490" s="90"/>
      <c r="L2490" s="90"/>
      <c r="M2490" s="90"/>
      <c r="N2490" s="90"/>
      <c r="O2490" s="90"/>
      <c r="P2490" s="90"/>
    </row>
    <row r="2491" spans="1:16" ht="13.2">
      <c r="A2491" s="90"/>
      <c r="B2491" s="92"/>
      <c r="C2491" s="90"/>
      <c r="D2491" s="90"/>
      <c r="E2491" s="90"/>
      <c r="F2491" s="90"/>
      <c r="G2491" s="90"/>
      <c r="H2491" s="90"/>
      <c r="I2491" s="90"/>
      <c r="J2491" s="90"/>
      <c r="K2491" s="90"/>
      <c r="L2491" s="90"/>
      <c r="M2491" s="90"/>
      <c r="N2491" s="90"/>
      <c r="O2491" s="90"/>
      <c r="P2491" s="90"/>
    </row>
    <row r="2492" spans="1:16" ht="13.2">
      <c r="A2492" s="90"/>
      <c r="B2492" s="92"/>
      <c r="C2492" s="90"/>
      <c r="D2492" s="90"/>
      <c r="E2492" s="90"/>
      <c r="F2492" s="90"/>
      <c r="G2492" s="90"/>
      <c r="H2492" s="90"/>
      <c r="I2492" s="90"/>
      <c r="J2492" s="90"/>
      <c r="K2492" s="90"/>
      <c r="L2492" s="90"/>
      <c r="M2492" s="90"/>
      <c r="N2492" s="90"/>
      <c r="O2492" s="90"/>
      <c r="P2492" s="90"/>
    </row>
    <row r="2493" spans="1:16" ht="13.2">
      <c r="A2493" s="90"/>
      <c r="B2493" s="92"/>
      <c r="C2493" s="90"/>
      <c r="D2493" s="90"/>
      <c r="E2493" s="90"/>
      <c r="F2493" s="90"/>
      <c r="G2493" s="90"/>
      <c r="H2493" s="90"/>
      <c r="I2493" s="90"/>
      <c r="J2493" s="90"/>
      <c r="K2493" s="90"/>
      <c r="L2493" s="90"/>
      <c r="M2493" s="90"/>
      <c r="N2493" s="90"/>
      <c r="O2493" s="90"/>
      <c r="P2493" s="90"/>
    </row>
    <row r="2494" spans="1:16" ht="13.2">
      <c r="A2494" s="90"/>
      <c r="B2494" s="92"/>
      <c r="C2494" s="90"/>
      <c r="D2494" s="90"/>
      <c r="E2494" s="90"/>
      <c r="F2494" s="90"/>
      <c r="G2494" s="90"/>
      <c r="H2494" s="90"/>
      <c r="I2494" s="90"/>
      <c r="J2494" s="90"/>
      <c r="K2494" s="90"/>
      <c r="L2494" s="90"/>
      <c r="M2494" s="90"/>
      <c r="N2494" s="90"/>
      <c r="O2494" s="90"/>
      <c r="P2494" s="90"/>
    </row>
    <row r="2495" spans="1:16" ht="13.2">
      <c r="A2495" s="90"/>
      <c r="B2495" s="92"/>
      <c r="C2495" s="90"/>
      <c r="D2495" s="90"/>
      <c r="E2495" s="90"/>
      <c r="F2495" s="90"/>
      <c r="G2495" s="90"/>
      <c r="H2495" s="90"/>
      <c r="I2495" s="90"/>
      <c r="J2495" s="90"/>
      <c r="K2495" s="90"/>
      <c r="L2495" s="90"/>
      <c r="M2495" s="90"/>
      <c r="N2495" s="90"/>
      <c r="O2495" s="90"/>
      <c r="P2495" s="90"/>
    </row>
    <row r="2496" spans="1:16" ht="13.2">
      <c r="A2496" s="90"/>
      <c r="B2496" s="92"/>
      <c r="C2496" s="90"/>
      <c r="D2496" s="90"/>
      <c r="E2496" s="90"/>
      <c r="F2496" s="90"/>
      <c r="G2496" s="90"/>
      <c r="H2496" s="90"/>
      <c r="I2496" s="90"/>
      <c r="J2496" s="90"/>
      <c r="K2496" s="90"/>
      <c r="L2496" s="90"/>
      <c r="M2496" s="90"/>
      <c r="N2496" s="90"/>
      <c r="O2496" s="90"/>
      <c r="P2496" s="90"/>
    </row>
    <row r="2497" spans="1:16" ht="13.2">
      <c r="A2497" s="90"/>
      <c r="B2497" s="92"/>
      <c r="C2497" s="90"/>
      <c r="D2497" s="90"/>
      <c r="E2497" s="90"/>
      <c r="F2497" s="90"/>
      <c r="G2497" s="90"/>
      <c r="H2497" s="90"/>
      <c r="I2497" s="90"/>
      <c r="J2497" s="90"/>
      <c r="K2497" s="90"/>
      <c r="L2497" s="90"/>
      <c r="M2497" s="90"/>
      <c r="N2497" s="90"/>
      <c r="O2497" s="90"/>
      <c r="P2497" s="90"/>
    </row>
    <row r="2498" spans="1:16" ht="13.2">
      <c r="A2498" s="90"/>
      <c r="B2498" s="92"/>
      <c r="C2498" s="90"/>
      <c r="D2498" s="90"/>
      <c r="E2498" s="90"/>
      <c r="F2498" s="90"/>
      <c r="G2498" s="90"/>
      <c r="H2498" s="90"/>
      <c r="I2498" s="90"/>
      <c r="J2498" s="90"/>
      <c r="K2498" s="90"/>
      <c r="L2498" s="90"/>
      <c r="M2498" s="90"/>
      <c r="N2498" s="90"/>
      <c r="O2498" s="90"/>
      <c r="P2498" s="90"/>
    </row>
    <row r="2499" spans="1:16" ht="13.2">
      <c r="A2499" s="90"/>
      <c r="B2499" s="92"/>
      <c r="C2499" s="90"/>
      <c r="D2499" s="90"/>
      <c r="E2499" s="90"/>
      <c r="F2499" s="90"/>
      <c r="G2499" s="90"/>
      <c r="H2499" s="90"/>
      <c r="I2499" s="90"/>
      <c r="J2499" s="90"/>
      <c r="K2499" s="90"/>
      <c r="L2499" s="90"/>
      <c r="M2499" s="90"/>
      <c r="N2499" s="90"/>
      <c r="O2499" s="90"/>
      <c r="P2499" s="90"/>
    </row>
    <row r="2500" spans="1:16" ht="13.2">
      <c r="A2500" s="90"/>
      <c r="B2500" s="92"/>
      <c r="C2500" s="90"/>
      <c r="D2500" s="90"/>
      <c r="E2500" s="90"/>
      <c r="F2500" s="90"/>
      <c r="G2500" s="90"/>
      <c r="H2500" s="90"/>
      <c r="I2500" s="90"/>
      <c r="J2500" s="90"/>
      <c r="K2500" s="90"/>
      <c r="L2500" s="90"/>
      <c r="M2500" s="90"/>
      <c r="N2500" s="90"/>
      <c r="O2500" s="90"/>
      <c r="P2500" s="90"/>
    </row>
    <row r="2501" spans="1:16" ht="13.2">
      <c r="A2501" s="90"/>
      <c r="B2501" s="92"/>
      <c r="C2501" s="90"/>
      <c r="D2501" s="90"/>
      <c r="E2501" s="90"/>
      <c r="F2501" s="90"/>
      <c r="G2501" s="90"/>
      <c r="H2501" s="90"/>
      <c r="I2501" s="90"/>
      <c r="J2501" s="90"/>
      <c r="K2501" s="90"/>
      <c r="L2501" s="90"/>
      <c r="M2501" s="90"/>
      <c r="N2501" s="90"/>
      <c r="O2501" s="90"/>
      <c r="P2501" s="90"/>
    </row>
    <row r="2502" spans="1:16" ht="13.2">
      <c r="A2502" s="90"/>
      <c r="B2502" s="92"/>
      <c r="C2502" s="90"/>
      <c r="D2502" s="90"/>
      <c r="E2502" s="90"/>
      <c r="F2502" s="90"/>
      <c r="G2502" s="90"/>
      <c r="H2502" s="90"/>
      <c r="I2502" s="90"/>
      <c r="J2502" s="90"/>
      <c r="K2502" s="90"/>
      <c r="L2502" s="90"/>
      <c r="M2502" s="90"/>
      <c r="N2502" s="90"/>
      <c r="O2502" s="90"/>
      <c r="P2502" s="90"/>
    </row>
    <row r="2503" spans="1:16" ht="13.2">
      <c r="A2503" s="90"/>
      <c r="B2503" s="92"/>
      <c r="C2503" s="90"/>
      <c r="D2503" s="90"/>
      <c r="E2503" s="90"/>
      <c r="F2503" s="90"/>
      <c r="G2503" s="90"/>
      <c r="H2503" s="90"/>
      <c r="I2503" s="90"/>
      <c r="J2503" s="90"/>
      <c r="K2503" s="90"/>
      <c r="L2503" s="90"/>
      <c r="M2503" s="90"/>
      <c r="N2503" s="90"/>
      <c r="O2503" s="90"/>
      <c r="P2503" s="90"/>
    </row>
    <row r="2504" spans="1:16" ht="13.2">
      <c r="A2504" s="90"/>
      <c r="B2504" s="92"/>
      <c r="C2504" s="90"/>
      <c r="D2504" s="90"/>
      <c r="E2504" s="90"/>
      <c r="F2504" s="90"/>
      <c r="G2504" s="90"/>
      <c r="H2504" s="90"/>
      <c r="I2504" s="90"/>
      <c r="J2504" s="90"/>
      <c r="K2504" s="90"/>
      <c r="L2504" s="90"/>
      <c r="M2504" s="90"/>
      <c r="N2504" s="90"/>
      <c r="O2504" s="90"/>
      <c r="P2504" s="90"/>
    </row>
    <row r="2505" spans="1:16" ht="13.2">
      <c r="A2505" s="90"/>
      <c r="B2505" s="92"/>
      <c r="C2505" s="90"/>
      <c r="D2505" s="90"/>
      <c r="E2505" s="90"/>
      <c r="F2505" s="90"/>
      <c r="G2505" s="90"/>
      <c r="H2505" s="90"/>
      <c r="I2505" s="90"/>
      <c r="J2505" s="90"/>
      <c r="K2505" s="90"/>
      <c r="L2505" s="90"/>
      <c r="M2505" s="90"/>
      <c r="N2505" s="90"/>
      <c r="O2505" s="90"/>
      <c r="P2505" s="90"/>
    </row>
    <row r="2506" spans="1:16" ht="13.2">
      <c r="A2506" s="90"/>
      <c r="B2506" s="92"/>
      <c r="C2506" s="90"/>
      <c r="D2506" s="90"/>
      <c r="E2506" s="90"/>
      <c r="F2506" s="90"/>
      <c r="G2506" s="90"/>
      <c r="H2506" s="90"/>
      <c r="I2506" s="90"/>
      <c r="J2506" s="90"/>
      <c r="K2506" s="90"/>
      <c r="L2506" s="90"/>
      <c r="M2506" s="90"/>
      <c r="N2506" s="90"/>
      <c r="O2506" s="90"/>
      <c r="P2506" s="90"/>
    </row>
    <row r="2507" spans="1:16" ht="13.2">
      <c r="A2507" s="90"/>
      <c r="B2507" s="92"/>
      <c r="C2507" s="90"/>
      <c r="D2507" s="90"/>
      <c r="E2507" s="90"/>
      <c r="F2507" s="90"/>
      <c r="G2507" s="90"/>
      <c r="H2507" s="90"/>
      <c r="I2507" s="90"/>
      <c r="J2507" s="90"/>
      <c r="K2507" s="90"/>
      <c r="L2507" s="90"/>
      <c r="M2507" s="90"/>
      <c r="N2507" s="90"/>
      <c r="O2507" s="90"/>
      <c r="P2507" s="90"/>
    </row>
    <row r="2508" spans="1:16" ht="13.2">
      <c r="A2508" s="90"/>
      <c r="B2508" s="92"/>
      <c r="C2508" s="90"/>
      <c r="D2508" s="90"/>
      <c r="E2508" s="90"/>
      <c r="F2508" s="90"/>
      <c r="G2508" s="90"/>
      <c r="H2508" s="90"/>
      <c r="I2508" s="90"/>
      <c r="J2508" s="90"/>
      <c r="K2508" s="90"/>
      <c r="L2508" s="90"/>
      <c r="M2508" s="90"/>
      <c r="N2508" s="90"/>
      <c r="O2508" s="90"/>
      <c r="P2508" s="90"/>
    </row>
    <row r="2509" spans="1:16" ht="13.2">
      <c r="A2509" s="90"/>
      <c r="B2509" s="92"/>
      <c r="C2509" s="90"/>
      <c r="D2509" s="90"/>
      <c r="E2509" s="90"/>
      <c r="F2509" s="90"/>
      <c r="G2509" s="90"/>
      <c r="H2509" s="90"/>
      <c r="I2509" s="90"/>
      <c r="J2509" s="90"/>
      <c r="K2509" s="90"/>
      <c r="L2509" s="90"/>
      <c r="M2509" s="90"/>
      <c r="N2509" s="90"/>
      <c r="O2509" s="90"/>
      <c r="P2509" s="90"/>
    </row>
    <row r="2510" spans="1:16" ht="13.2">
      <c r="A2510" s="90"/>
      <c r="B2510" s="92"/>
      <c r="C2510" s="90"/>
      <c r="D2510" s="90"/>
      <c r="E2510" s="90"/>
      <c r="F2510" s="90"/>
      <c r="G2510" s="90"/>
      <c r="H2510" s="90"/>
      <c r="I2510" s="90"/>
      <c r="J2510" s="90"/>
      <c r="K2510" s="90"/>
      <c r="L2510" s="90"/>
      <c r="M2510" s="90"/>
      <c r="N2510" s="90"/>
      <c r="O2510" s="90"/>
      <c r="P2510" s="90"/>
    </row>
    <row r="2511" spans="1:16" ht="13.2">
      <c r="A2511" s="90"/>
      <c r="B2511" s="92"/>
      <c r="C2511" s="90"/>
      <c r="D2511" s="90"/>
      <c r="E2511" s="90"/>
      <c r="F2511" s="90"/>
      <c r="G2511" s="90"/>
      <c r="H2511" s="90"/>
      <c r="I2511" s="90"/>
      <c r="J2511" s="90"/>
      <c r="K2511" s="90"/>
      <c r="L2511" s="90"/>
      <c r="M2511" s="90"/>
      <c r="N2511" s="90"/>
      <c r="O2511" s="90"/>
      <c r="P2511" s="90"/>
    </row>
    <row r="2512" spans="1:16" ht="13.2">
      <c r="A2512" s="90"/>
      <c r="B2512" s="92"/>
      <c r="C2512" s="90"/>
      <c r="D2512" s="90"/>
      <c r="E2512" s="90"/>
      <c r="F2512" s="90"/>
      <c r="G2512" s="90"/>
      <c r="H2512" s="90"/>
      <c r="I2512" s="90"/>
      <c r="J2512" s="90"/>
      <c r="K2512" s="90"/>
      <c r="L2512" s="90"/>
      <c r="M2512" s="90"/>
      <c r="N2512" s="90"/>
      <c r="O2512" s="90"/>
      <c r="P2512" s="90"/>
    </row>
    <row r="2513" spans="1:16" ht="13.2">
      <c r="A2513" s="90"/>
      <c r="B2513" s="92"/>
      <c r="C2513" s="90"/>
      <c r="D2513" s="90"/>
      <c r="E2513" s="90"/>
      <c r="F2513" s="90"/>
      <c r="G2513" s="90"/>
      <c r="H2513" s="90"/>
      <c r="I2513" s="90"/>
      <c r="J2513" s="90"/>
      <c r="K2513" s="90"/>
      <c r="L2513" s="90"/>
      <c r="M2513" s="90"/>
      <c r="N2513" s="90"/>
      <c r="O2513" s="90"/>
      <c r="P2513" s="90"/>
    </row>
    <row r="2514" spans="1:16" ht="13.2">
      <c r="A2514" s="90"/>
      <c r="B2514" s="92"/>
      <c r="C2514" s="90"/>
      <c r="D2514" s="90"/>
      <c r="E2514" s="90"/>
      <c r="F2514" s="90"/>
      <c r="G2514" s="90"/>
      <c r="H2514" s="90"/>
      <c r="I2514" s="90"/>
      <c r="J2514" s="90"/>
      <c r="K2514" s="90"/>
      <c r="L2514" s="90"/>
      <c r="M2514" s="90"/>
      <c r="N2514" s="90"/>
      <c r="O2514" s="90"/>
      <c r="P2514" s="90"/>
    </row>
    <row r="2515" spans="1:16" ht="13.2">
      <c r="A2515" s="90"/>
      <c r="B2515" s="92"/>
      <c r="C2515" s="90"/>
      <c r="D2515" s="90"/>
      <c r="E2515" s="90"/>
      <c r="F2515" s="90"/>
      <c r="G2515" s="90"/>
      <c r="H2515" s="90"/>
      <c r="I2515" s="90"/>
      <c r="J2515" s="90"/>
      <c r="K2515" s="90"/>
      <c r="L2515" s="90"/>
      <c r="M2515" s="90"/>
      <c r="N2515" s="90"/>
      <c r="O2515" s="90"/>
      <c r="P2515" s="90"/>
    </row>
    <row r="2516" spans="1:16" ht="13.2">
      <c r="A2516" s="90"/>
      <c r="B2516" s="92"/>
      <c r="C2516" s="90"/>
      <c r="D2516" s="90"/>
      <c r="E2516" s="90"/>
      <c r="F2516" s="90"/>
      <c r="G2516" s="90"/>
      <c r="H2516" s="90"/>
      <c r="I2516" s="90"/>
      <c r="J2516" s="90"/>
      <c r="K2516" s="90"/>
      <c r="L2516" s="90"/>
      <c r="M2516" s="90"/>
      <c r="N2516" s="90"/>
      <c r="O2516" s="90"/>
      <c r="P2516" s="90"/>
    </row>
    <row r="2517" spans="1:16" ht="13.2">
      <c r="A2517" s="90"/>
      <c r="B2517" s="92"/>
      <c r="C2517" s="90"/>
      <c r="D2517" s="90"/>
      <c r="E2517" s="90"/>
      <c r="F2517" s="90"/>
      <c r="G2517" s="90"/>
      <c r="H2517" s="90"/>
      <c r="I2517" s="90"/>
      <c r="J2517" s="90"/>
      <c r="K2517" s="90"/>
      <c r="L2517" s="90"/>
      <c r="M2517" s="90"/>
      <c r="N2517" s="90"/>
      <c r="O2517" s="90"/>
      <c r="P2517" s="90"/>
    </row>
    <row r="2518" spans="1:16" ht="13.2">
      <c r="A2518" s="90"/>
      <c r="B2518" s="92"/>
      <c r="C2518" s="90"/>
      <c r="D2518" s="90"/>
      <c r="E2518" s="90"/>
      <c r="F2518" s="90"/>
      <c r="G2518" s="90"/>
      <c r="H2518" s="90"/>
      <c r="I2518" s="90"/>
      <c r="J2518" s="90"/>
      <c r="K2518" s="90"/>
      <c r="L2518" s="90"/>
      <c r="M2518" s="90"/>
      <c r="N2518" s="90"/>
      <c r="O2518" s="90"/>
      <c r="P2518" s="90"/>
    </row>
    <row r="2519" spans="1:16" ht="13.2">
      <c r="A2519" s="90"/>
      <c r="B2519" s="92"/>
      <c r="C2519" s="90"/>
      <c r="D2519" s="90"/>
      <c r="E2519" s="90"/>
      <c r="F2519" s="90"/>
      <c r="G2519" s="90"/>
      <c r="H2519" s="90"/>
      <c r="I2519" s="90"/>
      <c r="J2519" s="90"/>
      <c r="K2519" s="90"/>
      <c r="L2519" s="90"/>
      <c r="M2519" s="90"/>
      <c r="N2519" s="90"/>
      <c r="O2519" s="90"/>
      <c r="P2519" s="90"/>
    </row>
    <row r="2520" spans="1:16" ht="13.2">
      <c r="A2520" s="90"/>
      <c r="B2520" s="92"/>
      <c r="C2520" s="90"/>
      <c r="D2520" s="90"/>
      <c r="E2520" s="90"/>
      <c r="F2520" s="90"/>
      <c r="G2520" s="90"/>
      <c r="H2520" s="90"/>
      <c r="I2520" s="90"/>
      <c r="J2520" s="90"/>
      <c r="K2520" s="90"/>
      <c r="L2520" s="90"/>
      <c r="M2520" s="90"/>
      <c r="N2520" s="90"/>
      <c r="O2520" s="90"/>
      <c r="P2520" s="90"/>
    </row>
    <row r="2521" spans="1:16" ht="13.2">
      <c r="A2521" s="90"/>
      <c r="B2521" s="92"/>
      <c r="C2521" s="90"/>
      <c r="D2521" s="90"/>
      <c r="E2521" s="90"/>
      <c r="F2521" s="90"/>
      <c r="G2521" s="90"/>
      <c r="H2521" s="90"/>
      <c r="I2521" s="90"/>
      <c r="J2521" s="90"/>
      <c r="K2521" s="90"/>
      <c r="L2521" s="90"/>
      <c r="M2521" s="90"/>
      <c r="N2521" s="90"/>
      <c r="O2521" s="90"/>
      <c r="P2521" s="90"/>
    </row>
    <row r="2522" spans="1:16" ht="13.2">
      <c r="A2522" s="90"/>
      <c r="B2522" s="92"/>
      <c r="C2522" s="90"/>
      <c r="D2522" s="90"/>
      <c r="E2522" s="90"/>
      <c r="F2522" s="90"/>
      <c r="G2522" s="90"/>
      <c r="H2522" s="90"/>
      <c r="I2522" s="90"/>
      <c r="J2522" s="90"/>
      <c r="K2522" s="90"/>
      <c r="L2522" s="90"/>
      <c r="M2522" s="90"/>
      <c r="N2522" s="90"/>
      <c r="O2522" s="90"/>
      <c r="P2522" s="90"/>
    </row>
    <row r="2523" spans="1:16" ht="13.2">
      <c r="A2523" s="90"/>
      <c r="B2523" s="92"/>
      <c r="C2523" s="90"/>
      <c r="D2523" s="90"/>
      <c r="E2523" s="90"/>
      <c r="F2523" s="90"/>
      <c r="G2523" s="90"/>
      <c r="H2523" s="90"/>
      <c r="I2523" s="90"/>
      <c r="J2523" s="90"/>
      <c r="K2523" s="90"/>
      <c r="L2523" s="90"/>
      <c r="M2523" s="90"/>
      <c r="N2523" s="90"/>
      <c r="O2523" s="90"/>
      <c r="P2523" s="90"/>
    </row>
    <row r="2524" spans="1:16" ht="13.2">
      <c r="A2524" s="90"/>
      <c r="B2524" s="92"/>
      <c r="C2524" s="90"/>
      <c r="D2524" s="90"/>
      <c r="E2524" s="90"/>
      <c r="F2524" s="90"/>
      <c r="G2524" s="90"/>
      <c r="H2524" s="90"/>
      <c r="I2524" s="90"/>
      <c r="J2524" s="90"/>
      <c r="K2524" s="90"/>
      <c r="L2524" s="90"/>
      <c r="M2524" s="90"/>
      <c r="N2524" s="90"/>
      <c r="O2524" s="90"/>
      <c r="P2524" s="90"/>
    </row>
    <row r="2525" spans="1:16" ht="13.2">
      <c r="A2525" s="90"/>
      <c r="B2525" s="92"/>
      <c r="C2525" s="90"/>
      <c r="D2525" s="90"/>
      <c r="E2525" s="90"/>
      <c r="F2525" s="90"/>
      <c r="G2525" s="90"/>
      <c r="H2525" s="90"/>
      <c r="I2525" s="90"/>
      <c r="J2525" s="90"/>
      <c r="K2525" s="90"/>
      <c r="L2525" s="90"/>
      <c r="M2525" s="90"/>
      <c r="N2525" s="90"/>
      <c r="O2525" s="90"/>
      <c r="P2525" s="90"/>
    </row>
    <row r="2526" spans="1:16" ht="13.2">
      <c r="A2526" s="90"/>
      <c r="B2526" s="92"/>
      <c r="C2526" s="90"/>
      <c r="D2526" s="90"/>
      <c r="E2526" s="90"/>
      <c r="F2526" s="90"/>
      <c r="G2526" s="90"/>
      <c r="H2526" s="90"/>
      <c r="I2526" s="90"/>
      <c r="J2526" s="90"/>
      <c r="K2526" s="90"/>
      <c r="L2526" s="90"/>
      <c r="M2526" s="90"/>
      <c r="N2526" s="90"/>
      <c r="O2526" s="90"/>
      <c r="P2526" s="90"/>
    </row>
    <row r="2527" spans="1:16" ht="13.2">
      <c r="A2527" s="90"/>
      <c r="B2527" s="92"/>
      <c r="C2527" s="90"/>
      <c r="D2527" s="90"/>
      <c r="E2527" s="90"/>
      <c r="F2527" s="90"/>
      <c r="G2527" s="90"/>
      <c r="H2527" s="90"/>
      <c r="I2527" s="90"/>
      <c r="J2527" s="90"/>
      <c r="K2527" s="90"/>
      <c r="L2527" s="90"/>
      <c r="M2527" s="90"/>
      <c r="N2527" s="90"/>
      <c r="O2527" s="90"/>
      <c r="P2527" s="90"/>
    </row>
    <row r="2528" spans="1:16" ht="13.2">
      <c r="A2528" s="90"/>
      <c r="B2528" s="92"/>
      <c r="C2528" s="90"/>
      <c r="D2528" s="90"/>
      <c r="E2528" s="90"/>
      <c r="F2528" s="90"/>
      <c r="G2528" s="90"/>
      <c r="H2528" s="90"/>
      <c r="I2528" s="90"/>
      <c r="J2528" s="90"/>
      <c r="K2528" s="90"/>
      <c r="L2528" s="90"/>
      <c r="M2528" s="90"/>
      <c r="N2528" s="90"/>
      <c r="O2528" s="90"/>
      <c r="P2528" s="90"/>
    </row>
    <row r="2529" spans="1:16" ht="13.2">
      <c r="A2529" s="90"/>
      <c r="B2529" s="92"/>
      <c r="C2529" s="90"/>
      <c r="D2529" s="90"/>
      <c r="E2529" s="90"/>
      <c r="F2529" s="90"/>
      <c r="G2529" s="90"/>
      <c r="H2529" s="90"/>
      <c r="I2529" s="90"/>
      <c r="J2529" s="90"/>
      <c r="K2529" s="90"/>
      <c r="L2529" s="90"/>
      <c r="M2529" s="90"/>
      <c r="N2529" s="90"/>
      <c r="O2529" s="90"/>
      <c r="P2529" s="90"/>
    </row>
    <row r="2530" spans="1:16" ht="13.2">
      <c r="A2530" s="90"/>
      <c r="B2530" s="92"/>
      <c r="C2530" s="90"/>
      <c r="D2530" s="90"/>
      <c r="E2530" s="90"/>
      <c r="F2530" s="90"/>
      <c r="G2530" s="90"/>
      <c r="H2530" s="90"/>
      <c r="I2530" s="90"/>
      <c r="J2530" s="90"/>
      <c r="K2530" s="90"/>
      <c r="L2530" s="90"/>
      <c r="M2530" s="90"/>
      <c r="N2530" s="90"/>
      <c r="O2530" s="90"/>
      <c r="P2530" s="90"/>
    </row>
    <row r="2531" spans="1:16" ht="13.2">
      <c r="A2531" s="90"/>
      <c r="B2531" s="92"/>
      <c r="C2531" s="90"/>
      <c r="D2531" s="90"/>
      <c r="E2531" s="90"/>
      <c r="F2531" s="90"/>
      <c r="G2531" s="90"/>
      <c r="H2531" s="90"/>
      <c r="I2531" s="90"/>
      <c r="J2531" s="90"/>
      <c r="K2531" s="90"/>
      <c r="L2531" s="90"/>
      <c r="M2531" s="90"/>
      <c r="N2531" s="90"/>
      <c r="O2531" s="90"/>
      <c r="P2531" s="90"/>
    </row>
    <row r="2532" spans="1:16" ht="13.2">
      <c r="A2532" s="90"/>
      <c r="B2532" s="92"/>
      <c r="C2532" s="90"/>
      <c r="D2532" s="90"/>
      <c r="E2532" s="90"/>
      <c r="F2532" s="90"/>
      <c r="G2532" s="90"/>
      <c r="H2532" s="90"/>
      <c r="I2532" s="90"/>
      <c r="J2532" s="90"/>
      <c r="K2532" s="90"/>
      <c r="L2532" s="90"/>
      <c r="M2532" s="90"/>
      <c r="N2532" s="90"/>
      <c r="O2532" s="90"/>
      <c r="P2532" s="90"/>
    </row>
    <row r="2533" spans="1:16" ht="13.2">
      <c r="A2533" s="90"/>
      <c r="B2533" s="92"/>
      <c r="C2533" s="90"/>
      <c r="D2533" s="90"/>
      <c r="E2533" s="90"/>
      <c r="F2533" s="90"/>
      <c r="G2533" s="90"/>
      <c r="H2533" s="90"/>
      <c r="I2533" s="90"/>
      <c r="J2533" s="90"/>
      <c r="K2533" s="90"/>
      <c r="L2533" s="90"/>
      <c r="M2533" s="90"/>
      <c r="N2533" s="90"/>
      <c r="O2533" s="90"/>
      <c r="P2533" s="90"/>
    </row>
    <row r="2534" spans="1:16" ht="13.2">
      <c r="A2534" s="90"/>
      <c r="B2534" s="92"/>
      <c r="C2534" s="90"/>
      <c r="D2534" s="90"/>
      <c r="E2534" s="90"/>
      <c r="F2534" s="90"/>
      <c r="G2534" s="90"/>
      <c r="H2534" s="90"/>
      <c r="I2534" s="90"/>
      <c r="J2534" s="90"/>
      <c r="K2534" s="90"/>
      <c r="L2534" s="90"/>
      <c r="M2534" s="90"/>
      <c r="N2534" s="90"/>
      <c r="O2534" s="90"/>
      <c r="P2534" s="90"/>
    </row>
    <row r="2535" spans="1:16" ht="13.2">
      <c r="A2535" s="90"/>
      <c r="B2535" s="92"/>
      <c r="C2535" s="90"/>
      <c r="D2535" s="90"/>
      <c r="E2535" s="90"/>
      <c r="F2535" s="90"/>
      <c r="G2535" s="90"/>
      <c r="H2535" s="90"/>
      <c r="I2535" s="90"/>
      <c r="J2535" s="90"/>
      <c r="K2535" s="90"/>
      <c r="L2535" s="90"/>
      <c r="M2535" s="90"/>
      <c r="N2535" s="90"/>
      <c r="O2535" s="90"/>
      <c r="P2535" s="90"/>
    </row>
    <row r="2536" spans="1:16" ht="13.2">
      <c r="A2536" s="90"/>
      <c r="B2536" s="92"/>
      <c r="C2536" s="90"/>
      <c r="D2536" s="90"/>
      <c r="E2536" s="90"/>
      <c r="F2536" s="90"/>
      <c r="G2536" s="90"/>
      <c r="H2536" s="90"/>
      <c r="I2536" s="90"/>
      <c r="J2536" s="90"/>
      <c r="K2536" s="90"/>
      <c r="L2536" s="90"/>
      <c r="M2536" s="90"/>
      <c r="N2536" s="90"/>
      <c r="O2536" s="90"/>
      <c r="P2536" s="90"/>
    </row>
    <row r="2537" spans="1:16" ht="13.2">
      <c r="A2537" s="90"/>
      <c r="B2537" s="92"/>
      <c r="C2537" s="90"/>
      <c r="D2537" s="90"/>
      <c r="E2537" s="90"/>
      <c r="F2537" s="90"/>
      <c r="G2537" s="90"/>
      <c r="H2537" s="90"/>
      <c r="I2537" s="90"/>
      <c r="J2537" s="90"/>
      <c r="K2537" s="90"/>
      <c r="L2537" s="90"/>
      <c r="M2537" s="90"/>
      <c r="N2537" s="90"/>
      <c r="O2537" s="90"/>
      <c r="P2537" s="90"/>
    </row>
    <row r="2538" spans="1:16" ht="13.2">
      <c r="A2538" s="90"/>
      <c r="B2538" s="92"/>
      <c r="C2538" s="90"/>
      <c r="D2538" s="90"/>
      <c r="E2538" s="90"/>
      <c r="F2538" s="90"/>
      <c r="G2538" s="90"/>
      <c r="H2538" s="90"/>
      <c r="I2538" s="90"/>
      <c r="J2538" s="90"/>
      <c r="K2538" s="90"/>
      <c r="L2538" s="90"/>
      <c r="M2538" s="90"/>
      <c r="N2538" s="90"/>
      <c r="O2538" s="90"/>
      <c r="P2538" s="90"/>
    </row>
    <row r="2539" spans="1:16" ht="13.2">
      <c r="A2539" s="90"/>
      <c r="B2539" s="92"/>
      <c r="C2539" s="90"/>
      <c r="D2539" s="90"/>
      <c r="E2539" s="90"/>
      <c r="F2539" s="90"/>
      <c r="G2539" s="90"/>
      <c r="H2539" s="90"/>
      <c r="I2539" s="90"/>
      <c r="J2539" s="90"/>
      <c r="K2539" s="90"/>
      <c r="L2539" s="90"/>
      <c r="M2539" s="90"/>
      <c r="N2539" s="90"/>
      <c r="O2539" s="90"/>
      <c r="P2539" s="90"/>
    </row>
    <row r="2540" spans="1:16" ht="13.2">
      <c r="A2540" s="90"/>
      <c r="B2540" s="92"/>
      <c r="C2540" s="90"/>
      <c r="D2540" s="90"/>
      <c r="E2540" s="90"/>
      <c r="F2540" s="90"/>
      <c r="G2540" s="90"/>
      <c r="H2540" s="90"/>
      <c r="I2540" s="90"/>
      <c r="J2540" s="90"/>
      <c r="K2540" s="90"/>
      <c r="L2540" s="90"/>
      <c r="M2540" s="90"/>
      <c r="N2540" s="90"/>
      <c r="O2540" s="90"/>
      <c r="P2540" s="90"/>
    </row>
    <row r="2541" spans="1:16" ht="13.2">
      <c r="A2541" s="90"/>
      <c r="B2541" s="92"/>
      <c r="C2541" s="90"/>
      <c r="D2541" s="90"/>
      <c r="E2541" s="90"/>
      <c r="F2541" s="90"/>
      <c r="G2541" s="90"/>
      <c r="H2541" s="90"/>
      <c r="I2541" s="90"/>
      <c r="J2541" s="90"/>
      <c r="K2541" s="90"/>
      <c r="L2541" s="90"/>
      <c r="M2541" s="90"/>
      <c r="N2541" s="90"/>
      <c r="O2541" s="90"/>
      <c r="P2541" s="90"/>
    </row>
    <row r="2542" spans="1:16" ht="13.2">
      <c r="A2542" s="90"/>
      <c r="B2542" s="92"/>
      <c r="C2542" s="90"/>
      <c r="D2542" s="90"/>
      <c r="E2542" s="90"/>
      <c r="F2542" s="90"/>
      <c r="G2542" s="90"/>
      <c r="H2542" s="90"/>
      <c r="I2542" s="90"/>
      <c r="J2542" s="90"/>
      <c r="K2542" s="90"/>
      <c r="L2542" s="90"/>
      <c r="M2542" s="90"/>
      <c r="N2542" s="90"/>
      <c r="O2542" s="90"/>
      <c r="P2542" s="90"/>
    </row>
    <row r="2543" spans="1:16" ht="13.2">
      <c r="A2543" s="90"/>
      <c r="B2543" s="92"/>
      <c r="C2543" s="90"/>
      <c r="D2543" s="90"/>
      <c r="E2543" s="90"/>
      <c r="F2543" s="90"/>
      <c r="G2543" s="90"/>
      <c r="H2543" s="90"/>
      <c r="I2543" s="90"/>
      <c r="J2543" s="90"/>
      <c r="K2543" s="90"/>
      <c r="L2543" s="90"/>
      <c r="M2543" s="90"/>
      <c r="N2543" s="90"/>
      <c r="O2543" s="90"/>
      <c r="P2543" s="90"/>
    </row>
    <row r="2544" spans="1:16" ht="13.2">
      <c r="A2544" s="90"/>
      <c r="B2544" s="92"/>
      <c r="C2544" s="90"/>
      <c r="D2544" s="90"/>
      <c r="E2544" s="90"/>
      <c r="F2544" s="90"/>
      <c r="G2544" s="90"/>
      <c r="H2544" s="90"/>
      <c r="I2544" s="90"/>
      <c r="J2544" s="90"/>
      <c r="K2544" s="90"/>
      <c r="L2544" s="90"/>
      <c r="M2544" s="90"/>
      <c r="N2544" s="90"/>
      <c r="O2544" s="90"/>
      <c r="P2544" s="90"/>
    </row>
    <row r="2545" spans="1:16" ht="13.2">
      <c r="A2545" s="90"/>
      <c r="B2545" s="92"/>
      <c r="C2545" s="90"/>
      <c r="D2545" s="90"/>
      <c r="E2545" s="90"/>
      <c r="F2545" s="90"/>
      <c r="G2545" s="90"/>
      <c r="H2545" s="90"/>
      <c r="I2545" s="90"/>
      <c r="J2545" s="90"/>
      <c r="K2545" s="90"/>
      <c r="L2545" s="90"/>
      <c r="M2545" s="90"/>
      <c r="N2545" s="90"/>
      <c r="O2545" s="90"/>
      <c r="P2545" s="90"/>
    </row>
    <row r="2546" spans="1:16" ht="13.2">
      <c r="A2546" s="90"/>
      <c r="B2546" s="92"/>
      <c r="C2546" s="90"/>
      <c r="D2546" s="90"/>
      <c r="E2546" s="90"/>
      <c r="F2546" s="90"/>
      <c r="G2546" s="90"/>
      <c r="H2546" s="90"/>
      <c r="I2546" s="90"/>
      <c r="J2546" s="90"/>
      <c r="K2546" s="90"/>
      <c r="L2546" s="90"/>
      <c r="M2546" s="90"/>
      <c r="N2546" s="90"/>
      <c r="O2546" s="90"/>
      <c r="P2546" s="90"/>
    </row>
    <row r="2547" spans="1:16" ht="13.2">
      <c r="A2547" s="90"/>
      <c r="B2547" s="92"/>
      <c r="C2547" s="90"/>
      <c r="D2547" s="90"/>
      <c r="E2547" s="90"/>
      <c r="F2547" s="90"/>
      <c r="G2547" s="90"/>
      <c r="H2547" s="90"/>
      <c r="I2547" s="90"/>
      <c r="J2547" s="90"/>
      <c r="K2547" s="90"/>
      <c r="L2547" s="90"/>
      <c r="M2547" s="90"/>
      <c r="N2547" s="90"/>
      <c r="O2547" s="90"/>
      <c r="P2547" s="90"/>
    </row>
    <row r="2548" spans="1:16" ht="13.2">
      <c r="A2548" s="90"/>
      <c r="B2548" s="92"/>
      <c r="C2548" s="90"/>
      <c r="D2548" s="90"/>
      <c r="E2548" s="90"/>
      <c r="F2548" s="90"/>
      <c r="G2548" s="90"/>
      <c r="H2548" s="90"/>
      <c r="I2548" s="90"/>
      <c r="J2548" s="90"/>
      <c r="K2548" s="90"/>
      <c r="L2548" s="90"/>
      <c r="M2548" s="90"/>
      <c r="N2548" s="90"/>
      <c r="O2548" s="90"/>
      <c r="P2548" s="90"/>
    </row>
    <row r="2549" spans="1:16" ht="13.2">
      <c r="A2549" s="90"/>
      <c r="B2549" s="92"/>
      <c r="C2549" s="90"/>
      <c r="D2549" s="90"/>
      <c r="E2549" s="90"/>
      <c r="F2549" s="90"/>
      <c r="G2549" s="90"/>
      <c r="H2549" s="90"/>
      <c r="I2549" s="90"/>
      <c r="J2549" s="90"/>
      <c r="K2549" s="90"/>
      <c r="L2549" s="90"/>
      <c r="M2549" s="90"/>
      <c r="N2549" s="90"/>
      <c r="O2549" s="90"/>
      <c r="P2549" s="90"/>
    </row>
    <row r="2550" spans="1:16" ht="13.2">
      <c r="A2550" s="90"/>
      <c r="B2550" s="92"/>
      <c r="C2550" s="90"/>
      <c r="D2550" s="90"/>
      <c r="E2550" s="90"/>
      <c r="F2550" s="90"/>
      <c r="G2550" s="90"/>
      <c r="H2550" s="90"/>
      <c r="I2550" s="90"/>
      <c r="J2550" s="90"/>
      <c r="K2550" s="90"/>
      <c r="L2550" s="90"/>
      <c r="M2550" s="90"/>
      <c r="N2550" s="90"/>
      <c r="O2550" s="90"/>
      <c r="P2550" s="90"/>
    </row>
    <row r="2551" spans="1:16" ht="13.2">
      <c r="A2551" s="90"/>
      <c r="B2551" s="92"/>
      <c r="C2551" s="90"/>
      <c r="D2551" s="90"/>
      <c r="E2551" s="90"/>
      <c r="F2551" s="90"/>
      <c r="G2551" s="90"/>
      <c r="H2551" s="90"/>
      <c r="I2551" s="90"/>
      <c r="J2551" s="90"/>
      <c r="K2551" s="90"/>
      <c r="L2551" s="90"/>
      <c r="M2551" s="90"/>
      <c r="N2551" s="90"/>
      <c r="O2551" s="90"/>
      <c r="P2551" s="90"/>
    </row>
    <row r="2552" spans="1:16" ht="13.2">
      <c r="A2552" s="90"/>
      <c r="B2552" s="92"/>
      <c r="C2552" s="90"/>
      <c r="D2552" s="90"/>
      <c r="E2552" s="90"/>
      <c r="F2552" s="90"/>
      <c r="G2552" s="90"/>
      <c r="H2552" s="90"/>
      <c r="I2552" s="90"/>
      <c r="J2552" s="90"/>
      <c r="K2552" s="90"/>
      <c r="L2552" s="90"/>
      <c r="M2552" s="90"/>
      <c r="N2552" s="90"/>
      <c r="O2552" s="90"/>
      <c r="P2552" s="90"/>
    </row>
    <row r="2553" spans="1:16" ht="13.2">
      <c r="A2553" s="90"/>
      <c r="B2553" s="92"/>
      <c r="C2553" s="90"/>
      <c r="D2553" s="90"/>
      <c r="E2553" s="90"/>
      <c r="F2553" s="90"/>
      <c r="G2553" s="90"/>
      <c r="H2553" s="90"/>
      <c r="I2553" s="90"/>
      <c r="J2553" s="90"/>
      <c r="K2553" s="90"/>
      <c r="L2553" s="90"/>
      <c r="M2553" s="90"/>
      <c r="N2553" s="90"/>
      <c r="O2553" s="90"/>
      <c r="P2553" s="90"/>
    </row>
    <row r="2554" spans="1:16" ht="13.2">
      <c r="A2554" s="90"/>
      <c r="B2554" s="92"/>
      <c r="C2554" s="90"/>
      <c r="D2554" s="90"/>
      <c r="E2554" s="90"/>
      <c r="F2554" s="90"/>
      <c r="G2554" s="90"/>
      <c r="H2554" s="90"/>
      <c r="I2554" s="90"/>
      <c r="J2554" s="90"/>
      <c r="K2554" s="90"/>
      <c r="L2554" s="90"/>
      <c r="M2554" s="90"/>
      <c r="N2554" s="90"/>
      <c r="O2554" s="90"/>
      <c r="P2554" s="90"/>
    </row>
    <row r="2555" spans="1:16" ht="13.2">
      <c r="A2555" s="90"/>
      <c r="B2555" s="92"/>
      <c r="C2555" s="90"/>
      <c r="D2555" s="90"/>
      <c r="E2555" s="90"/>
      <c r="F2555" s="90"/>
      <c r="G2555" s="90"/>
      <c r="H2555" s="90"/>
      <c r="I2555" s="90"/>
      <c r="J2555" s="90"/>
      <c r="K2555" s="90"/>
      <c r="L2555" s="90"/>
      <c r="M2555" s="90"/>
      <c r="N2555" s="90"/>
      <c r="O2555" s="90"/>
      <c r="P2555" s="9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2.21875" customWidth="1"/>
    <col min="2" max="2" width="10.88671875" customWidth="1"/>
    <col min="3" max="3" width="11.21875" customWidth="1"/>
    <col min="4" max="4" width="11.77734375" customWidth="1"/>
    <col min="5" max="5" width="5.6640625" customWidth="1"/>
    <col min="6" max="6" width="36.88671875" customWidth="1"/>
    <col min="7" max="7" width="39.21875" customWidth="1"/>
    <col min="8" max="8" width="18" customWidth="1"/>
    <col min="9" max="9" width="45.21875" customWidth="1"/>
    <col min="10" max="10" width="18" customWidth="1"/>
  </cols>
  <sheetData>
    <row r="1" spans="1:10">
      <c r="A1" s="72" t="s">
        <v>2</v>
      </c>
      <c r="B1" s="72" t="s">
        <v>3</v>
      </c>
      <c r="C1" s="73" t="s">
        <v>33</v>
      </c>
      <c r="D1" s="72" t="s">
        <v>11</v>
      </c>
      <c r="E1" s="73" t="s">
        <v>8</v>
      </c>
      <c r="F1" s="73" t="s">
        <v>1456</v>
      </c>
      <c r="G1" s="73" t="s">
        <v>1457</v>
      </c>
      <c r="H1" s="73" t="s">
        <v>1458</v>
      </c>
      <c r="I1" s="73" t="s">
        <v>1459</v>
      </c>
      <c r="J1" s="73" t="s">
        <v>1460</v>
      </c>
    </row>
    <row r="2" spans="1:10">
      <c r="A2" s="94" t="s">
        <v>529</v>
      </c>
      <c r="B2" s="77"/>
      <c r="C2" s="77"/>
      <c r="D2" s="77"/>
      <c r="E2" s="77"/>
      <c r="F2" s="44" t="s">
        <v>1461</v>
      </c>
      <c r="G2" s="44" t="s">
        <v>1462</v>
      </c>
      <c r="H2" s="44">
        <v>8999</v>
      </c>
      <c r="I2" s="44" t="s">
        <v>1463</v>
      </c>
      <c r="J2" s="44">
        <v>16999</v>
      </c>
    </row>
    <row r="3" spans="1:10">
      <c r="A3" s="94" t="s">
        <v>556</v>
      </c>
      <c r="B3" s="77"/>
      <c r="C3" s="77"/>
      <c r="D3" s="77"/>
      <c r="E3" s="77"/>
      <c r="F3" s="44" t="s">
        <v>1461</v>
      </c>
      <c r="G3" s="44" t="s">
        <v>1462</v>
      </c>
      <c r="H3" s="44">
        <v>9999</v>
      </c>
      <c r="I3" s="44" t="s">
        <v>1463</v>
      </c>
      <c r="J3" s="44">
        <v>18999</v>
      </c>
    </row>
    <row r="4" spans="1:10">
      <c r="A4" s="77" t="s">
        <v>573</v>
      </c>
      <c r="B4" s="77"/>
      <c r="C4" s="77"/>
      <c r="D4" s="77"/>
      <c r="E4" s="77"/>
      <c r="F4" s="44" t="s">
        <v>1461</v>
      </c>
      <c r="G4" s="44" t="s">
        <v>1462</v>
      </c>
      <c r="H4" s="44">
        <v>10999</v>
      </c>
      <c r="I4" s="44" t="s">
        <v>1463</v>
      </c>
      <c r="J4" s="44">
        <v>19999</v>
      </c>
    </row>
    <row r="5" spans="1:10">
      <c r="A5" s="77" t="s">
        <v>656</v>
      </c>
      <c r="B5" s="77"/>
      <c r="C5" s="77"/>
      <c r="D5" s="77"/>
      <c r="E5" s="77"/>
      <c r="F5" s="44" t="s">
        <v>1461</v>
      </c>
      <c r="G5" s="44" t="s">
        <v>1464</v>
      </c>
      <c r="H5" s="44">
        <v>12979</v>
      </c>
      <c r="I5" s="44" t="s">
        <v>1465</v>
      </c>
      <c r="J5" s="44">
        <v>18171</v>
      </c>
    </row>
    <row r="6" spans="1:10">
      <c r="A6" s="77" t="s">
        <v>51</v>
      </c>
      <c r="B6" s="77"/>
      <c r="C6" s="77"/>
      <c r="D6" s="77"/>
      <c r="E6" s="77"/>
      <c r="F6" s="44" t="s">
        <v>1461</v>
      </c>
      <c r="G6" s="44" t="s">
        <v>1462</v>
      </c>
      <c r="H6" s="44">
        <v>17999</v>
      </c>
      <c r="I6" s="44" t="s">
        <v>1463</v>
      </c>
      <c r="J6" s="44">
        <v>32999</v>
      </c>
    </row>
    <row r="7" spans="1:10">
      <c r="A7" s="77" t="s">
        <v>328</v>
      </c>
      <c r="B7" s="77"/>
      <c r="C7" s="44"/>
      <c r="D7" s="44" t="s">
        <v>1466</v>
      </c>
      <c r="E7" s="44" t="s">
        <v>1467</v>
      </c>
      <c r="F7" s="44" t="s">
        <v>1461</v>
      </c>
      <c r="G7" s="44" t="s">
        <v>1464</v>
      </c>
      <c r="H7" s="44">
        <v>19999</v>
      </c>
      <c r="I7" s="44" t="s">
        <v>1465</v>
      </c>
      <c r="J7" s="44">
        <v>35999</v>
      </c>
    </row>
    <row r="8" spans="1:10">
      <c r="A8" s="77" t="s">
        <v>328</v>
      </c>
      <c r="B8" s="77"/>
      <c r="C8" s="44"/>
      <c r="D8" s="44" t="s">
        <v>1468</v>
      </c>
      <c r="E8" s="44" t="s">
        <v>1467</v>
      </c>
      <c r="F8" s="44" t="s">
        <v>1461</v>
      </c>
      <c r="G8" s="44" t="s">
        <v>1464</v>
      </c>
      <c r="H8" s="44">
        <v>23999</v>
      </c>
      <c r="I8" s="44" t="s">
        <v>1465</v>
      </c>
      <c r="J8" s="44">
        <v>41999</v>
      </c>
    </row>
    <row r="9" spans="1:10">
      <c r="A9" s="77" t="s">
        <v>328</v>
      </c>
      <c r="B9" s="77"/>
      <c r="C9" s="44"/>
      <c r="D9" s="44" t="s">
        <v>1466</v>
      </c>
      <c r="E9" s="44" t="s">
        <v>1469</v>
      </c>
      <c r="F9" s="44" t="s">
        <v>1461</v>
      </c>
      <c r="G9" s="44" t="s">
        <v>1464</v>
      </c>
      <c r="H9" s="44">
        <v>20999</v>
      </c>
      <c r="I9" s="44" t="s">
        <v>1465</v>
      </c>
      <c r="J9" s="44">
        <v>39999</v>
      </c>
    </row>
    <row r="10" spans="1:10">
      <c r="A10" s="77" t="s">
        <v>328</v>
      </c>
      <c r="B10" s="77"/>
      <c r="C10" s="44"/>
      <c r="D10" s="44" t="s">
        <v>1468</v>
      </c>
      <c r="E10" s="44" t="s">
        <v>1469</v>
      </c>
      <c r="F10" s="44" t="s">
        <v>1461</v>
      </c>
      <c r="G10" s="44" t="s">
        <v>1464</v>
      </c>
      <c r="H10" s="44">
        <v>24999</v>
      </c>
      <c r="I10" s="44" t="s">
        <v>1465</v>
      </c>
      <c r="J10" s="44">
        <v>49999</v>
      </c>
    </row>
    <row r="11" spans="1:10">
      <c r="A11" s="77" t="s">
        <v>593</v>
      </c>
      <c r="B11" s="77"/>
      <c r="C11" s="77"/>
      <c r="D11" s="77"/>
      <c r="E11" s="44" t="s">
        <v>1467</v>
      </c>
      <c r="F11" s="44" t="s">
        <v>1461</v>
      </c>
      <c r="G11" s="44" t="s">
        <v>1464</v>
      </c>
      <c r="H11" s="44">
        <v>16999</v>
      </c>
      <c r="I11" s="44" t="s">
        <v>1465</v>
      </c>
      <c r="J11" s="44">
        <v>18999</v>
      </c>
    </row>
    <row r="12" spans="1:10">
      <c r="A12" s="77" t="s">
        <v>593</v>
      </c>
      <c r="B12" s="77"/>
      <c r="C12" s="77"/>
      <c r="D12" s="77"/>
      <c r="E12" s="44" t="s">
        <v>1469</v>
      </c>
      <c r="F12" s="44" t="s">
        <v>1461</v>
      </c>
      <c r="G12" s="44" t="s">
        <v>1464</v>
      </c>
      <c r="H12" s="44">
        <v>17999</v>
      </c>
      <c r="I12" s="44" t="s">
        <v>1465</v>
      </c>
      <c r="J12" s="44">
        <v>19999</v>
      </c>
    </row>
    <row r="13" spans="1:10">
      <c r="A13" s="77" t="s">
        <v>77</v>
      </c>
      <c r="B13" s="77"/>
      <c r="C13" s="44"/>
      <c r="D13" s="44" t="s">
        <v>1466</v>
      </c>
      <c r="E13" s="44" t="s">
        <v>1467</v>
      </c>
      <c r="F13" s="44" t="s">
        <v>1461</v>
      </c>
      <c r="G13" s="44" t="s">
        <v>1464</v>
      </c>
      <c r="H13" s="44">
        <v>18999</v>
      </c>
      <c r="I13" s="44" t="s">
        <v>1465</v>
      </c>
      <c r="J13" s="44">
        <v>32999</v>
      </c>
    </row>
    <row r="14" spans="1:10">
      <c r="A14" s="77" t="s">
        <v>77</v>
      </c>
      <c r="B14" s="77"/>
      <c r="C14" s="44"/>
      <c r="D14" s="44" t="s">
        <v>1468</v>
      </c>
      <c r="E14" s="44" t="s">
        <v>1467</v>
      </c>
      <c r="F14" s="44" t="s">
        <v>1461</v>
      </c>
      <c r="G14" s="44" t="s">
        <v>1464</v>
      </c>
      <c r="H14" s="44">
        <v>22999</v>
      </c>
      <c r="I14" s="44" t="s">
        <v>1465</v>
      </c>
      <c r="J14" s="44">
        <v>34999</v>
      </c>
    </row>
    <row r="15" spans="1:10">
      <c r="A15" s="77" t="s">
        <v>77</v>
      </c>
      <c r="B15" s="77"/>
      <c r="C15" s="44"/>
      <c r="D15" s="44" t="s">
        <v>1466</v>
      </c>
      <c r="E15" s="44" t="s">
        <v>1469</v>
      </c>
      <c r="F15" s="44" t="s">
        <v>1461</v>
      </c>
      <c r="G15" s="44" t="s">
        <v>1464</v>
      </c>
      <c r="H15" s="44">
        <v>199999</v>
      </c>
      <c r="I15" s="44" t="s">
        <v>1465</v>
      </c>
      <c r="J15" s="44">
        <v>33999</v>
      </c>
    </row>
    <row r="16" spans="1:10">
      <c r="A16" s="77" t="s">
        <v>77</v>
      </c>
      <c r="B16" s="77"/>
      <c r="C16" s="44"/>
      <c r="D16" s="44" t="s">
        <v>1468</v>
      </c>
      <c r="E16" s="44" t="s">
        <v>1469</v>
      </c>
      <c r="F16" s="44" t="s">
        <v>1461</v>
      </c>
      <c r="G16" s="44" t="s">
        <v>1464</v>
      </c>
      <c r="H16" s="44">
        <v>23999</v>
      </c>
      <c r="I16" s="44" t="s">
        <v>1465</v>
      </c>
      <c r="J16" s="44">
        <v>35999</v>
      </c>
    </row>
    <row r="17" spans="1:10">
      <c r="A17" s="44" t="s">
        <v>524</v>
      </c>
      <c r="B17" s="44"/>
      <c r="C17" s="44" t="s">
        <v>474</v>
      </c>
      <c r="D17" s="44"/>
      <c r="E17" s="44"/>
      <c r="F17" s="44" t="s">
        <v>1470</v>
      </c>
      <c r="G17" s="44" t="s">
        <v>1471</v>
      </c>
      <c r="H17" s="44">
        <v>30999</v>
      </c>
      <c r="I17" s="44" t="s">
        <v>1472</v>
      </c>
      <c r="J17" s="44">
        <v>44999</v>
      </c>
    </row>
    <row r="18" spans="1:10">
      <c r="A18" s="44" t="s">
        <v>524</v>
      </c>
      <c r="B18" s="44"/>
      <c r="C18" s="44" t="s">
        <v>363</v>
      </c>
      <c r="D18" s="44"/>
      <c r="E18" s="44"/>
      <c r="F18" s="44" t="s">
        <v>1470</v>
      </c>
      <c r="G18" s="44" t="s">
        <v>1471</v>
      </c>
      <c r="H18" s="44">
        <v>35999</v>
      </c>
      <c r="I18" s="44" t="s">
        <v>1472</v>
      </c>
      <c r="J18" s="44">
        <v>49999</v>
      </c>
    </row>
    <row r="19" spans="1:10">
      <c r="A19" s="77" t="s">
        <v>177</v>
      </c>
      <c r="B19" s="44"/>
      <c r="C19" s="44" t="s">
        <v>192</v>
      </c>
      <c r="D19" s="44"/>
      <c r="E19" s="44"/>
      <c r="F19" s="44" t="s">
        <v>1470</v>
      </c>
      <c r="G19" s="44" t="s">
        <v>1471</v>
      </c>
      <c r="H19" s="44">
        <v>26999</v>
      </c>
      <c r="I19" s="44" t="s">
        <v>1472</v>
      </c>
      <c r="J19" s="44">
        <v>39999</v>
      </c>
    </row>
    <row r="20" spans="1:10">
      <c r="A20" s="77" t="s">
        <v>177</v>
      </c>
      <c r="B20" s="44"/>
      <c r="C20" s="44" t="s">
        <v>474</v>
      </c>
      <c r="D20" s="44"/>
      <c r="E20" s="44"/>
      <c r="F20" s="44" t="s">
        <v>1470</v>
      </c>
      <c r="G20" s="44" t="s">
        <v>1471</v>
      </c>
      <c r="H20" s="44">
        <v>30999</v>
      </c>
      <c r="I20" s="44" t="s">
        <v>1472</v>
      </c>
      <c r="J20" s="44">
        <v>44999</v>
      </c>
    </row>
    <row r="21" spans="1:10">
      <c r="A21" s="77" t="s">
        <v>177</v>
      </c>
      <c r="B21" s="44"/>
      <c r="C21" s="44" t="s">
        <v>363</v>
      </c>
      <c r="D21" s="44"/>
      <c r="E21" s="44"/>
      <c r="F21" s="44" t="s">
        <v>1470</v>
      </c>
      <c r="G21" s="44" t="s">
        <v>1471</v>
      </c>
      <c r="H21" s="44">
        <v>35999</v>
      </c>
      <c r="I21" s="44" t="s">
        <v>1472</v>
      </c>
      <c r="J21" s="44">
        <v>49999</v>
      </c>
    </row>
    <row r="22" spans="1:10">
      <c r="A22" s="77" t="s">
        <v>934</v>
      </c>
      <c r="B22" s="44"/>
      <c r="C22" s="44" t="s">
        <v>192</v>
      </c>
      <c r="D22" s="44"/>
      <c r="E22" s="44"/>
      <c r="F22" s="44" t="s">
        <v>1470</v>
      </c>
      <c r="G22" s="44" t="s">
        <v>1471</v>
      </c>
      <c r="H22" s="44">
        <v>29999</v>
      </c>
      <c r="I22" s="44" t="s">
        <v>1472</v>
      </c>
      <c r="J22" s="44">
        <v>42999</v>
      </c>
    </row>
    <row r="23" spans="1:10">
      <c r="A23" s="77" t="s">
        <v>934</v>
      </c>
      <c r="B23" s="44"/>
      <c r="C23" s="44" t="s">
        <v>474</v>
      </c>
      <c r="D23" s="44"/>
      <c r="E23" s="44"/>
      <c r="F23" s="44" t="s">
        <v>1470</v>
      </c>
      <c r="G23" s="44" t="s">
        <v>1471</v>
      </c>
      <c r="H23" s="44">
        <v>35999</v>
      </c>
      <c r="I23" s="44" t="s">
        <v>1472</v>
      </c>
      <c r="J23" s="44">
        <v>49999</v>
      </c>
    </row>
    <row r="24" spans="1:10">
      <c r="A24" s="77" t="s">
        <v>934</v>
      </c>
      <c r="B24" s="44"/>
      <c r="C24" s="44" t="s">
        <v>363</v>
      </c>
      <c r="D24" s="44"/>
      <c r="E24" s="44"/>
      <c r="F24" s="44" t="s">
        <v>1470</v>
      </c>
      <c r="G24" s="44" t="s">
        <v>1471</v>
      </c>
      <c r="H24" s="44">
        <v>39999</v>
      </c>
      <c r="I24" s="44" t="s">
        <v>1472</v>
      </c>
      <c r="J24" s="44">
        <v>59999</v>
      </c>
    </row>
    <row r="25" spans="1:10">
      <c r="A25" s="77" t="s">
        <v>931</v>
      </c>
      <c r="B25" s="44"/>
      <c r="C25" s="44" t="s">
        <v>954</v>
      </c>
      <c r="D25" s="44"/>
      <c r="E25" s="44"/>
      <c r="F25" s="44" t="s">
        <v>1470</v>
      </c>
      <c r="G25" s="44" t="s">
        <v>1471</v>
      </c>
      <c r="H25" s="44">
        <v>29999</v>
      </c>
      <c r="I25" s="44" t="s">
        <v>1472</v>
      </c>
      <c r="J25" s="44">
        <v>42999</v>
      </c>
    </row>
    <row r="26" spans="1:10">
      <c r="A26" s="77" t="s">
        <v>931</v>
      </c>
      <c r="B26" s="44"/>
      <c r="C26" s="44" t="s">
        <v>953</v>
      </c>
      <c r="D26" s="44"/>
      <c r="E26" s="44"/>
      <c r="F26" s="44" t="s">
        <v>1470</v>
      </c>
      <c r="G26" s="44" t="s">
        <v>1471</v>
      </c>
      <c r="H26" s="44">
        <v>27499</v>
      </c>
      <c r="I26" s="44" t="s">
        <v>1472</v>
      </c>
      <c r="J26" s="44">
        <v>39499</v>
      </c>
    </row>
    <row r="27" spans="1:10">
      <c r="A27" s="77" t="s">
        <v>931</v>
      </c>
      <c r="B27" s="44"/>
      <c r="C27" s="44" t="s">
        <v>474</v>
      </c>
      <c r="D27" s="44"/>
      <c r="E27" s="44"/>
      <c r="F27" s="44" t="s">
        <v>1470</v>
      </c>
      <c r="G27" s="44" t="s">
        <v>1471</v>
      </c>
      <c r="H27" s="44">
        <v>33499</v>
      </c>
      <c r="I27" s="44" t="s">
        <v>1472</v>
      </c>
      <c r="J27" s="44">
        <v>45999</v>
      </c>
    </row>
    <row r="28" spans="1:10">
      <c r="A28" s="77" t="s">
        <v>931</v>
      </c>
      <c r="B28" s="44"/>
      <c r="C28" s="44" t="s">
        <v>363</v>
      </c>
      <c r="D28" s="44"/>
      <c r="E28" s="44"/>
      <c r="F28" s="44" t="s">
        <v>1470</v>
      </c>
      <c r="G28" s="44" t="s">
        <v>1471</v>
      </c>
      <c r="H28" s="44">
        <v>35999</v>
      </c>
      <c r="I28" s="44" t="s">
        <v>1472</v>
      </c>
      <c r="J28" s="44">
        <v>53999</v>
      </c>
    </row>
    <row r="29" spans="1:10">
      <c r="A29" s="77" t="s">
        <v>931</v>
      </c>
      <c r="B29" s="44"/>
      <c r="C29" s="44" t="s">
        <v>955</v>
      </c>
      <c r="D29" s="44"/>
      <c r="E29" s="44"/>
      <c r="F29" s="44" t="s">
        <v>1470</v>
      </c>
      <c r="G29" s="44" t="s">
        <v>1471</v>
      </c>
      <c r="H29" s="44">
        <v>38999</v>
      </c>
      <c r="I29" s="44" t="s">
        <v>1472</v>
      </c>
      <c r="J29" s="44">
        <v>57999</v>
      </c>
    </row>
    <row r="30" spans="1:10">
      <c r="A30" s="77" t="s">
        <v>600</v>
      </c>
      <c r="B30" s="77"/>
      <c r="C30" s="77"/>
      <c r="D30" s="77"/>
      <c r="E30" s="44"/>
      <c r="F30" s="44" t="s">
        <v>1461</v>
      </c>
      <c r="G30" s="44" t="s">
        <v>1464</v>
      </c>
      <c r="H30" s="44">
        <v>15000</v>
      </c>
      <c r="I30" s="44" t="s">
        <v>1465</v>
      </c>
      <c r="J30" s="44">
        <v>22750</v>
      </c>
    </row>
    <row r="31" spans="1:10">
      <c r="A31" s="77" t="s">
        <v>1003</v>
      </c>
      <c r="B31" s="77"/>
      <c r="C31" s="77"/>
      <c r="D31" s="77"/>
      <c r="E31" s="44"/>
      <c r="F31" s="44" t="s">
        <v>1461</v>
      </c>
      <c r="G31" s="44" t="s">
        <v>1464</v>
      </c>
      <c r="H31" s="44">
        <v>15000</v>
      </c>
      <c r="I31" s="44" t="s">
        <v>1465</v>
      </c>
      <c r="J31" s="44">
        <v>22750</v>
      </c>
    </row>
    <row r="32" spans="1:10">
      <c r="A32" s="77" t="s">
        <v>115</v>
      </c>
      <c r="B32" s="77"/>
      <c r="C32" s="77"/>
      <c r="D32" s="77"/>
      <c r="E32" s="44"/>
      <c r="F32" s="44" t="s">
        <v>1461</v>
      </c>
      <c r="G32" s="44" t="s">
        <v>1473</v>
      </c>
      <c r="H32" s="44">
        <v>22499</v>
      </c>
      <c r="I32" s="44" t="s">
        <v>1474</v>
      </c>
      <c r="J32" s="44">
        <v>32499</v>
      </c>
    </row>
    <row r="33" spans="1:10">
      <c r="A33" s="77" t="s">
        <v>208</v>
      </c>
      <c r="B33" s="77"/>
      <c r="C33" s="44"/>
      <c r="D33" s="44" t="s">
        <v>1466</v>
      </c>
      <c r="E33" s="44" t="s">
        <v>1467</v>
      </c>
      <c r="F33" s="44" t="s">
        <v>1461</v>
      </c>
      <c r="G33" s="44" t="s">
        <v>1464</v>
      </c>
      <c r="H33" s="44">
        <v>20999</v>
      </c>
      <c r="I33" s="44" t="s">
        <v>1465</v>
      </c>
      <c r="J33" s="44">
        <v>37999</v>
      </c>
    </row>
    <row r="34" spans="1:10">
      <c r="A34" s="77" t="s">
        <v>208</v>
      </c>
      <c r="B34" s="44"/>
      <c r="C34" s="44"/>
      <c r="D34" s="44" t="s">
        <v>1466</v>
      </c>
      <c r="E34" s="44" t="s">
        <v>1469</v>
      </c>
      <c r="F34" s="44" t="s">
        <v>1461</v>
      </c>
      <c r="G34" s="44" t="s">
        <v>1464</v>
      </c>
      <c r="H34" s="44">
        <v>23999</v>
      </c>
      <c r="I34" s="44" t="s">
        <v>1465</v>
      </c>
      <c r="J34" s="44">
        <v>42999</v>
      </c>
    </row>
    <row r="35" spans="1:10">
      <c r="A35" s="77" t="s">
        <v>208</v>
      </c>
      <c r="B35" s="44"/>
      <c r="C35" s="44"/>
      <c r="D35" s="44" t="s">
        <v>1468</v>
      </c>
      <c r="E35" s="44" t="s">
        <v>1467</v>
      </c>
      <c r="F35" s="44" t="s">
        <v>1461</v>
      </c>
      <c r="G35" s="44" t="s">
        <v>1464</v>
      </c>
      <c r="H35" s="44">
        <v>23499</v>
      </c>
      <c r="I35" s="44" t="s">
        <v>1465</v>
      </c>
      <c r="J35" s="44">
        <v>42999</v>
      </c>
    </row>
    <row r="36" spans="1:10">
      <c r="A36" s="77" t="s">
        <v>208</v>
      </c>
      <c r="B36" s="44"/>
      <c r="C36" s="44"/>
      <c r="D36" s="44" t="s">
        <v>1468</v>
      </c>
      <c r="E36" s="44" t="s">
        <v>1469</v>
      </c>
      <c r="F36" s="44" t="s">
        <v>1461</v>
      </c>
      <c r="G36" s="44" t="s">
        <v>1464</v>
      </c>
      <c r="H36" s="44">
        <v>22999</v>
      </c>
      <c r="I36" s="44" t="s">
        <v>1465</v>
      </c>
      <c r="J36" s="44">
        <v>44999</v>
      </c>
    </row>
    <row r="37" spans="1:10">
      <c r="A37" s="77" t="s">
        <v>208</v>
      </c>
      <c r="B37" s="44"/>
      <c r="C37" s="44" t="s">
        <v>1119</v>
      </c>
      <c r="D37" s="44" t="s">
        <v>1468</v>
      </c>
      <c r="E37" s="44" t="s">
        <v>1467</v>
      </c>
      <c r="F37" s="44" t="s">
        <v>1461</v>
      </c>
      <c r="G37" s="44" t="s">
        <v>1464</v>
      </c>
      <c r="H37" s="44">
        <v>31999</v>
      </c>
      <c r="I37" s="44" t="s">
        <v>1465</v>
      </c>
      <c r="J37" s="44">
        <v>57999</v>
      </c>
    </row>
    <row r="38" spans="1:10">
      <c r="A38" s="77" t="s">
        <v>208</v>
      </c>
      <c r="B38" s="44"/>
      <c r="C38" s="44" t="s">
        <v>1119</v>
      </c>
      <c r="D38" s="44" t="s">
        <v>1468</v>
      </c>
      <c r="E38" s="44" t="s">
        <v>1469</v>
      </c>
      <c r="F38" s="44" t="s">
        <v>1461</v>
      </c>
      <c r="G38" s="44" t="s">
        <v>1464</v>
      </c>
      <c r="H38" s="44">
        <v>31999</v>
      </c>
      <c r="I38" s="44" t="s">
        <v>1465</v>
      </c>
      <c r="J38" s="44">
        <v>62499</v>
      </c>
    </row>
    <row r="39" spans="1:10">
      <c r="A39" s="77" t="s">
        <v>208</v>
      </c>
      <c r="B39" s="44"/>
      <c r="C39" s="44" t="s">
        <v>1119</v>
      </c>
      <c r="D39" s="44" t="s">
        <v>1466</v>
      </c>
      <c r="E39" s="44" t="s">
        <v>1469</v>
      </c>
      <c r="F39" s="44" t="s">
        <v>1461</v>
      </c>
      <c r="G39" s="44" t="s">
        <v>1464</v>
      </c>
      <c r="H39" s="44">
        <v>34999</v>
      </c>
      <c r="I39" s="44" t="s">
        <v>1465</v>
      </c>
      <c r="J39" s="44">
        <v>63999</v>
      </c>
    </row>
    <row r="40" spans="1:10">
      <c r="A40" s="44" t="s">
        <v>38</v>
      </c>
      <c r="B40" s="44"/>
      <c r="C40" s="44"/>
      <c r="D40" s="44"/>
      <c r="E40" s="44"/>
      <c r="F40" s="44" t="s">
        <v>1461</v>
      </c>
      <c r="G40" s="77"/>
      <c r="H40" s="77"/>
      <c r="I40" s="77"/>
      <c r="J40" s="77"/>
    </row>
    <row r="41" spans="1:10">
      <c r="A41" s="44" t="s">
        <v>109</v>
      </c>
      <c r="B41" s="44"/>
      <c r="C41" s="44"/>
      <c r="D41" s="44"/>
      <c r="E41" s="44"/>
      <c r="F41" s="44" t="s">
        <v>1461</v>
      </c>
      <c r="G41" s="77"/>
      <c r="H41" s="77"/>
      <c r="I41" s="77"/>
      <c r="J41" s="77"/>
    </row>
    <row r="42" spans="1:10">
      <c r="A42" s="44" t="s">
        <v>134</v>
      </c>
      <c r="B42" s="44"/>
      <c r="C42" s="44"/>
      <c r="D42" s="44"/>
      <c r="E42" s="44"/>
      <c r="F42" s="44" t="s">
        <v>1461</v>
      </c>
      <c r="G42" s="77"/>
      <c r="H42" s="77"/>
      <c r="I42" s="77"/>
      <c r="J42" s="77"/>
    </row>
    <row r="43" spans="1:10">
      <c r="A43" s="44" t="s">
        <v>141</v>
      </c>
      <c r="B43" s="44"/>
      <c r="C43" s="44"/>
      <c r="D43" s="44"/>
      <c r="E43" s="44"/>
      <c r="F43" s="44" t="s">
        <v>1461</v>
      </c>
      <c r="G43" s="77"/>
      <c r="H43" s="77"/>
      <c r="I43" s="77"/>
      <c r="J43" s="77"/>
    </row>
    <row r="44" spans="1:10">
      <c r="A44" s="44" t="s">
        <v>156</v>
      </c>
      <c r="B44" s="44"/>
      <c r="C44" s="44"/>
      <c r="D44" s="44"/>
      <c r="E44" s="44"/>
      <c r="F44" s="44" t="s">
        <v>1461</v>
      </c>
      <c r="G44" s="77"/>
      <c r="H44" s="77"/>
      <c r="I44" s="77"/>
      <c r="J44" s="77"/>
    </row>
    <row r="45" spans="1:10">
      <c r="A45" s="44" t="s">
        <v>160</v>
      </c>
      <c r="B45" s="44"/>
      <c r="C45" s="44"/>
      <c r="D45" s="44"/>
      <c r="E45" s="44"/>
      <c r="F45" s="44" t="s">
        <v>1475</v>
      </c>
      <c r="G45" s="77"/>
      <c r="H45" s="77"/>
      <c r="I45" s="77"/>
      <c r="J45" s="77"/>
    </row>
    <row r="46" spans="1:10">
      <c r="A46" s="44" t="s">
        <v>168</v>
      </c>
      <c r="B46" s="44"/>
      <c r="C46" s="44"/>
      <c r="D46" s="44"/>
      <c r="E46" s="44"/>
      <c r="F46" s="44" t="s">
        <v>1475</v>
      </c>
      <c r="G46" s="77"/>
      <c r="H46" s="77"/>
      <c r="I46" s="77"/>
      <c r="J46" s="77"/>
    </row>
    <row r="47" spans="1:10">
      <c r="A47" s="44" t="s">
        <v>598</v>
      </c>
      <c r="B47" s="44"/>
      <c r="C47" s="44"/>
      <c r="D47" s="44"/>
      <c r="E47" s="44"/>
      <c r="F47" s="44" t="s">
        <v>1476</v>
      </c>
      <c r="G47" s="77"/>
      <c r="H47" s="77"/>
      <c r="I47" s="77"/>
      <c r="J47" s="77"/>
    </row>
    <row r="48" spans="1:10">
      <c r="A48" s="44" t="s">
        <v>613</v>
      </c>
      <c r="B48" s="44"/>
      <c r="C48" s="44"/>
      <c r="D48" s="44"/>
      <c r="E48" s="44"/>
      <c r="F48" s="44" t="s">
        <v>1477</v>
      </c>
      <c r="G48" s="77"/>
      <c r="H48" s="77"/>
      <c r="I48" s="77"/>
      <c r="J48" s="77"/>
    </row>
    <row r="49" spans="1:10">
      <c r="A49" s="44" t="s">
        <v>623</v>
      </c>
      <c r="B49" s="44"/>
      <c r="C49" s="44"/>
      <c r="D49" s="44"/>
      <c r="E49" s="44"/>
      <c r="F49" s="44" t="s">
        <v>1477</v>
      </c>
      <c r="G49" s="77"/>
      <c r="H49" s="77"/>
      <c r="I49" s="77"/>
      <c r="J49" s="77"/>
    </row>
    <row r="50" spans="1:10">
      <c r="A50" s="44" t="s">
        <v>625</v>
      </c>
      <c r="B50" s="44"/>
      <c r="C50" s="44"/>
      <c r="D50" s="44"/>
      <c r="E50" s="44"/>
      <c r="F50" s="44" t="s">
        <v>1476</v>
      </c>
      <c r="G50" s="77"/>
      <c r="H50" s="77"/>
      <c r="I50" s="77"/>
      <c r="J50" s="77"/>
    </row>
    <row r="51" spans="1:10">
      <c r="A51" s="44" t="s">
        <v>631</v>
      </c>
      <c r="B51" s="44"/>
      <c r="C51" s="44"/>
      <c r="D51" s="44"/>
      <c r="E51" s="44"/>
      <c r="F51" s="44" t="s">
        <v>1478</v>
      </c>
      <c r="G51" s="77"/>
      <c r="H51" s="77"/>
      <c r="I51" s="77"/>
      <c r="J51" s="77"/>
    </row>
    <row r="52" spans="1:10">
      <c r="A52" s="44" t="s">
        <v>632</v>
      </c>
      <c r="B52" s="44"/>
      <c r="C52" s="44"/>
      <c r="D52" s="44"/>
      <c r="E52" s="44"/>
      <c r="F52" s="44" t="s">
        <v>1478</v>
      </c>
      <c r="G52" s="77"/>
      <c r="H52" s="77"/>
      <c r="I52" s="77"/>
      <c r="J52" s="77"/>
    </row>
    <row r="53" spans="1:10">
      <c r="A53" s="44" t="s">
        <v>643</v>
      </c>
      <c r="B53" s="44"/>
      <c r="C53" s="44"/>
      <c r="D53" s="44"/>
      <c r="E53" s="44"/>
      <c r="F53" s="44" t="s">
        <v>1478</v>
      </c>
      <c r="G53" s="77"/>
      <c r="H53" s="77"/>
      <c r="I53" s="77"/>
      <c r="J53" s="77"/>
    </row>
    <row r="54" spans="1:10">
      <c r="A54" s="44" t="s">
        <v>646</v>
      </c>
      <c r="B54" s="44"/>
      <c r="C54" s="44"/>
      <c r="D54" s="44"/>
      <c r="E54" s="44"/>
      <c r="F54" s="44" t="s">
        <v>1478</v>
      </c>
      <c r="G54" s="77"/>
      <c r="H54" s="77"/>
      <c r="I54" s="77"/>
      <c r="J54" s="77"/>
    </row>
    <row r="55" spans="1:10">
      <c r="A55" s="44" t="s">
        <v>650</v>
      </c>
      <c r="B55" s="44"/>
      <c r="C55" s="44"/>
      <c r="D55" s="44"/>
      <c r="E55" s="44"/>
      <c r="F55" s="44" t="s">
        <v>1478</v>
      </c>
      <c r="G55" s="77"/>
      <c r="H55" s="77"/>
      <c r="I55" s="77"/>
      <c r="J55" s="77"/>
    </row>
    <row r="56" spans="1:10">
      <c r="A56" s="44" t="s">
        <v>174</v>
      </c>
      <c r="B56" s="44"/>
      <c r="C56" s="44"/>
      <c r="D56" s="44"/>
      <c r="E56" s="44"/>
      <c r="F56" s="44" t="s">
        <v>1461</v>
      </c>
      <c r="G56" s="77"/>
      <c r="H56" s="77"/>
      <c r="I56" s="77"/>
      <c r="J56" s="77"/>
    </row>
    <row r="57" spans="1:10">
      <c r="A57" s="44" t="s">
        <v>162</v>
      </c>
      <c r="B57" s="44"/>
      <c r="C57" s="44"/>
      <c r="D57" s="44"/>
      <c r="E57" s="44"/>
      <c r="F57" s="44" t="s">
        <v>1461</v>
      </c>
      <c r="G57" s="77"/>
      <c r="H57" s="77"/>
      <c r="I57" s="77"/>
      <c r="J57" s="77"/>
    </row>
    <row r="58" spans="1:10">
      <c r="A58" s="44" t="s">
        <v>58</v>
      </c>
      <c r="B58" s="44"/>
      <c r="C58" s="44"/>
      <c r="D58" s="44"/>
      <c r="E58" s="44"/>
      <c r="F58" s="44" t="s">
        <v>1461</v>
      </c>
      <c r="G58" s="77"/>
      <c r="H58" s="77"/>
      <c r="I58" s="77"/>
      <c r="J58" s="77"/>
    </row>
    <row r="59" spans="1:10">
      <c r="A59" s="44" t="s">
        <v>101</v>
      </c>
      <c r="B59" s="44"/>
      <c r="C59" s="44"/>
      <c r="D59" s="44"/>
      <c r="E59" s="44"/>
      <c r="F59" s="44" t="s">
        <v>1479</v>
      </c>
      <c r="G59" s="77"/>
      <c r="H59" s="77"/>
      <c r="I59" s="77"/>
      <c r="J59" s="77"/>
    </row>
    <row r="60" spans="1:10">
      <c r="A60" s="44" t="s">
        <v>841</v>
      </c>
      <c r="B60" s="44"/>
      <c r="C60" s="44"/>
      <c r="D60" s="44"/>
      <c r="E60" s="44"/>
      <c r="F60" s="44" t="s">
        <v>1480</v>
      </c>
      <c r="G60" s="77"/>
      <c r="H60" s="77"/>
      <c r="I60" s="77"/>
      <c r="J60" s="77"/>
    </row>
    <row r="61" spans="1:10">
      <c r="A61" s="44" t="s">
        <v>856</v>
      </c>
      <c r="B61" s="44"/>
      <c r="C61" s="44"/>
      <c r="D61" s="44"/>
      <c r="E61" s="44"/>
      <c r="F61" s="44" t="s">
        <v>1480</v>
      </c>
      <c r="G61" s="77"/>
      <c r="H61" s="77"/>
      <c r="I61" s="77"/>
      <c r="J61" s="77"/>
    </row>
    <row r="62" spans="1:10">
      <c r="A62" s="44" t="s">
        <v>1481</v>
      </c>
      <c r="B62" s="44"/>
      <c r="C62" s="44"/>
      <c r="D62" s="44"/>
      <c r="E62" s="44"/>
      <c r="F62" s="44" t="s">
        <v>1480</v>
      </c>
      <c r="G62" s="77"/>
      <c r="H62" s="77"/>
      <c r="I62" s="77"/>
      <c r="J62" s="77"/>
    </row>
    <row r="63" spans="1:10">
      <c r="A63" s="44" t="s">
        <v>857</v>
      </c>
      <c r="B63" s="44"/>
      <c r="C63" s="44"/>
      <c r="D63" s="44"/>
      <c r="E63" s="44"/>
      <c r="F63" s="44" t="s">
        <v>1480</v>
      </c>
      <c r="G63" s="77"/>
      <c r="H63" s="77"/>
      <c r="I63" s="77"/>
      <c r="J63" s="77"/>
    </row>
    <row r="64" spans="1:10">
      <c r="A64" s="44" t="s">
        <v>876</v>
      </c>
      <c r="B64" s="44"/>
      <c r="C64" s="44"/>
      <c r="D64" s="44"/>
      <c r="E64" s="44"/>
      <c r="F64" s="44" t="s">
        <v>1480</v>
      </c>
      <c r="G64" s="77"/>
      <c r="H64" s="77"/>
      <c r="I64" s="77"/>
      <c r="J64" s="77"/>
    </row>
    <row r="65" spans="1:10">
      <c r="A65" s="44" t="s">
        <v>889</v>
      </c>
      <c r="B65" s="44"/>
      <c r="C65" s="44"/>
      <c r="D65" s="44"/>
      <c r="E65" s="44"/>
      <c r="F65" s="44" t="s">
        <v>1482</v>
      </c>
      <c r="G65" s="77"/>
      <c r="H65" s="77"/>
      <c r="I65" s="77"/>
      <c r="J65" s="77"/>
    </row>
    <row r="66" spans="1:10">
      <c r="A66" s="44" t="s">
        <v>900</v>
      </c>
      <c r="B66" s="44"/>
      <c r="C66" s="44"/>
      <c r="D66" s="44"/>
      <c r="E66" s="44"/>
      <c r="F66" s="44" t="s">
        <v>1483</v>
      </c>
      <c r="G66" s="77"/>
      <c r="H66" s="77"/>
      <c r="I66" s="77"/>
      <c r="J66" s="77"/>
    </row>
    <row r="67" spans="1:10">
      <c r="A67" s="44" t="s">
        <v>909</v>
      </c>
      <c r="B67" s="44"/>
      <c r="C67" s="44"/>
      <c r="D67" s="44"/>
      <c r="E67" s="44"/>
      <c r="F67" s="44" t="s">
        <v>1484</v>
      </c>
      <c r="G67" s="77"/>
      <c r="H67" s="77"/>
      <c r="I67" s="77"/>
      <c r="J67" s="77"/>
    </row>
    <row r="68" spans="1:10">
      <c r="A68" s="44" t="s">
        <v>922</v>
      </c>
      <c r="B68" s="44"/>
      <c r="C68" s="44"/>
      <c r="D68" s="44"/>
      <c r="E68" s="44"/>
      <c r="F68" s="44" t="s">
        <v>1485</v>
      </c>
      <c r="G68" s="77"/>
      <c r="H68" s="77"/>
      <c r="I68" s="77"/>
      <c r="J68" s="77"/>
    </row>
    <row r="69" spans="1:10">
      <c r="A69" s="44" t="s">
        <v>74</v>
      </c>
      <c r="B69" s="44"/>
      <c r="C69" s="44"/>
      <c r="D69" s="44"/>
      <c r="E69" s="44"/>
      <c r="F69" s="44" t="s">
        <v>1461</v>
      </c>
      <c r="G69" s="77"/>
      <c r="H69" s="77"/>
      <c r="I69" s="77"/>
      <c r="J69" s="77"/>
    </row>
    <row r="70" spans="1:10">
      <c r="A70" s="44" t="s">
        <v>1102</v>
      </c>
      <c r="B70" s="44"/>
      <c r="C70" s="44"/>
      <c r="D70" s="44"/>
      <c r="E70" s="44"/>
      <c r="F70" s="44" t="s">
        <v>1486</v>
      </c>
      <c r="G70" s="77"/>
      <c r="H70" s="77"/>
      <c r="I70" s="77"/>
      <c r="J70" s="77"/>
    </row>
    <row r="71" spans="1:10">
      <c r="A71" s="44" t="s">
        <v>1230</v>
      </c>
      <c r="B71" s="44"/>
      <c r="C71" s="44"/>
      <c r="D71" s="44"/>
      <c r="E71" s="44"/>
      <c r="F71" s="44" t="s">
        <v>1484</v>
      </c>
      <c r="G71" s="77"/>
      <c r="H71" s="77"/>
      <c r="I71" s="77"/>
      <c r="J71" s="77"/>
    </row>
    <row r="72" spans="1:10">
      <c r="A72" s="44" t="s">
        <v>1237</v>
      </c>
      <c r="B72" s="44"/>
      <c r="C72" s="44"/>
      <c r="D72" s="44"/>
      <c r="E72" s="44"/>
      <c r="F72" s="44" t="s">
        <v>1487</v>
      </c>
      <c r="G72" s="77"/>
      <c r="H72" s="77"/>
      <c r="I72" s="77"/>
      <c r="J72" s="77"/>
    </row>
    <row r="73" spans="1:10">
      <c r="A73" s="44" t="s">
        <v>1245</v>
      </c>
      <c r="B73" s="44"/>
      <c r="C73" s="44"/>
      <c r="D73" s="44"/>
      <c r="E73" s="44"/>
      <c r="F73" s="44" t="s">
        <v>1487</v>
      </c>
      <c r="G73" s="77"/>
      <c r="H73" s="77"/>
      <c r="I73" s="77"/>
      <c r="J73" s="7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609"/>
  <sheetViews>
    <sheetView workbookViewId="0"/>
  </sheetViews>
  <sheetFormatPr defaultColWidth="12.6640625" defaultRowHeight="15.75" customHeight="1"/>
  <cols>
    <col min="1" max="1" width="22.21875" customWidth="1"/>
    <col min="2" max="2" width="9.33203125" customWidth="1"/>
    <col min="3" max="5" width="9" customWidth="1"/>
  </cols>
  <sheetData>
    <row r="1" spans="1:18">
      <c r="A1" s="95" t="s">
        <v>1441</v>
      </c>
      <c r="B1" s="96" t="s">
        <v>24</v>
      </c>
      <c r="C1" s="96" t="s">
        <v>1488</v>
      </c>
      <c r="D1" s="96" t="s">
        <v>1489</v>
      </c>
      <c r="E1" s="96" t="s">
        <v>1490</v>
      </c>
    </row>
    <row r="2" spans="1:18">
      <c r="A2" s="97" t="s">
        <v>38</v>
      </c>
      <c r="B2" s="97" t="s">
        <v>30</v>
      </c>
      <c r="C2" s="98" t="s">
        <v>1491</v>
      </c>
      <c r="D2" s="97"/>
      <c r="E2" s="97"/>
    </row>
    <row r="3" spans="1:18">
      <c r="A3" s="97" t="s">
        <v>109</v>
      </c>
      <c r="B3" s="97" t="s">
        <v>30</v>
      </c>
      <c r="C3" s="98" t="s">
        <v>1491</v>
      </c>
      <c r="D3" s="97"/>
      <c r="E3" s="97"/>
    </row>
    <row r="4" spans="1:18">
      <c r="A4" s="97" t="s">
        <v>134</v>
      </c>
      <c r="B4" s="97" t="s">
        <v>30</v>
      </c>
      <c r="C4" s="98" t="s">
        <v>1491</v>
      </c>
      <c r="D4" s="97"/>
      <c r="E4" s="97"/>
    </row>
    <row r="5" spans="1:18">
      <c r="A5" s="97" t="s">
        <v>141</v>
      </c>
      <c r="B5" s="97" t="s">
        <v>1492</v>
      </c>
      <c r="C5" s="98" t="s">
        <v>1491</v>
      </c>
      <c r="D5" s="97"/>
      <c r="E5" s="97"/>
      <c r="F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>
      <c r="A6" s="97" t="s">
        <v>156</v>
      </c>
      <c r="B6" s="97" t="s">
        <v>1492</v>
      </c>
      <c r="C6" s="98" t="s">
        <v>1491</v>
      </c>
      <c r="D6" s="97"/>
      <c r="E6" s="97"/>
    </row>
    <row r="7" spans="1:18">
      <c r="A7" s="97" t="s">
        <v>160</v>
      </c>
      <c r="B7" s="97" t="s">
        <v>1492</v>
      </c>
      <c r="C7" s="98" t="s">
        <v>1491</v>
      </c>
      <c r="D7" s="97"/>
      <c r="E7" s="97"/>
    </row>
    <row r="8" spans="1:18">
      <c r="A8" s="97" t="s">
        <v>168</v>
      </c>
      <c r="B8" s="97" t="s">
        <v>1492</v>
      </c>
      <c r="C8" s="98" t="s">
        <v>1491</v>
      </c>
      <c r="D8" s="97"/>
      <c r="E8" s="97"/>
    </row>
    <row r="9" spans="1:18">
      <c r="A9" s="97" t="s">
        <v>177</v>
      </c>
      <c r="B9" s="99" t="s">
        <v>13</v>
      </c>
      <c r="C9" s="98" t="s">
        <v>1491</v>
      </c>
      <c r="D9" s="97"/>
      <c r="E9" s="97"/>
    </row>
    <row r="10" spans="1:18">
      <c r="A10" s="97" t="s">
        <v>524</v>
      </c>
      <c r="B10" s="99" t="s">
        <v>13</v>
      </c>
      <c r="C10" s="98" t="s">
        <v>1491</v>
      </c>
      <c r="D10" s="97"/>
      <c r="E10" s="97"/>
    </row>
    <row r="11" spans="1:18">
      <c r="A11" s="97" t="s">
        <v>534</v>
      </c>
      <c r="B11" s="99" t="s">
        <v>13</v>
      </c>
      <c r="C11" s="98" t="s">
        <v>1491</v>
      </c>
      <c r="D11" s="97"/>
      <c r="E11" s="97"/>
    </row>
    <row r="12" spans="1:18">
      <c r="A12" s="97" t="s">
        <v>558</v>
      </c>
      <c r="B12" s="99" t="s">
        <v>13</v>
      </c>
      <c r="C12" s="98" t="s">
        <v>1491</v>
      </c>
      <c r="D12" s="97"/>
      <c r="E12" s="97"/>
    </row>
    <row r="13" spans="1:18">
      <c r="A13" s="97" t="s">
        <v>575</v>
      </c>
      <c r="B13" s="99" t="s">
        <v>13</v>
      </c>
      <c r="C13" s="98" t="s">
        <v>1491</v>
      </c>
      <c r="D13" s="97"/>
      <c r="E13" s="97"/>
    </row>
    <row r="14" spans="1:18">
      <c r="A14" s="97" t="s">
        <v>575</v>
      </c>
      <c r="B14" s="99" t="s">
        <v>56</v>
      </c>
      <c r="C14" s="98" t="s">
        <v>1491</v>
      </c>
      <c r="D14" s="97"/>
      <c r="E14" s="97"/>
    </row>
    <row r="15" spans="1:18">
      <c r="A15" s="97" t="s">
        <v>534</v>
      </c>
      <c r="B15" s="97" t="s">
        <v>1492</v>
      </c>
      <c r="C15" s="98" t="s">
        <v>1491</v>
      </c>
      <c r="D15" s="97"/>
      <c r="E15" s="97"/>
    </row>
    <row r="16" spans="1:18">
      <c r="A16" s="97" t="s">
        <v>558</v>
      </c>
      <c r="B16" s="97" t="s">
        <v>1492</v>
      </c>
      <c r="C16" s="98" t="s">
        <v>1491</v>
      </c>
      <c r="D16" s="97"/>
      <c r="E16" s="97"/>
    </row>
    <row r="17" spans="1:5">
      <c r="A17" s="97" t="s">
        <v>575</v>
      </c>
      <c r="B17" s="97" t="s">
        <v>1492</v>
      </c>
      <c r="C17" s="98" t="s">
        <v>1491</v>
      </c>
      <c r="D17" s="97"/>
      <c r="E17" s="97"/>
    </row>
    <row r="18" spans="1:5">
      <c r="A18" s="97" t="s">
        <v>598</v>
      </c>
      <c r="B18" s="97" t="s">
        <v>30</v>
      </c>
      <c r="C18" s="98" t="s">
        <v>1491</v>
      </c>
      <c r="D18" s="97"/>
      <c r="E18" s="97"/>
    </row>
    <row r="19" spans="1:5">
      <c r="A19" s="97" t="s">
        <v>613</v>
      </c>
      <c r="B19" s="97" t="s">
        <v>1492</v>
      </c>
      <c r="C19" s="98" t="s">
        <v>1491</v>
      </c>
      <c r="D19" s="97"/>
      <c r="E19" s="97"/>
    </row>
    <row r="20" spans="1:5">
      <c r="A20" s="97" t="s">
        <v>623</v>
      </c>
      <c r="B20" s="97" t="s">
        <v>1492</v>
      </c>
      <c r="C20" s="98" t="s">
        <v>1491</v>
      </c>
      <c r="D20" s="97"/>
      <c r="E20" s="97"/>
    </row>
    <row r="21" spans="1:5">
      <c r="A21" s="97" t="s">
        <v>625</v>
      </c>
      <c r="B21" s="97" t="s">
        <v>1492</v>
      </c>
      <c r="C21" s="98" t="s">
        <v>1491</v>
      </c>
      <c r="D21" s="97"/>
      <c r="E21" s="97"/>
    </row>
    <row r="22" spans="1:5">
      <c r="A22" s="97" t="s">
        <v>631</v>
      </c>
      <c r="B22" s="97" t="s">
        <v>30</v>
      </c>
      <c r="C22" s="98" t="s">
        <v>1491</v>
      </c>
      <c r="D22" s="97"/>
      <c r="E22" s="97"/>
    </row>
    <row r="23" spans="1:5">
      <c r="A23" s="97" t="s">
        <v>632</v>
      </c>
      <c r="B23" s="97" t="s">
        <v>30</v>
      </c>
      <c r="C23" s="98" t="s">
        <v>1491</v>
      </c>
      <c r="D23" s="97"/>
      <c r="E23" s="97"/>
    </row>
    <row r="24" spans="1:5">
      <c r="A24" s="97" t="s">
        <v>643</v>
      </c>
      <c r="B24" s="97" t="s">
        <v>30</v>
      </c>
      <c r="C24" s="98" t="s">
        <v>1491</v>
      </c>
      <c r="D24" s="97"/>
      <c r="E24" s="97"/>
    </row>
    <row r="25" spans="1:5">
      <c r="A25" s="97" t="s">
        <v>646</v>
      </c>
      <c r="B25" s="97" t="s">
        <v>30</v>
      </c>
      <c r="C25" s="98" t="s">
        <v>1491</v>
      </c>
      <c r="D25" s="97"/>
      <c r="E25" s="97"/>
    </row>
    <row r="26" spans="1:5">
      <c r="A26" s="97" t="s">
        <v>650</v>
      </c>
      <c r="B26" s="97" t="s">
        <v>30</v>
      </c>
      <c r="C26" s="98" t="s">
        <v>1491</v>
      </c>
      <c r="D26" s="97"/>
      <c r="E26" s="97"/>
    </row>
    <row r="27" spans="1:5">
      <c r="A27" s="97" t="s">
        <v>659</v>
      </c>
      <c r="B27" s="99" t="s">
        <v>13</v>
      </c>
      <c r="C27" s="98" t="s">
        <v>1491</v>
      </c>
      <c r="D27" s="97"/>
      <c r="E27" s="97"/>
    </row>
    <row r="28" spans="1:5">
      <c r="A28" s="97" t="s">
        <v>174</v>
      </c>
      <c r="B28" s="97" t="s">
        <v>30</v>
      </c>
      <c r="C28" s="98" t="s">
        <v>1491</v>
      </c>
      <c r="D28" s="97"/>
      <c r="E28" s="97"/>
    </row>
    <row r="29" spans="1:5">
      <c r="A29" s="97" t="s">
        <v>162</v>
      </c>
      <c r="B29" s="97" t="s">
        <v>30</v>
      </c>
      <c r="C29" s="98" t="s">
        <v>1491</v>
      </c>
      <c r="D29" s="97"/>
      <c r="E29" s="97"/>
    </row>
    <row r="30" spans="1:5">
      <c r="A30" s="97" t="s">
        <v>694</v>
      </c>
      <c r="B30" s="97" t="s">
        <v>30</v>
      </c>
      <c r="C30" s="98" t="s">
        <v>1491</v>
      </c>
      <c r="D30" s="97"/>
      <c r="E30" s="97"/>
    </row>
    <row r="31" spans="1:5">
      <c r="A31" s="97" t="s">
        <v>58</v>
      </c>
      <c r="B31" s="97" t="s">
        <v>30</v>
      </c>
      <c r="C31" s="98" t="s">
        <v>1491</v>
      </c>
      <c r="D31" s="97"/>
      <c r="E31" s="97"/>
    </row>
    <row r="32" spans="1:5">
      <c r="A32" s="97" t="s">
        <v>704</v>
      </c>
      <c r="B32" s="99" t="s">
        <v>1492</v>
      </c>
      <c r="C32" s="98" t="s">
        <v>1491</v>
      </c>
      <c r="D32" s="97"/>
      <c r="E32" s="97"/>
    </row>
    <row r="33" spans="1:5">
      <c r="A33" s="97" t="s">
        <v>704</v>
      </c>
      <c r="B33" s="99" t="s">
        <v>13</v>
      </c>
      <c r="C33" s="98" t="s">
        <v>1491</v>
      </c>
      <c r="D33" s="97"/>
      <c r="E33" s="97"/>
    </row>
    <row r="34" spans="1:5">
      <c r="A34" s="97" t="s">
        <v>708</v>
      </c>
      <c r="B34" s="99" t="s">
        <v>1492</v>
      </c>
      <c r="C34" s="98" t="s">
        <v>1491</v>
      </c>
      <c r="D34" s="97"/>
      <c r="E34" s="97"/>
    </row>
    <row r="35" spans="1:5">
      <c r="A35" s="97" t="s">
        <v>101</v>
      </c>
      <c r="B35" s="97" t="s">
        <v>30</v>
      </c>
      <c r="C35" s="98" t="s">
        <v>1491</v>
      </c>
      <c r="D35" s="97"/>
      <c r="E35" s="97"/>
    </row>
    <row r="36" spans="1:5">
      <c r="A36" s="97" t="s">
        <v>708</v>
      </c>
      <c r="B36" s="99" t="s">
        <v>13</v>
      </c>
      <c r="C36" s="98" t="s">
        <v>1491</v>
      </c>
      <c r="D36" s="97"/>
      <c r="E36" s="97"/>
    </row>
    <row r="37" spans="1:5">
      <c r="A37" s="97" t="s">
        <v>764</v>
      </c>
      <c r="B37" s="99" t="s">
        <v>1492</v>
      </c>
      <c r="C37" s="98" t="s">
        <v>1491</v>
      </c>
      <c r="D37" s="97"/>
      <c r="E37" s="97"/>
    </row>
    <row r="38" spans="1:5">
      <c r="A38" s="97" t="s">
        <v>764</v>
      </c>
      <c r="B38" s="99" t="s">
        <v>13</v>
      </c>
      <c r="C38" s="98" t="s">
        <v>1491</v>
      </c>
      <c r="D38" s="97"/>
      <c r="E38" s="97"/>
    </row>
    <row r="39" spans="1:5">
      <c r="A39" s="97" t="s">
        <v>806</v>
      </c>
      <c r="B39" s="99" t="s">
        <v>1492</v>
      </c>
      <c r="C39" s="98" t="s">
        <v>1491</v>
      </c>
      <c r="D39" s="97"/>
      <c r="E39" s="97"/>
    </row>
    <row r="40" spans="1:5">
      <c r="A40" s="97" t="s">
        <v>806</v>
      </c>
      <c r="B40" s="99" t="s">
        <v>1492</v>
      </c>
      <c r="C40" s="98" t="s">
        <v>1491</v>
      </c>
      <c r="D40" s="97"/>
      <c r="E40" s="97"/>
    </row>
    <row r="41" spans="1:5">
      <c r="A41" s="97" t="s">
        <v>841</v>
      </c>
      <c r="B41" s="99" t="s">
        <v>1492</v>
      </c>
      <c r="C41" s="98" t="s">
        <v>1491</v>
      </c>
      <c r="D41" s="97"/>
      <c r="E41" s="97"/>
    </row>
    <row r="42" spans="1:5">
      <c r="A42" s="97" t="s">
        <v>856</v>
      </c>
      <c r="B42" s="99" t="s">
        <v>1492</v>
      </c>
      <c r="C42" s="98" t="s">
        <v>1491</v>
      </c>
      <c r="D42" s="97"/>
      <c r="E42" s="97"/>
    </row>
    <row r="43" spans="1:5">
      <c r="A43" s="97" t="s">
        <v>858</v>
      </c>
      <c r="B43" s="99" t="s">
        <v>1492</v>
      </c>
      <c r="C43" s="98" t="s">
        <v>1491</v>
      </c>
      <c r="D43" s="97"/>
      <c r="E43" s="97"/>
    </row>
    <row r="44" spans="1:5">
      <c r="A44" s="97" t="s">
        <v>878</v>
      </c>
      <c r="B44" s="99" t="s">
        <v>1492</v>
      </c>
      <c r="C44" s="98" t="s">
        <v>1491</v>
      </c>
      <c r="D44" s="97"/>
      <c r="E44" s="97"/>
    </row>
    <row r="45" spans="1:5">
      <c r="A45" s="97" t="s">
        <v>889</v>
      </c>
      <c r="B45" s="99" t="s">
        <v>1492</v>
      </c>
      <c r="C45" s="98" t="s">
        <v>1491</v>
      </c>
      <c r="D45" s="97"/>
      <c r="E45" s="97"/>
    </row>
    <row r="46" spans="1:5">
      <c r="A46" s="97" t="s">
        <v>900</v>
      </c>
      <c r="B46" s="97" t="s">
        <v>30</v>
      </c>
      <c r="C46" s="98" t="s">
        <v>1491</v>
      </c>
      <c r="D46" s="97"/>
      <c r="E46" s="97"/>
    </row>
    <row r="47" spans="1:5">
      <c r="A47" s="97" t="s">
        <v>909</v>
      </c>
      <c r="B47" s="97" t="s">
        <v>30</v>
      </c>
      <c r="C47" s="98" t="s">
        <v>1491</v>
      </c>
      <c r="D47" s="97"/>
      <c r="E47" s="97"/>
    </row>
    <row r="48" spans="1:5">
      <c r="A48" s="97" t="s">
        <v>922</v>
      </c>
      <c r="B48" s="99" t="s">
        <v>1492</v>
      </c>
      <c r="C48" s="98" t="s">
        <v>1491</v>
      </c>
      <c r="D48" s="97"/>
      <c r="E48" s="97"/>
    </row>
    <row r="49" spans="1:5">
      <c r="A49" s="97" t="s">
        <v>74</v>
      </c>
      <c r="B49" s="97" t="s">
        <v>30</v>
      </c>
      <c r="C49" s="98" t="s">
        <v>1491</v>
      </c>
      <c r="D49" s="97"/>
      <c r="E49" s="97"/>
    </row>
    <row r="50" spans="1:5">
      <c r="A50" s="97" t="s">
        <v>934</v>
      </c>
      <c r="B50" s="99" t="s">
        <v>13</v>
      </c>
      <c r="C50" s="98" t="s">
        <v>1491</v>
      </c>
      <c r="D50" s="97"/>
      <c r="E50" s="97"/>
    </row>
    <row r="51" spans="1:5">
      <c r="A51" s="97" t="s">
        <v>931</v>
      </c>
      <c r="B51" s="99" t="s">
        <v>13</v>
      </c>
      <c r="C51" s="98" t="s">
        <v>1491</v>
      </c>
      <c r="D51" s="97"/>
      <c r="E51" s="97"/>
    </row>
    <row r="52" spans="1:5">
      <c r="A52" s="97" t="s">
        <v>600</v>
      </c>
      <c r="B52" s="99" t="s">
        <v>13</v>
      </c>
      <c r="C52" s="98" t="s">
        <v>1491</v>
      </c>
      <c r="D52" s="97"/>
      <c r="E52" s="97"/>
    </row>
    <row r="53" spans="1:5">
      <c r="A53" s="97" t="s">
        <v>600</v>
      </c>
      <c r="B53" s="99" t="s">
        <v>1492</v>
      </c>
      <c r="C53" s="98" t="s">
        <v>1491</v>
      </c>
      <c r="D53" s="97"/>
      <c r="E53" s="97"/>
    </row>
    <row r="54" spans="1:5">
      <c r="A54" s="97" t="s">
        <v>1003</v>
      </c>
      <c r="B54" s="99" t="s">
        <v>13</v>
      </c>
      <c r="C54" s="98" t="s">
        <v>1491</v>
      </c>
      <c r="D54" s="97"/>
      <c r="E54" s="97"/>
    </row>
    <row r="55" spans="1:5">
      <c r="A55" s="97" t="s">
        <v>1003</v>
      </c>
      <c r="B55" s="99" t="s">
        <v>1492</v>
      </c>
      <c r="C55" s="98" t="s">
        <v>1491</v>
      </c>
      <c r="D55" s="97"/>
      <c r="E55" s="97"/>
    </row>
    <row r="56" spans="1:5">
      <c r="A56" s="97" t="s">
        <v>115</v>
      </c>
      <c r="B56" s="99" t="s">
        <v>13</v>
      </c>
      <c r="C56" s="98" t="s">
        <v>1491</v>
      </c>
      <c r="D56" s="97"/>
      <c r="E56" s="97"/>
    </row>
    <row r="57" spans="1:5">
      <c r="A57" s="97" t="s">
        <v>115</v>
      </c>
      <c r="B57" s="99" t="s">
        <v>44</v>
      </c>
      <c r="C57" s="98" t="s">
        <v>1491</v>
      </c>
      <c r="D57" s="97"/>
      <c r="E57" s="97"/>
    </row>
    <row r="58" spans="1:5">
      <c r="A58" s="97" t="s">
        <v>528</v>
      </c>
      <c r="B58" s="99" t="s">
        <v>13</v>
      </c>
      <c r="C58" s="98" t="s">
        <v>1491</v>
      </c>
      <c r="D58" s="97"/>
      <c r="E58" s="97"/>
    </row>
    <row r="59" spans="1:5">
      <c r="A59" s="97" t="s">
        <v>528</v>
      </c>
      <c r="B59" s="99" t="s">
        <v>44</v>
      </c>
      <c r="C59" s="98" t="s">
        <v>1491</v>
      </c>
      <c r="D59" s="97"/>
      <c r="E59" s="97"/>
    </row>
    <row r="60" spans="1:5">
      <c r="A60" s="97" t="s">
        <v>208</v>
      </c>
      <c r="B60" s="99" t="s">
        <v>13</v>
      </c>
      <c r="C60" s="98" t="s">
        <v>1491</v>
      </c>
      <c r="D60" s="97"/>
      <c r="E60" s="97"/>
    </row>
    <row r="61" spans="1:5">
      <c r="A61" s="97" t="s">
        <v>208</v>
      </c>
      <c r="B61" s="99" t="s">
        <v>44</v>
      </c>
      <c r="C61" s="98" t="s">
        <v>1491</v>
      </c>
      <c r="D61" s="97"/>
      <c r="E61" s="97"/>
    </row>
    <row r="62" spans="1:5">
      <c r="A62" s="97" t="s">
        <v>1102</v>
      </c>
      <c r="B62" s="97" t="s">
        <v>30</v>
      </c>
      <c r="C62" s="98" t="s">
        <v>1491</v>
      </c>
      <c r="D62" s="97"/>
      <c r="E62" s="97"/>
    </row>
    <row r="63" spans="1:5">
      <c r="A63" s="97" t="s">
        <v>1230</v>
      </c>
      <c r="B63" s="97" t="s">
        <v>30</v>
      </c>
      <c r="C63" s="98" t="s">
        <v>1491</v>
      </c>
      <c r="D63" s="97"/>
      <c r="E63" s="97"/>
    </row>
    <row r="64" spans="1:5">
      <c r="A64" s="97" t="s">
        <v>1237</v>
      </c>
      <c r="B64" s="97" t="s">
        <v>30</v>
      </c>
      <c r="C64" s="98" t="s">
        <v>1491</v>
      </c>
      <c r="D64" s="97"/>
      <c r="E64" s="97"/>
    </row>
    <row r="65" spans="1:5">
      <c r="A65" s="97" t="s">
        <v>1245</v>
      </c>
      <c r="B65" s="97" t="s">
        <v>30</v>
      </c>
      <c r="C65" s="98" t="s">
        <v>1491</v>
      </c>
      <c r="D65" s="97"/>
      <c r="E65" s="97"/>
    </row>
    <row r="66" spans="1:5">
      <c r="C66" s="13"/>
    </row>
    <row r="67" spans="1:5">
      <c r="C67" s="13"/>
    </row>
    <row r="68" spans="1:5">
      <c r="C68" s="13"/>
    </row>
    <row r="69" spans="1:5">
      <c r="B69" s="100" t="s">
        <v>13</v>
      </c>
      <c r="C69" s="13"/>
    </row>
    <row r="70" spans="1:5">
      <c r="B70" s="100" t="s">
        <v>1492</v>
      </c>
      <c r="C70" s="13"/>
    </row>
    <row r="71" spans="1:5">
      <c r="B71" s="100" t="s">
        <v>30</v>
      </c>
      <c r="C71" s="13"/>
    </row>
    <row r="72" spans="1:5">
      <c r="B72" s="100" t="s">
        <v>56</v>
      </c>
      <c r="C72" s="13"/>
    </row>
    <row r="73" spans="1:5">
      <c r="C73" s="13"/>
    </row>
    <row r="74" spans="1:5">
      <c r="C74" s="13"/>
    </row>
    <row r="75" spans="1:5">
      <c r="C75" s="13"/>
    </row>
    <row r="76" spans="1:5">
      <c r="C76" s="13"/>
    </row>
    <row r="77" spans="1:5">
      <c r="C77" s="13"/>
    </row>
    <row r="78" spans="1:5">
      <c r="C78" s="13"/>
    </row>
    <row r="79" spans="1:5">
      <c r="C79" s="13"/>
    </row>
    <row r="80" spans="1:5">
      <c r="C80" s="13"/>
    </row>
    <row r="81" spans="3:3">
      <c r="C81" s="13"/>
    </row>
    <row r="82" spans="3:3">
      <c r="C82" s="13"/>
    </row>
    <row r="83" spans="3:3">
      <c r="C83" s="13"/>
    </row>
    <row r="84" spans="3:3">
      <c r="C84" s="13"/>
    </row>
    <row r="85" spans="3:3">
      <c r="C85" s="13"/>
    </row>
    <row r="86" spans="3:3">
      <c r="C86" s="13"/>
    </row>
    <row r="87" spans="3:3">
      <c r="C87" s="13"/>
    </row>
    <row r="88" spans="3:3">
      <c r="C88" s="13"/>
    </row>
    <row r="89" spans="3:3">
      <c r="C89" s="13"/>
    </row>
    <row r="90" spans="3:3">
      <c r="C90" s="13"/>
    </row>
    <row r="91" spans="3:3">
      <c r="C91" s="13"/>
    </row>
    <row r="92" spans="3:3">
      <c r="C92" s="13"/>
    </row>
    <row r="93" spans="3:3">
      <c r="C93" s="13"/>
    </row>
    <row r="94" spans="3:3">
      <c r="C94" s="13"/>
    </row>
    <row r="95" spans="3:3">
      <c r="C95" s="13"/>
    </row>
    <row r="96" spans="3:3">
      <c r="C96" s="13"/>
    </row>
    <row r="97" spans="3:3">
      <c r="C97" s="13"/>
    </row>
    <row r="98" spans="3:3">
      <c r="C98" s="13"/>
    </row>
    <row r="99" spans="3:3">
      <c r="C99" s="13"/>
    </row>
    <row r="100" spans="3:3">
      <c r="C100" s="13"/>
    </row>
    <row r="101" spans="3:3">
      <c r="C101" s="13"/>
    </row>
    <row r="102" spans="3:3">
      <c r="C102" s="13"/>
    </row>
    <row r="103" spans="3:3">
      <c r="C103" s="13"/>
    </row>
    <row r="104" spans="3:3">
      <c r="C104" s="13"/>
    </row>
    <row r="105" spans="3:3">
      <c r="C105" s="13"/>
    </row>
    <row r="106" spans="3:3">
      <c r="C106" s="13"/>
    </row>
    <row r="107" spans="3:3">
      <c r="C107" s="13"/>
    </row>
    <row r="108" spans="3:3">
      <c r="C108" s="13"/>
    </row>
    <row r="109" spans="3:3">
      <c r="C109" s="13"/>
    </row>
    <row r="110" spans="3:3">
      <c r="C110" s="13"/>
    </row>
    <row r="111" spans="3:3">
      <c r="C111" s="13"/>
    </row>
    <row r="112" spans="3:3">
      <c r="C112" s="13"/>
    </row>
    <row r="113" spans="3:3">
      <c r="C113" s="13"/>
    </row>
    <row r="114" spans="3:3">
      <c r="C114" s="13"/>
    </row>
    <row r="115" spans="3:3">
      <c r="C115" s="13"/>
    </row>
    <row r="116" spans="3:3">
      <c r="C116" s="13"/>
    </row>
    <row r="117" spans="3:3">
      <c r="C117" s="13"/>
    </row>
    <row r="118" spans="3:3">
      <c r="C118" s="13"/>
    </row>
    <row r="119" spans="3:3">
      <c r="C119" s="13"/>
    </row>
    <row r="120" spans="3:3">
      <c r="C120" s="13"/>
    </row>
    <row r="121" spans="3:3">
      <c r="C121" s="13"/>
    </row>
    <row r="122" spans="3:3">
      <c r="C122" s="13"/>
    </row>
    <row r="123" spans="3:3">
      <c r="C123" s="13"/>
    </row>
    <row r="124" spans="3:3">
      <c r="C124" s="13"/>
    </row>
    <row r="125" spans="3:3">
      <c r="C125" s="13"/>
    </row>
    <row r="126" spans="3:3">
      <c r="C126" s="13"/>
    </row>
    <row r="127" spans="3:3">
      <c r="C127" s="13"/>
    </row>
    <row r="128" spans="3:3">
      <c r="C128" s="13"/>
    </row>
    <row r="129" spans="3:3">
      <c r="C129" s="13"/>
    </row>
    <row r="130" spans="3:3">
      <c r="C130" s="13"/>
    </row>
    <row r="131" spans="3:3">
      <c r="C131" s="13"/>
    </row>
    <row r="132" spans="3:3">
      <c r="C132" s="13"/>
    </row>
    <row r="133" spans="3:3">
      <c r="C133" s="13"/>
    </row>
    <row r="134" spans="3:3">
      <c r="C134" s="13"/>
    </row>
    <row r="135" spans="3:3">
      <c r="C135" s="13"/>
    </row>
    <row r="136" spans="3:3">
      <c r="C136" s="13"/>
    </row>
    <row r="137" spans="3:3">
      <c r="C137" s="13"/>
    </row>
    <row r="138" spans="3:3">
      <c r="C138" s="13"/>
    </row>
    <row r="139" spans="3:3">
      <c r="C139" s="13"/>
    </row>
    <row r="140" spans="3:3">
      <c r="C140" s="13"/>
    </row>
    <row r="141" spans="3:3">
      <c r="C141" s="13"/>
    </row>
    <row r="142" spans="3:3">
      <c r="C142" s="13"/>
    </row>
    <row r="143" spans="3:3">
      <c r="C143" s="13"/>
    </row>
    <row r="144" spans="3:3">
      <c r="C144" s="13"/>
    </row>
    <row r="145" spans="3:3">
      <c r="C145" s="13"/>
    </row>
    <row r="146" spans="3:3">
      <c r="C146" s="13"/>
    </row>
    <row r="147" spans="3:3">
      <c r="C147" s="13"/>
    </row>
    <row r="148" spans="3:3">
      <c r="C148" s="13"/>
    </row>
    <row r="149" spans="3:3">
      <c r="C149" s="13"/>
    </row>
    <row r="150" spans="3:3">
      <c r="C150" s="13"/>
    </row>
    <row r="151" spans="3:3">
      <c r="C151" s="13"/>
    </row>
    <row r="152" spans="3:3">
      <c r="C152" s="13"/>
    </row>
    <row r="153" spans="3:3">
      <c r="C153" s="13"/>
    </row>
    <row r="154" spans="3:3">
      <c r="C154" s="13"/>
    </row>
    <row r="155" spans="3:3">
      <c r="C155" s="13"/>
    </row>
    <row r="156" spans="3:3">
      <c r="C156" s="13"/>
    </row>
    <row r="157" spans="3:3">
      <c r="C157" s="13"/>
    </row>
    <row r="158" spans="3:3">
      <c r="C158" s="13"/>
    </row>
    <row r="159" spans="3:3">
      <c r="C159" s="13"/>
    </row>
    <row r="160" spans="3:3">
      <c r="C160" s="13"/>
    </row>
    <row r="161" spans="3:3">
      <c r="C161" s="13"/>
    </row>
    <row r="162" spans="3:3">
      <c r="C162" s="13"/>
    </row>
    <row r="163" spans="3:3">
      <c r="C163" s="13"/>
    </row>
    <row r="164" spans="3:3">
      <c r="C164" s="13"/>
    </row>
    <row r="165" spans="3:3">
      <c r="C165" s="13"/>
    </row>
    <row r="166" spans="3:3">
      <c r="C166" s="13"/>
    </row>
    <row r="167" spans="3:3">
      <c r="C167" s="13"/>
    </row>
    <row r="168" spans="3:3">
      <c r="C168" s="13"/>
    </row>
    <row r="169" spans="3:3">
      <c r="C169" s="13"/>
    </row>
    <row r="170" spans="3:3">
      <c r="C170" s="13"/>
    </row>
    <row r="171" spans="3:3">
      <c r="C171" s="13"/>
    </row>
    <row r="172" spans="3:3">
      <c r="C172" s="13"/>
    </row>
    <row r="173" spans="3:3">
      <c r="C173" s="13"/>
    </row>
    <row r="174" spans="3:3">
      <c r="C174" s="13"/>
    </row>
    <row r="175" spans="3:3">
      <c r="C175" s="13"/>
    </row>
    <row r="176" spans="3:3">
      <c r="C176" s="13"/>
    </row>
    <row r="177" spans="3:3">
      <c r="C177" s="13"/>
    </row>
    <row r="178" spans="3:3">
      <c r="C178" s="13"/>
    </row>
    <row r="179" spans="3:3">
      <c r="C179" s="13"/>
    </row>
    <row r="180" spans="3:3">
      <c r="C180" s="13"/>
    </row>
    <row r="181" spans="3:3">
      <c r="C181" s="13"/>
    </row>
    <row r="182" spans="3:3">
      <c r="C182" s="13"/>
    </row>
    <row r="183" spans="3:3">
      <c r="C183" s="13"/>
    </row>
    <row r="184" spans="3:3">
      <c r="C184" s="13"/>
    </row>
    <row r="185" spans="3:3">
      <c r="C185" s="13"/>
    </row>
    <row r="186" spans="3:3">
      <c r="C186" s="13"/>
    </row>
    <row r="187" spans="3:3">
      <c r="C187" s="13"/>
    </row>
    <row r="188" spans="3:3">
      <c r="C188" s="13"/>
    </row>
    <row r="189" spans="3:3">
      <c r="C189" s="13"/>
    </row>
    <row r="190" spans="3:3">
      <c r="C190" s="13"/>
    </row>
    <row r="191" spans="3:3">
      <c r="C191" s="13"/>
    </row>
    <row r="192" spans="3:3">
      <c r="C192" s="13"/>
    </row>
    <row r="193" spans="3:3">
      <c r="C193" s="13"/>
    </row>
    <row r="194" spans="3:3">
      <c r="C194" s="13"/>
    </row>
    <row r="195" spans="3:3">
      <c r="C195" s="13"/>
    </row>
    <row r="196" spans="3:3">
      <c r="C196" s="13"/>
    </row>
    <row r="197" spans="3:3">
      <c r="C197" s="13"/>
    </row>
    <row r="198" spans="3:3">
      <c r="C198" s="13"/>
    </row>
    <row r="199" spans="3:3">
      <c r="C199" s="13"/>
    </row>
    <row r="200" spans="3:3">
      <c r="C200" s="13"/>
    </row>
    <row r="201" spans="3:3">
      <c r="C201" s="13"/>
    </row>
    <row r="202" spans="3:3">
      <c r="C202" s="13"/>
    </row>
    <row r="203" spans="3:3">
      <c r="C203" s="13"/>
    </row>
    <row r="204" spans="3:3">
      <c r="C204" s="13"/>
    </row>
    <row r="205" spans="3:3">
      <c r="C205" s="13"/>
    </row>
    <row r="206" spans="3:3">
      <c r="C206" s="13"/>
    </row>
    <row r="207" spans="3:3">
      <c r="C207" s="13"/>
    </row>
    <row r="208" spans="3:3">
      <c r="C208" s="13"/>
    </row>
    <row r="209" spans="3:3">
      <c r="C209" s="13"/>
    </row>
    <row r="210" spans="3:3">
      <c r="C210" s="13"/>
    </row>
    <row r="211" spans="3:3">
      <c r="C211" s="13"/>
    </row>
    <row r="212" spans="3:3">
      <c r="C212" s="13"/>
    </row>
    <row r="213" spans="3:3">
      <c r="C213" s="13"/>
    </row>
    <row r="214" spans="3:3">
      <c r="C214" s="13"/>
    </row>
    <row r="215" spans="3:3">
      <c r="C215" s="13"/>
    </row>
    <row r="216" spans="3:3">
      <c r="C216" s="13"/>
    </row>
    <row r="217" spans="3:3">
      <c r="C217" s="13"/>
    </row>
    <row r="218" spans="3:3">
      <c r="C218" s="13"/>
    </row>
    <row r="219" spans="3:3">
      <c r="C219" s="13"/>
    </row>
    <row r="220" spans="3:3">
      <c r="C220" s="13"/>
    </row>
    <row r="221" spans="3:3">
      <c r="C221" s="13"/>
    </row>
    <row r="222" spans="3:3">
      <c r="C222" s="13"/>
    </row>
    <row r="223" spans="3:3">
      <c r="C223" s="13"/>
    </row>
    <row r="224" spans="3:3">
      <c r="C224" s="13"/>
    </row>
    <row r="225" spans="3:3">
      <c r="C225" s="13"/>
    </row>
    <row r="226" spans="3:3">
      <c r="C226" s="13"/>
    </row>
    <row r="227" spans="3:3">
      <c r="C227" s="13"/>
    </row>
    <row r="228" spans="3:3">
      <c r="C228" s="13"/>
    </row>
    <row r="229" spans="3:3">
      <c r="C229" s="13"/>
    </row>
    <row r="230" spans="3:3">
      <c r="C230" s="13"/>
    </row>
    <row r="231" spans="3:3">
      <c r="C231" s="13"/>
    </row>
    <row r="232" spans="3:3">
      <c r="C232" s="13"/>
    </row>
    <row r="233" spans="3:3">
      <c r="C233" s="13"/>
    </row>
    <row r="234" spans="3:3">
      <c r="C234" s="13"/>
    </row>
    <row r="235" spans="3:3">
      <c r="C235" s="13"/>
    </row>
    <row r="236" spans="3:3">
      <c r="C236" s="13"/>
    </row>
    <row r="237" spans="3:3">
      <c r="C237" s="13"/>
    </row>
    <row r="238" spans="3:3">
      <c r="C238" s="13"/>
    </row>
    <row r="239" spans="3:3">
      <c r="C239" s="13"/>
    </row>
    <row r="240" spans="3:3">
      <c r="C240" s="13"/>
    </row>
    <row r="241" spans="3:3">
      <c r="C241" s="13"/>
    </row>
    <row r="242" spans="3:3">
      <c r="C242" s="13"/>
    </row>
    <row r="243" spans="3:3">
      <c r="C243" s="13"/>
    </row>
    <row r="244" spans="3:3">
      <c r="C244" s="13"/>
    </row>
    <row r="245" spans="3:3">
      <c r="C245" s="13"/>
    </row>
    <row r="246" spans="3:3">
      <c r="C246" s="13"/>
    </row>
    <row r="247" spans="3:3">
      <c r="C247" s="13"/>
    </row>
    <row r="248" spans="3:3">
      <c r="C248" s="13"/>
    </row>
    <row r="249" spans="3:3">
      <c r="C249" s="13"/>
    </row>
    <row r="250" spans="3:3">
      <c r="C250" s="13"/>
    </row>
    <row r="251" spans="3:3">
      <c r="C251" s="13"/>
    </row>
    <row r="252" spans="3:3">
      <c r="C252" s="13"/>
    </row>
    <row r="253" spans="3:3">
      <c r="C253" s="13"/>
    </row>
    <row r="254" spans="3:3">
      <c r="C254" s="13"/>
    </row>
    <row r="255" spans="3:3">
      <c r="C255" s="13"/>
    </row>
    <row r="256" spans="3:3">
      <c r="C256" s="13"/>
    </row>
    <row r="257" spans="3:3">
      <c r="C257" s="13"/>
    </row>
    <row r="258" spans="3:3">
      <c r="C258" s="13"/>
    </row>
    <row r="259" spans="3:3">
      <c r="C259" s="13"/>
    </row>
    <row r="260" spans="3:3">
      <c r="C260" s="13"/>
    </row>
    <row r="261" spans="3:3">
      <c r="C261" s="13"/>
    </row>
    <row r="262" spans="3:3">
      <c r="C262" s="13"/>
    </row>
    <row r="263" spans="3:3">
      <c r="C263" s="13"/>
    </row>
    <row r="264" spans="3:3">
      <c r="C264" s="13"/>
    </row>
    <row r="265" spans="3:3">
      <c r="C265" s="13"/>
    </row>
    <row r="266" spans="3:3">
      <c r="C266" s="13"/>
    </row>
    <row r="267" spans="3:3">
      <c r="C267" s="13"/>
    </row>
    <row r="268" spans="3:3">
      <c r="C268" s="13"/>
    </row>
    <row r="269" spans="3:3">
      <c r="C269" s="13"/>
    </row>
    <row r="270" spans="3:3">
      <c r="C270" s="13"/>
    </row>
    <row r="271" spans="3:3">
      <c r="C271" s="13"/>
    </row>
    <row r="272" spans="3:3">
      <c r="C272" s="13"/>
    </row>
    <row r="273" spans="3:3">
      <c r="C273" s="13"/>
    </row>
    <row r="274" spans="3:3">
      <c r="C274" s="13"/>
    </row>
    <row r="275" spans="3:3">
      <c r="C275" s="13"/>
    </row>
    <row r="276" spans="3:3">
      <c r="C276" s="13"/>
    </row>
    <row r="277" spans="3:3">
      <c r="C277" s="13"/>
    </row>
    <row r="278" spans="3:3">
      <c r="C278" s="13"/>
    </row>
    <row r="279" spans="3:3">
      <c r="C279" s="13"/>
    </row>
    <row r="280" spans="3:3">
      <c r="C280" s="13"/>
    </row>
    <row r="281" spans="3:3">
      <c r="C281" s="13"/>
    </row>
    <row r="282" spans="3:3">
      <c r="C282" s="13"/>
    </row>
    <row r="283" spans="3:3">
      <c r="C283" s="13"/>
    </row>
    <row r="284" spans="3:3">
      <c r="C284" s="13"/>
    </row>
    <row r="285" spans="3:3">
      <c r="C285" s="13"/>
    </row>
    <row r="286" spans="3:3">
      <c r="C286" s="13"/>
    </row>
    <row r="287" spans="3:3">
      <c r="C287" s="13"/>
    </row>
    <row r="288" spans="3:3">
      <c r="C288" s="13"/>
    </row>
    <row r="289" spans="3:3">
      <c r="C289" s="13"/>
    </row>
    <row r="290" spans="3:3">
      <c r="C290" s="13"/>
    </row>
    <row r="291" spans="3:3">
      <c r="C291" s="13"/>
    </row>
    <row r="292" spans="3:3">
      <c r="C292" s="13"/>
    </row>
    <row r="293" spans="3:3">
      <c r="C293" s="13"/>
    </row>
    <row r="294" spans="3:3">
      <c r="C294" s="13"/>
    </row>
    <row r="295" spans="3:3">
      <c r="C295" s="13"/>
    </row>
    <row r="296" spans="3:3">
      <c r="C296" s="13"/>
    </row>
    <row r="297" spans="3:3">
      <c r="C297" s="13"/>
    </row>
    <row r="298" spans="3:3">
      <c r="C298" s="13"/>
    </row>
    <row r="299" spans="3:3">
      <c r="C299" s="13"/>
    </row>
    <row r="300" spans="3:3">
      <c r="C300" s="13"/>
    </row>
    <row r="301" spans="3:3">
      <c r="C301" s="13"/>
    </row>
    <row r="302" spans="3:3">
      <c r="C302" s="13"/>
    </row>
    <row r="303" spans="3:3">
      <c r="C303" s="13"/>
    </row>
    <row r="304" spans="3:3">
      <c r="C304" s="13"/>
    </row>
    <row r="305" spans="3:3">
      <c r="C305" s="13"/>
    </row>
    <row r="306" spans="3:3">
      <c r="C306" s="13"/>
    </row>
    <row r="307" spans="3:3">
      <c r="C307" s="13"/>
    </row>
    <row r="308" spans="3:3">
      <c r="C308" s="13"/>
    </row>
    <row r="309" spans="3:3">
      <c r="C309" s="13"/>
    </row>
    <row r="310" spans="3:3">
      <c r="C310" s="13"/>
    </row>
    <row r="311" spans="3:3">
      <c r="C311" s="13"/>
    </row>
    <row r="312" spans="3:3">
      <c r="C312" s="13"/>
    </row>
    <row r="313" spans="3:3">
      <c r="C313" s="13"/>
    </row>
    <row r="314" spans="3:3">
      <c r="C314" s="13"/>
    </row>
    <row r="315" spans="3:3">
      <c r="C315" s="13"/>
    </row>
    <row r="316" spans="3:3">
      <c r="C316" s="13"/>
    </row>
    <row r="317" spans="3:3">
      <c r="C317" s="13"/>
    </row>
    <row r="318" spans="3:3">
      <c r="C318" s="13"/>
    </row>
    <row r="319" spans="3:3">
      <c r="C319" s="13"/>
    </row>
    <row r="320" spans="3:3">
      <c r="C320" s="13"/>
    </row>
    <row r="321" spans="3:3">
      <c r="C321" s="13"/>
    </row>
    <row r="322" spans="3:3">
      <c r="C322" s="13"/>
    </row>
    <row r="323" spans="3:3">
      <c r="C323" s="13"/>
    </row>
    <row r="324" spans="3:3">
      <c r="C324" s="13"/>
    </row>
    <row r="325" spans="3:3">
      <c r="C325" s="13"/>
    </row>
    <row r="326" spans="3:3">
      <c r="C326" s="13"/>
    </row>
    <row r="327" spans="3:3">
      <c r="C327" s="13"/>
    </row>
    <row r="328" spans="3:3">
      <c r="C328" s="13"/>
    </row>
    <row r="329" spans="3:3">
      <c r="C329" s="13"/>
    </row>
    <row r="330" spans="3:3">
      <c r="C330" s="13"/>
    </row>
    <row r="331" spans="3:3">
      <c r="C331" s="13"/>
    </row>
    <row r="332" spans="3:3">
      <c r="C332" s="13"/>
    </row>
    <row r="333" spans="3:3">
      <c r="C333" s="13"/>
    </row>
    <row r="334" spans="3:3">
      <c r="C334" s="13"/>
    </row>
    <row r="335" spans="3:3">
      <c r="C335" s="13"/>
    </row>
    <row r="336" spans="3:3">
      <c r="C336" s="13"/>
    </row>
    <row r="337" spans="3:3">
      <c r="C337" s="13"/>
    </row>
    <row r="338" spans="3:3">
      <c r="C338" s="13"/>
    </row>
    <row r="339" spans="3:3">
      <c r="C339" s="13"/>
    </row>
    <row r="340" spans="3:3">
      <c r="C340" s="13"/>
    </row>
    <row r="341" spans="3:3">
      <c r="C341" s="13"/>
    </row>
    <row r="342" spans="3:3">
      <c r="C342" s="13"/>
    </row>
    <row r="343" spans="3:3">
      <c r="C343" s="13"/>
    </row>
    <row r="344" spans="3:3">
      <c r="C344" s="13"/>
    </row>
    <row r="345" spans="3:3">
      <c r="C345" s="13"/>
    </row>
    <row r="346" spans="3:3">
      <c r="C346" s="13"/>
    </row>
    <row r="347" spans="3:3">
      <c r="C347" s="13"/>
    </row>
    <row r="348" spans="3:3">
      <c r="C348" s="13"/>
    </row>
    <row r="349" spans="3:3">
      <c r="C349" s="13"/>
    </row>
    <row r="350" spans="3:3">
      <c r="C350" s="13"/>
    </row>
    <row r="351" spans="3:3">
      <c r="C351" s="13"/>
    </row>
    <row r="352" spans="3:3">
      <c r="C352" s="13"/>
    </row>
    <row r="353" spans="3:3">
      <c r="C353" s="13"/>
    </row>
    <row r="354" spans="3:3">
      <c r="C354" s="13"/>
    </row>
    <row r="355" spans="3:3">
      <c r="C355" s="13"/>
    </row>
    <row r="356" spans="3:3">
      <c r="C356" s="13"/>
    </row>
    <row r="357" spans="3:3">
      <c r="C357" s="13"/>
    </row>
    <row r="358" spans="3:3">
      <c r="C358" s="13"/>
    </row>
    <row r="359" spans="3:3">
      <c r="C359" s="13"/>
    </row>
    <row r="360" spans="3:3">
      <c r="C360" s="13"/>
    </row>
    <row r="361" spans="3:3">
      <c r="C361" s="13"/>
    </row>
    <row r="362" spans="3:3">
      <c r="C362" s="13"/>
    </row>
    <row r="363" spans="3:3">
      <c r="C363" s="13"/>
    </row>
    <row r="364" spans="3:3">
      <c r="C364" s="13"/>
    </row>
    <row r="365" spans="3:3">
      <c r="C365" s="13"/>
    </row>
    <row r="366" spans="3:3">
      <c r="C366" s="13"/>
    </row>
    <row r="367" spans="3:3">
      <c r="C367" s="13"/>
    </row>
    <row r="368" spans="3:3">
      <c r="C368" s="13"/>
    </row>
    <row r="369" spans="3:3">
      <c r="C369" s="13"/>
    </row>
    <row r="370" spans="3:3">
      <c r="C370" s="13"/>
    </row>
    <row r="371" spans="3:3">
      <c r="C371" s="13"/>
    </row>
    <row r="372" spans="3:3">
      <c r="C372" s="13"/>
    </row>
    <row r="373" spans="3:3">
      <c r="C373" s="13"/>
    </row>
    <row r="374" spans="3:3">
      <c r="C374" s="13"/>
    </row>
    <row r="375" spans="3:3">
      <c r="C375" s="13"/>
    </row>
    <row r="376" spans="3:3">
      <c r="C376" s="13"/>
    </row>
    <row r="377" spans="3:3">
      <c r="C377" s="13"/>
    </row>
    <row r="378" spans="3:3">
      <c r="C378" s="13"/>
    </row>
    <row r="379" spans="3:3">
      <c r="C379" s="13"/>
    </row>
    <row r="380" spans="3:3">
      <c r="C380" s="13"/>
    </row>
    <row r="381" spans="3:3">
      <c r="C381" s="13"/>
    </row>
    <row r="382" spans="3:3">
      <c r="C382" s="13"/>
    </row>
    <row r="383" spans="3:3">
      <c r="C383" s="13"/>
    </row>
    <row r="384" spans="3:3">
      <c r="C384" s="13"/>
    </row>
    <row r="385" spans="3:3">
      <c r="C385" s="13"/>
    </row>
    <row r="386" spans="3:3">
      <c r="C386" s="13"/>
    </row>
    <row r="387" spans="3:3">
      <c r="C387" s="13"/>
    </row>
    <row r="388" spans="3:3">
      <c r="C388" s="13"/>
    </row>
    <row r="389" spans="3:3">
      <c r="C389" s="13"/>
    </row>
    <row r="390" spans="3:3">
      <c r="C390" s="13"/>
    </row>
    <row r="391" spans="3:3">
      <c r="C391" s="13"/>
    </row>
    <row r="392" spans="3:3">
      <c r="C392" s="13"/>
    </row>
    <row r="393" spans="3:3">
      <c r="C393" s="13"/>
    </row>
    <row r="394" spans="3:3">
      <c r="C394" s="13"/>
    </row>
    <row r="395" spans="3:3">
      <c r="C395" s="13"/>
    </row>
    <row r="396" spans="3:3">
      <c r="C396" s="13"/>
    </row>
    <row r="397" spans="3:3">
      <c r="C397" s="13"/>
    </row>
    <row r="398" spans="3:3">
      <c r="C398" s="13"/>
    </row>
    <row r="399" spans="3:3">
      <c r="C399" s="13"/>
    </row>
    <row r="400" spans="3:3">
      <c r="C400" s="13"/>
    </row>
    <row r="401" spans="3:3">
      <c r="C401" s="13"/>
    </row>
    <row r="402" spans="3:3">
      <c r="C402" s="13"/>
    </row>
    <row r="403" spans="3:3">
      <c r="C403" s="13"/>
    </row>
    <row r="404" spans="3:3">
      <c r="C404" s="13"/>
    </row>
    <row r="405" spans="3:3">
      <c r="C405" s="13"/>
    </row>
    <row r="406" spans="3:3">
      <c r="C406" s="13"/>
    </row>
    <row r="407" spans="3:3">
      <c r="C407" s="13"/>
    </row>
    <row r="408" spans="3:3">
      <c r="C408" s="13"/>
    </row>
    <row r="409" spans="3:3">
      <c r="C409" s="13"/>
    </row>
    <row r="410" spans="3:3">
      <c r="C410" s="13"/>
    </row>
    <row r="411" spans="3:3">
      <c r="C411" s="13"/>
    </row>
    <row r="412" spans="3:3">
      <c r="C412" s="13"/>
    </row>
    <row r="413" spans="3:3">
      <c r="C413" s="13"/>
    </row>
    <row r="414" spans="3:3">
      <c r="C414" s="13"/>
    </row>
    <row r="415" spans="3:3">
      <c r="C415" s="13"/>
    </row>
    <row r="416" spans="3:3">
      <c r="C416" s="13"/>
    </row>
    <row r="417" spans="3:3">
      <c r="C417" s="13"/>
    </row>
    <row r="418" spans="3:3">
      <c r="C418" s="13"/>
    </row>
    <row r="419" spans="3:3">
      <c r="C419" s="13"/>
    </row>
    <row r="420" spans="3:3">
      <c r="C420" s="13"/>
    </row>
    <row r="421" spans="3:3">
      <c r="C421" s="13"/>
    </row>
    <row r="422" spans="3:3">
      <c r="C422" s="13"/>
    </row>
    <row r="423" spans="3:3">
      <c r="C423" s="13"/>
    </row>
    <row r="424" spans="3:3">
      <c r="C424" s="13"/>
    </row>
    <row r="425" spans="3:3">
      <c r="C425" s="13"/>
    </row>
    <row r="426" spans="3:3">
      <c r="C426" s="13"/>
    </row>
    <row r="427" spans="3:3">
      <c r="C427" s="13"/>
    </row>
    <row r="428" spans="3:3">
      <c r="C428" s="13"/>
    </row>
    <row r="429" spans="3:3">
      <c r="C429" s="13"/>
    </row>
    <row r="430" spans="3:3">
      <c r="C430" s="13"/>
    </row>
    <row r="431" spans="3:3">
      <c r="C431" s="13"/>
    </row>
    <row r="432" spans="3:3">
      <c r="C432" s="13"/>
    </row>
    <row r="433" spans="3:3">
      <c r="C433" s="13"/>
    </row>
    <row r="434" spans="3:3">
      <c r="C434" s="13"/>
    </row>
    <row r="435" spans="3:3">
      <c r="C435" s="13"/>
    </row>
    <row r="436" spans="3:3">
      <c r="C436" s="13"/>
    </row>
    <row r="437" spans="3:3">
      <c r="C437" s="13"/>
    </row>
    <row r="438" spans="3:3">
      <c r="C438" s="13"/>
    </row>
    <row r="439" spans="3:3">
      <c r="C439" s="13"/>
    </row>
    <row r="440" spans="3:3">
      <c r="C440" s="13"/>
    </row>
    <row r="441" spans="3:3">
      <c r="C441" s="13"/>
    </row>
    <row r="442" spans="3:3">
      <c r="C442" s="13"/>
    </row>
    <row r="443" spans="3:3">
      <c r="C443" s="13"/>
    </row>
    <row r="444" spans="3:3">
      <c r="C444" s="13"/>
    </row>
    <row r="445" spans="3:3">
      <c r="C445" s="13"/>
    </row>
    <row r="446" spans="3:3">
      <c r="C446" s="13"/>
    </row>
    <row r="447" spans="3:3">
      <c r="C447" s="13"/>
    </row>
    <row r="448" spans="3:3">
      <c r="C448" s="13"/>
    </row>
    <row r="449" spans="3:3">
      <c r="C449" s="13"/>
    </row>
    <row r="450" spans="3:3">
      <c r="C450" s="13"/>
    </row>
    <row r="451" spans="3:3">
      <c r="C451" s="13"/>
    </row>
    <row r="452" spans="3:3">
      <c r="C452" s="13"/>
    </row>
    <row r="453" spans="3:3">
      <c r="C453" s="13"/>
    </row>
    <row r="454" spans="3:3">
      <c r="C454" s="13"/>
    </row>
    <row r="455" spans="3:3">
      <c r="C455" s="13"/>
    </row>
    <row r="456" spans="3:3">
      <c r="C456" s="13"/>
    </row>
    <row r="457" spans="3:3">
      <c r="C457" s="13"/>
    </row>
    <row r="458" spans="3:3">
      <c r="C458" s="13"/>
    </row>
    <row r="459" spans="3:3">
      <c r="C459" s="13"/>
    </row>
    <row r="460" spans="3:3">
      <c r="C460" s="13"/>
    </row>
    <row r="461" spans="3:3">
      <c r="C461" s="13"/>
    </row>
    <row r="462" spans="3:3">
      <c r="C462" s="13"/>
    </row>
    <row r="463" spans="3:3">
      <c r="C463" s="13"/>
    </row>
    <row r="464" spans="3:3">
      <c r="C464" s="13"/>
    </row>
    <row r="465" spans="3:3">
      <c r="C465" s="13"/>
    </row>
    <row r="466" spans="3:3">
      <c r="C466" s="13"/>
    </row>
    <row r="467" spans="3:3">
      <c r="C467" s="13"/>
    </row>
    <row r="468" spans="3:3">
      <c r="C468" s="13"/>
    </row>
    <row r="469" spans="3:3">
      <c r="C469" s="13"/>
    </row>
    <row r="470" spans="3:3">
      <c r="C470" s="13"/>
    </row>
    <row r="471" spans="3:3">
      <c r="C471" s="13"/>
    </row>
    <row r="472" spans="3:3">
      <c r="C472" s="13"/>
    </row>
    <row r="473" spans="3:3">
      <c r="C473" s="13"/>
    </row>
    <row r="474" spans="3:3">
      <c r="C474" s="13"/>
    </row>
    <row r="475" spans="3:3">
      <c r="C475" s="13"/>
    </row>
    <row r="476" spans="3:3">
      <c r="C476" s="13"/>
    </row>
    <row r="477" spans="3:3">
      <c r="C477" s="13"/>
    </row>
    <row r="478" spans="3:3">
      <c r="C478" s="13"/>
    </row>
    <row r="479" spans="3:3">
      <c r="C479" s="13"/>
    </row>
    <row r="480" spans="3:3">
      <c r="C480" s="13"/>
    </row>
    <row r="481" spans="3:3">
      <c r="C481" s="13"/>
    </row>
    <row r="482" spans="3:3">
      <c r="C482" s="13"/>
    </row>
    <row r="483" spans="3:3">
      <c r="C483" s="13"/>
    </row>
    <row r="484" spans="3:3">
      <c r="C484" s="13"/>
    </row>
    <row r="485" spans="3:3">
      <c r="C485" s="13"/>
    </row>
    <row r="486" spans="3:3">
      <c r="C486" s="13"/>
    </row>
    <row r="487" spans="3:3">
      <c r="C487" s="13"/>
    </row>
    <row r="488" spans="3:3">
      <c r="C488" s="13"/>
    </row>
    <row r="489" spans="3:3">
      <c r="C489" s="13"/>
    </row>
    <row r="490" spans="3:3">
      <c r="C490" s="13"/>
    </row>
    <row r="491" spans="3:3">
      <c r="C491" s="13"/>
    </row>
    <row r="492" spans="3:3">
      <c r="C492" s="13"/>
    </row>
    <row r="493" spans="3:3">
      <c r="C493" s="13"/>
    </row>
    <row r="494" spans="3:3">
      <c r="C494" s="13"/>
    </row>
    <row r="495" spans="3:3">
      <c r="C495" s="13"/>
    </row>
    <row r="496" spans="3:3">
      <c r="C496" s="13"/>
    </row>
    <row r="497" spans="3:3">
      <c r="C497" s="13"/>
    </row>
    <row r="498" spans="3:3">
      <c r="C498" s="13"/>
    </row>
    <row r="499" spans="3:3">
      <c r="C499" s="13"/>
    </row>
    <row r="500" spans="3:3">
      <c r="C500" s="13"/>
    </row>
    <row r="501" spans="3:3">
      <c r="C501" s="13"/>
    </row>
    <row r="502" spans="3:3">
      <c r="C502" s="13"/>
    </row>
    <row r="503" spans="3:3">
      <c r="C503" s="13"/>
    </row>
    <row r="504" spans="3:3">
      <c r="C504" s="13"/>
    </row>
    <row r="505" spans="3:3">
      <c r="C505" s="13"/>
    </row>
    <row r="506" spans="3:3">
      <c r="C506" s="13"/>
    </row>
    <row r="507" spans="3:3">
      <c r="C507" s="13"/>
    </row>
    <row r="508" spans="3:3">
      <c r="C508" s="13"/>
    </row>
    <row r="509" spans="3:3">
      <c r="C509" s="13"/>
    </row>
    <row r="510" spans="3:3">
      <c r="C510" s="13"/>
    </row>
    <row r="511" spans="3:3">
      <c r="C511" s="13"/>
    </row>
    <row r="512" spans="3:3">
      <c r="C512" s="13"/>
    </row>
    <row r="513" spans="3:3">
      <c r="C513" s="13"/>
    </row>
    <row r="514" spans="3:3">
      <c r="C514" s="13"/>
    </row>
    <row r="515" spans="3:3">
      <c r="C515" s="13"/>
    </row>
    <row r="516" spans="3:3">
      <c r="C516" s="13"/>
    </row>
    <row r="517" spans="3:3">
      <c r="C517" s="13"/>
    </row>
    <row r="518" spans="3:3">
      <c r="C518" s="13"/>
    </row>
    <row r="519" spans="3:3">
      <c r="C519" s="13"/>
    </row>
    <row r="520" spans="3:3">
      <c r="C520" s="13"/>
    </row>
    <row r="521" spans="3:3">
      <c r="C521" s="13"/>
    </row>
    <row r="522" spans="3:3">
      <c r="C522" s="13"/>
    </row>
    <row r="523" spans="3:3">
      <c r="C523" s="13"/>
    </row>
    <row r="524" spans="3:3">
      <c r="C524" s="13"/>
    </row>
    <row r="525" spans="3:3">
      <c r="C525" s="13"/>
    </row>
    <row r="526" spans="3:3">
      <c r="C526" s="13"/>
    </row>
    <row r="527" spans="3:3">
      <c r="C527" s="13"/>
    </row>
    <row r="528" spans="3:3">
      <c r="C528" s="13"/>
    </row>
    <row r="529" spans="3:3">
      <c r="C529" s="13"/>
    </row>
    <row r="530" spans="3:3">
      <c r="C530" s="13"/>
    </row>
    <row r="531" spans="3:3">
      <c r="C531" s="13"/>
    </row>
    <row r="532" spans="3:3">
      <c r="C532" s="13"/>
    </row>
    <row r="533" spans="3:3">
      <c r="C533" s="13"/>
    </row>
    <row r="534" spans="3:3">
      <c r="C534" s="13"/>
    </row>
    <row r="535" spans="3:3">
      <c r="C535" s="13"/>
    </row>
    <row r="536" spans="3:3">
      <c r="C536" s="13"/>
    </row>
    <row r="537" spans="3:3">
      <c r="C537" s="13"/>
    </row>
    <row r="538" spans="3:3">
      <c r="C538" s="13"/>
    </row>
    <row r="539" spans="3:3">
      <c r="C539" s="13"/>
    </row>
    <row r="540" spans="3:3">
      <c r="C540" s="13"/>
    </row>
    <row r="541" spans="3:3">
      <c r="C541" s="13"/>
    </row>
    <row r="542" spans="3:3">
      <c r="C542" s="13"/>
    </row>
    <row r="543" spans="3:3">
      <c r="C543" s="13"/>
    </row>
    <row r="544" spans="3:3">
      <c r="C544" s="13"/>
    </row>
    <row r="545" spans="3:3">
      <c r="C545" s="13"/>
    </row>
    <row r="546" spans="3:3">
      <c r="C546" s="13"/>
    </row>
    <row r="547" spans="3:3">
      <c r="C547" s="13"/>
    </row>
    <row r="548" spans="3:3">
      <c r="C548" s="13"/>
    </row>
    <row r="549" spans="3:3">
      <c r="C549" s="13"/>
    </row>
    <row r="550" spans="3:3">
      <c r="C550" s="13"/>
    </row>
    <row r="551" spans="3:3">
      <c r="C551" s="13"/>
    </row>
    <row r="552" spans="3:3">
      <c r="C552" s="13"/>
    </row>
    <row r="553" spans="3:3">
      <c r="C553" s="13"/>
    </row>
    <row r="554" spans="3:3">
      <c r="C554" s="13"/>
    </row>
    <row r="555" spans="3:3">
      <c r="C555" s="13"/>
    </row>
    <row r="556" spans="3:3">
      <c r="C556" s="13"/>
    </row>
    <row r="557" spans="3:3">
      <c r="C557" s="13"/>
    </row>
    <row r="558" spans="3:3">
      <c r="C558" s="13"/>
    </row>
    <row r="559" spans="3:3">
      <c r="C559" s="13"/>
    </row>
    <row r="560" spans="3:3">
      <c r="C560" s="13"/>
    </row>
    <row r="561" spans="3:3">
      <c r="C561" s="13"/>
    </row>
    <row r="562" spans="3:3">
      <c r="C562" s="13"/>
    </row>
    <row r="563" spans="3:3">
      <c r="C563" s="13"/>
    </row>
    <row r="564" spans="3:3">
      <c r="C564" s="13"/>
    </row>
    <row r="565" spans="3:3">
      <c r="C565" s="13"/>
    </row>
    <row r="566" spans="3:3">
      <c r="C566" s="13"/>
    </row>
    <row r="567" spans="3:3">
      <c r="C567" s="13"/>
    </row>
    <row r="568" spans="3:3">
      <c r="C568" s="13"/>
    </row>
    <row r="569" spans="3:3">
      <c r="C569" s="13"/>
    </row>
    <row r="570" spans="3:3">
      <c r="C570" s="13"/>
    </row>
    <row r="571" spans="3:3">
      <c r="C571" s="13"/>
    </row>
    <row r="572" spans="3:3">
      <c r="C572" s="13"/>
    </row>
    <row r="573" spans="3:3">
      <c r="C573" s="13"/>
    </row>
    <row r="574" spans="3:3">
      <c r="C574" s="13"/>
    </row>
    <row r="575" spans="3:3">
      <c r="C575" s="13"/>
    </row>
    <row r="576" spans="3:3">
      <c r="C576" s="13"/>
    </row>
    <row r="577" spans="3:3">
      <c r="C577" s="13"/>
    </row>
    <row r="578" spans="3:3">
      <c r="C578" s="13"/>
    </row>
    <row r="579" spans="3:3">
      <c r="C579" s="13"/>
    </row>
    <row r="580" spans="3:3">
      <c r="C580" s="13"/>
    </row>
    <row r="581" spans="3:3">
      <c r="C581" s="13"/>
    </row>
    <row r="582" spans="3:3">
      <c r="C582" s="13"/>
    </row>
    <row r="583" spans="3:3">
      <c r="C583" s="13"/>
    </row>
    <row r="584" spans="3:3">
      <c r="C584" s="13"/>
    </row>
    <row r="585" spans="3:3">
      <c r="C585" s="13"/>
    </row>
    <row r="586" spans="3:3">
      <c r="C586" s="13"/>
    </row>
    <row r="587" spans="3:3">
      <c r="C587" s="13"/>
    </row>
    <row r="588" spans="3:3">
      <c r="C588" s="13"/>
    </row>
    <row r="589" spans="3:3">
      <c r="C589" s="13"/>
    </row>
    <row r="590" spans="3:3">
      <c r="C590" s="13"/>
    </row>
    <row r="591" spans="3:3">
      <c r="C591" s="13"/>
    </row>
    <row r="592" spans="3:3">
      <c r="C592" s="13"/>
    </row>
    <row r="593" spans="3:3">
      <c r="C593" s="13"/>
    </row>
    <row r="594" spans="3:3">
      <c r="C594" s="13"/>
    </row>
    <row r="595" spans="3:3">
      <c r="C595" s="13"/>
    </row>
    <row r="596" spans="3:3">
      <c r="C596" s="13"/>
    </row>
    <row r="597" spans="3:3">
      <c r="C597" s="13"/>
    </row>
    <row r="598" spans="3:3">
      <c r="C598" s="13"/>
    </row>
    <row r="599" spans="3:3">
      <c r="C599" s="13"/>
    </row>
    <row r="600" spans="3:3">
      <c r="C600" s="13"/>
    </row>
    <row r="601" spans="3:3">
      <c r="C601" s="13"/>
    </row>
    <row r="602" spans="3:3">
      <c r="C602" s="13"/>
    </row>
    <row r="603" spans="3:3">
      <c r="C603" s="13"/>
    </row>
    <row r="604" spans="3:3">
      <c r="C604" s="13"/>
    </row>
    <row r="605" spans="3:3">
      <c r="C605" s="13"/>
    </row>
    <row r="606" spans="3:3">
      <c r="C606" s="13"/>
    </row>
    <row r="607" spans="3:3">
      <c r="C607" s="13"/>
    </row>
    <row r="608" spans="3:3">
      <c r="C608" s="13"/>
    </row>
    <row r="609" spans="3:3">
      <c r="C609" s="13"/>
    </row>
    <row r="610" spans="3:3">
      <c r="C610" s="13"/>
    </row>
    <row r="611" spans="3:3">
      <c r="C611" s="13"/>
    </row>
    <row r="612" spans="3:3">
      <c r="C612" s="13"/>
    </row>
    <row r="613" spans="3:3">
      <c r="C613" s="13"/>
    </row>
    <row r="614" spans="3:3">
      <c r="C614" s="13"/>
    </row>
    <row r="615" spans="3:3">
      <c r="C615" s="13"/>
    </row>
    <row r="616" spans="3:3">
      <c r="C616" s="13"/>
    </row>
    <row r="617" spans="3:3">
      <c r="C617" s="13"/>
    </row>
    <row r="618" spans="3:3">
      <c r="C618" s="13"/>
    </row>
    <row r="619" spans="3:3">
      <c r="C619" s="13"/>
    </row>
    <row r="620" spans="3:3">
      <c r="C620" s="13"/>
    </row>
    <row r="621" spans="3:3">
      <c r="C621" s="13"/>
    </row>
    <row r="622" spans="3:3">
      <c r="C622" s="13"/>
    </row>
    <row r="623" spans="3:3">
      <c r="C623" s="13"/>
    </row>
    <row r="624" spans="3:3">
      <c r="C624" s="13"/>
    </row>
    <row r="625" spans="3:3">
      <c r="C625" s="13"/>
    </row>
    <row r="626" spans="3:3">
      <c r="C626" s="13"/>
    </row>
    <row r="627" spans="3:3">
      <c r="C627" s="13"/>
    </row>
    <row r="628" spans="3:3">
      <c r="C628" s="13"/>
    </row>
    <row r="629" spans="3:3">
      <c r="C629" s="13"/>
    </row>
    <row r="630" spans="3:3">
      <c r="C630" s="13"/>
    </row>
    <row r="631" spans="3:3">
      <c r="C631" s="13"/>
    </row>
    <row r="632" spans="3:3">
      <c r="C632" s="13"/>
    </row>
    <row r="633" spans="3:3">
      <c r="C633" s="13"/>
    </row>
    <row r="634" spans="3:3">
      <c r="C634" s="13"/>
    </row>
    <row r="635" spans="3:3">
      <c r="C635" s="13"/>
    </row>
    <row r="636" spans="3:3">
      <c r="C636" s="13"/>
    </row>
    <row r="637" spans="3:3">
      <c r="C637" s="13"/>
    </row>
    <row r="638" spans="3:3">
      <c r="C638" s="13"/>
    </row>
    <row r="639" spans="3:3">
      <c r="C639" s="13"/>
    </row>
    <row r="640" spans="3:3">
      <c r="C640" s="13"/>
    </row>
    <row r="641" spans="3:3">
      <c r="C641" s="13"/>
    </row>
    <row r="642" spans="3:3">
      <c r="C642" s="13"/>
    </row>
    <row r="643" spans="3:3">
      <c r="C643" s="13"/>
    </row>
    <row r="644" spans="3:3">
      <c r="C644" s="13"/>
    </row>
    <row r="645" spans="3:3">
      <c r="C645" s="13"/>
    </row>
    <row r="646" spans="3:3">
      <c r="C646" s="13"/>
    </row>
    <row r="647" spans="3:3">
      <c r="C647" s="13"/>
    </row>
    <row r="648" spans="3:3">
      <c r="C648" s="13"/>
    </row>
    <row r="649" spans="3:3">
      <c r="C649" s="13"/>
    </row>
    <row r="650" spans="3:3">
      <c r="C650" s="13"/>
    </row>
    <row r="651" spans="3:3">
      <c r="C651" s="13"/>
    </row>
    <row r="652" spans="3:3">
      <c r="C652" s="13"/>
    </row>
    <row r="653" spans="3:3">
      <c r="C653" s="13"/>
    </row>
    <row r="654" spans="3:3">
      <c r="C654" s="13"/>
    </row>
    <row r="655" spans="3:3">
      <c r="C655" s="13"/>
    </row>
    <row r="656" spans="3:3">
      <c r="C656" s="13"/>
    </row>
    <row r="657" spans="3:3">
      <c r="C657" s="13"/>
    </row>
    <row r="658" spans="3:3">
      <c r="C658" s="13"/>
    </row>
    <row r="659" spans="3:3">
      <c r="C659" s="13"/>
    </row>
    <row r="660" spans="3:3">
      <c r="C660" s="13"/>
    </row>
    <row r="661" spans="3:3">
      <c r="C661" s="13"/>
    </row>
    <row r="662" spans="3:3">
      <c r="C662" s="13"/>
    </row>
    <row r="663" spans="3:3">
      <c r="C663" s="13"/>
    </row>
    <row r="664" spans="3:3">
      <c r="C664" s="13"/>
    </row>
    <row r="665" spans="3:3">
      <c r="C665" s="13"/>
    </row>
    <row r="666" spans="3:3">
      <c r="C666" s="13"/>
    </row>
    <row r="667" spans="3:3">
      <c r="C667" s="13"/>
    </row>
    <row r="668" spans="3:3">
      <c r="C668" s="13"/>
    </row>
    <row r="669" spans="3:3">
      <c r="C669" s="13"/>
    </row>
    <row r="670" spans="3:3">
      <c r="C670" s="13"/>
    </row>
    <row r="671" spans="3:3">
      <c r="C671" s="13"/>
    </row>
    <row r="672" spans="3:3">
      <c r="C672" s="13"/>
    </row>
    <row r="673" spans="3:3">
      <c r="C673" s="13"/>
    </row>
    <row r="674" spans="3:3">
      <c r="C674" s="13"/>
    </row>
    <row r="675" spans="3:3">
      <c r="C675" s="13"/>
    </row>
    <row r="676" spans="3:3">
      <c r="C676" s="13"/>
    </row>
    <row r="677" spans="3:3">
      <c r="C677" s="13"/>
    </row>
    <row r="678" spans="3:3">
      <c r="C678" s="13"/>
    </row>
    <row r="679" spans="3:3">
      <c r="C679" s="13"/>
    </row>
    <row r="680" spans="3:3">
      <c r="C680" s="13"/>
    </row>
    <row r="681" spans="3:3">
      <c r="C681" s="13"/>
    </row>
    <row r="682" spans="3:3">
      <c r="C682" s="13"/>
    </row>
    <row r="683" spans="3:3">
      <c r="C683" s="13"/>
    </row>
    <row r="684" spans="3:3">
      <c r="C684" s="13"/>
    </row>
    <row r="685" spans="3:3">
      <c r="C685" s="13"/>
    </row>
    <row r="686" spans="3:3">
      <c r="C686" s="13"/>
    </row>
    <row r="687" spans="3:3">
      <c r="C687" s="13"/>
    </row>
    <row r="688" spans="3:3">
      <c r="C688" s="13"/>
    </row>
    <row r="689" spans="3:3">
      <c r="C689" s="13"/>
    </row>
    <row r="690" spans="3:3">
      <c r="C690" s="13"/>
    </row>
    <row r="691" spans="3:3">
      <c r="C691" s="13"/>
    </row>
    <row r="692" spans="3:3">
      <c r="C692" s="13"/>
    </row>
    <row r="693" spans="3:3">
      <c r="C693" s="13"/>
    </row>
    <row r="694" spans="3:3">
      <c r="C694" s="13"/>
    </row>
    <row r="695" spans="3:3">
      <c r="C695" s="13"/>
    </row>
    <row r="696" spans="3:3">
      <c r="C696" s="13"/>
    </row>
    <row r="697" spans="3:3">
      <c r="C697" s="13"/>
    </row>
    <row r="698" spans="3:3">
      <c r="C698" s="13"/>
    </row>
    <row r="699" spans="3:3">
      <c r="C699" s="13"/>
    </row>
    <row r="700" spans="3:3">
      <c r="C700" s="13"/>
    </row>
    <row r="701" spans="3:3">
      <c r="C701" s="13"/>
    </row>
    <row r="702" spans="3:3">
      <c r="C702" s="13"/>
    </row>
    <row r="703" spans="3:3">
      <c r="C703" s="13"/>
    </row>
    <row r="704" spans="3:3">
      <c r="C704" s="13"/>
    </row>
    <row r="705" spans="3:3">
      <c r="C705" s="13"/>
    </row>
    <row r="706" spans="3:3">
      <c r="C706" s="13"/>
    </row>
    <row r="707" spans="3:3">
      <c r="C707" s="13"/>
    </row>
    <row r="708" spans="3:3">
      <c r="C708" s="13"/>
    </row>
    <row r="709" spans="3:3">
      <c r="C709" s="13"/>
    </row>
    <row r="710" spans="3:3">
      <c r="C710" s="13"/>
    </row>
    <row r="711" spans="3:3">
      <c r="C711" s="13"/>
    </row>
    <row r="712" spans="3:3">
      <c r="C712" s="13"/>
    </row>
    <row r="713" spans="3:3">
      <c r="C713" s="13"/>
    </row>
    <row r="714" spans="3:3">
      <c r="C714" s="13"/>
    </row>
    <row r="715" spans="3:3">
      <c r="C715" s="13"/>
    </row>
    <row r="716" spans="3:3">
      <c r="C716" s="13"/>
    </row>
    <row r="717" spans="3:3">
      <c r="C717" s="13"/>
    </row>
    <row r="718" spans="3:3">
      <c r="C718" s="13"/>
    </row>
    <row r="719" spans="3:3">
      <c r="C719" s="13"/>
    </row>
    <row r="720" spans="3:3">
      <c r="C720" s="13"/>
    </row>
    <row r="721" spans="3:3">
      <c r="C721" s="13"/>
    </row>
    <row r="722" spans="3:3">
      <c r="C722" s="13"/>
    </row>
    <row r="723" spans="3:3">
      <c r="C723" s="13"/>
    </row>
    <row r="724" spans="3:3">
      <c r="C724" s="13"/>
    </row>
    <row r="725" spans="3:3">
      <c r="C725" s="13"/>
    </row>
    <row r="726" spans="3:3">
      <c r="C726" s="13"/>
    </row>
    <row r="727" spans="3:3">
      <c r="C727" s="13"/>
    </row>
    <row r="728" spans="3:3">
      <c r="C728" s="13"/>
    </row>
    <row r="729" spans="3:3">
      <c r="C729" s="13"/>
    </row>
    <row r="730" spans="3:3">
      <c r="C730" s="13"/>
    </row>
    <row r="731" spans="3:3">
      <c r="C731" s="13"/>
    </row>
    <row r="732" spans="3:3">
      <c r="C732" s="13"/>
    </row>
    <row r="733" spans="3:3">
      <c r="C733" s="13"/>
    </row>
    <row r="734" spans="3:3">
      <c r="C734" s="13"/>
    </row>
    <row r="735" spans="3:3">
      <c r="C735" s="13"/>
    </row>
    <row r="736" spans="3:3">
      <c r="C736" s="13"/>
    </row>
    <row r="737" spans="3:3">
      <c r="C737" s="13"/>
    </row>
    <row r="738" spans="3:3">
      <c r="C738" s="13"/>
    </row>
    <row r="739" spans="3:3">
      <c r="C739" s="13"/>
    </row>
    <row r="740" spans="3:3">
      <c r="C740" s="13"/>
    </row>
    <row r="741" spans="3:3">
      <c r="C741" s="13"/>
    </row>
    <row r="742" spans="3:3">
      <c r="C742" s="13"/>
    </row>
    <row r="743" spans="3:3">
      <c r="C743" s="13"/>
    </row>
    <row r="744" spans="3:3">
      <c r="C744" s="13"/>
    </row>
    <row r="745" spans="3:3">
      <c r="C745" s="13"/>
    </row>
    <row r="746" spans="3:3">
      <c r="C746" s="13"/>
    </row>
    <row r="747" spans="3:3">
      <c r="C747" s="13"/>
    </row>
    <row r="748" spans="3:3">
      <c r="C748" s="13"/>
    </row>
    <row r="749" spans="3:3">
      <c r="C749" s="13"/>
    </row>
    <row r="750" spans="3:3">
      <c r="C750" s="13"/>
    </row>
    <row r="751" spans="3:3">
      <c r="C751" s="13"/>
    </row>
    <row r="752" spans="3:3">
      <c r="C752" s="13"/>
    </row>
    <row r="753" spans="3:3">
      <c r="C753" s="13"/>
    </row>
    <row r="754" spans="3:3">
      <c r="C754" s="13"/>
    </row>
    <row r="755" spans="3:3">
      <c r="C755" s="13"/>
    </row>
    <row r="756" spans="3:3">
      <c r="C756" s="13"/>
    </row>
    <row r="757" spans="3:3">
      <c r="C757" s="13"/>
    </row>
    <row r="758" spans="3:3">
      <c r="C758" s="13"/>
    </row>
    <row r="759" spans="3:3">
      <c r="C759" s="13"/>
    </row>
    <row r="760" spans="3:3">
      <c r="C760" s="13"/>
    </row>
    <row r="761" spans="3:3">
      <c r="C761" s="13"/>
    </row>
    <row r="762" spans="3:3">
      <c r="C762" s="13"/>
    </row>
    <row r="763" spans="3:3">
      <c r="C763" s="13"/>
    </row>
    <row r="764" spans="3:3">
      <c r="C764" s="13"/>
    </row>
    <row r="765" spans="3:3">
      <c r="C765" s="13"/>
    </row>
    <row r="766" spans="3:3">
      <c r="C766" s="13"/>
    </row>
    <row r="767" spans="3:3">
      <c r="C767" s="13"/>
    </row>
    <row r="768" spans="3:3">
      <c r="C768" s="13"/>
    </row>
    <row r="769" spans="3:3">
      <c r="C769" s="13"/>
    </row>
    <row r="770" spans="3:3">
      <c r="C770" s="13"/>
    </row>
    <row r="771" spans="3:3">
      <c r="C771" s="13"/>
    </row>
    <row r="772" spans="3:3">
      <c r="C772" s="13"/>
    </row>
    <row r="773" spans="3:3">
      <c r="C773" s="13"/>
    </row>
    <row r="774" spans="3:3">
      <c r="C774" s="13"/>
    </row>
    <row r="775" spans="3:3">
      <c r="C775" s="13"/>
    </row>
    <row r="776" spans="3:3">
      <c r="C776" s="13"/>
    </row>
    <row r="777" spans="3:3">
      <c r="C777" s="13"/>
    </row>
    <row r="778" spans="3:3">
      <c r="C778" s="13"/>
    </row>
    <row r="779" spans="3:3">
      <c r="C779" s="13"/>
    </row>
    <row r="780" spans="3:3">
      <c r="C780" s="13"/>
    </row>
    <row r="781" spans="3:3">
      <c r="C781" s="13"/>
    </row>
    <row r="782" spans="3:3">
      <c r="C782" s="13"/>
    </row>
    <row r="783" spans="3:3">
      <c r="C783" s="13"/>
    </row>
    <row r="784" spans="3:3">
      <c r="C784" s="13"/>
    </row>
    <row r="785" spans="3:3">
      <c r="C785" s="13"/>
    </row>
    <row r="786" spans="3:3">
      <c r="C786" s="13"/>
    </row>
    <row r="787" spans="3:3">
      <c r="C787" s="13"/>
    </row>
    <row r="788" spans="3:3">
      <c r="C788" s="13"/>
    </row>
    <row r="789" spans="3:3">
      <c r="C789" s="13"/>
    </row>
    <row r="790" spans="3:3">
      <c r="C790" s="13"/>
    </row>
    <row r="791" spans="3:3">
      <c r="C791" s="13"/>
    </row>
    <row r="792" spans="3:3">
      <c r="C792" s="13"/>
    </row>
    <row r="793" spans="3:3">
      <c r="C793" s="13"/>
    </row>
    <row r="794" spans="3:3">
      <c r="C794" s="13"/>
    </row>
    <row r="795" spans="3:3">
      <c r="C795" s="13"/>
    </row>
    <row r="796" spans="3:3">
      <c r="C796" s="13"/>
    </row>
    <row r="797" spans="3:3">
      <c r="C797" s="13"/>
    </row>
    <row r="798" spans="3:3">
      <c r="C798" s="13"/>
    </row>
    <row r="799" spans="3:3">
      <c r="C799" s="13"/>
    </row>
    <row r="800" spans="3:3">
      <c r="C800" s="13"/>
    </row>
    <row r="801" spans="3:3">
      <c r="C801" s="13"/>
    </row>
    <row r="802" spans="3:3">
      <c r="C802" s="13"/>
    </row>
    <row r="803" spans="3:3">
      <c r="C803" s="13"/>
    </row>
    <row r="804" spans="3:3">
      <c r="C804" s="13"/>
    </row>
    <row r="805" spans="3:3">
      <c r="C805" s="13"/>
    </row>
    <row r="806" spans="3:3">
      <c r="C806" s="13"/>
    </row>
    <row r="807" spans="3:3">
      <c r="C807" s="13"/>
    </row>
    <row r="808" spans="3:3">
      <c r="C808" s="13"/>
    </row>
    <row r="809" spans="3:3">
      <c r="C809" s="13"/>
    </row>
    <row r="810" spans="3:3">
      <c r="C810" s="13"/>
    </row>
    <row r="811" spans="3:3">
      <c r="C811" s="13"/>
    </row>
    <row r="812" spans="3:3">
      <c r="C812" s="13"/>
    </row>
    <row r="813" spans="3:3">
      <c r="C813" s="13"/>
    </row>
    <row r="814" spans="3:3">
      <c r="C814" s="13"/>
    </row>
    <row r="815" spans="3:3">
      <c r="C815" s="13"/>
    </row>
    <row r="816" spans="3:3">
      <c r="C816" s="13"/>
    </row>
    <row r="817" spans="3:3">
      <c r="C817" s="13"/>
    </row>
    <row r="818" spans="3:3">
      <c r="C818" s="13"/>
    </row>
    <row r="819" spans="3:3">
      <c r="C819" s="13"/>
    </row>
    <row r="820" spans="3:3">
      <c r="C820" s="13"/>
    </row>
    <row r="821" spans="3:3">
      <c r="C821" s="13"/>
    </row>
    <row r="822" spans="3:3">
      <c r="C822" s="13"/>
    </row>
    <row r="823" spans="3:3">
      <c r="C823" s="13"/>
    </row>
    <row r="824" spans="3:3">
      <c r="C824" s="13"/>
    </row>
    <row r="825" spans="3:3">
      <c r="C825" s="13"/>
    </row>
    <row r="826" spans="3:3">
      <c r="C826" s="13"/>
    </row>
    <row r="827" spans="3:3">
      <c r="C827" s="13"/>
    </row>
    <row r="828" spans="3:3">
      <c r="C828" s="13"/>
    </row>
    <row r="829" spans="3:3">
      <c r="C829" s="13"/>
    </row>
    <row r="830" spans="3:3">
      <c r="C830" s="13"/>
    </row>
    <row r="831" spans="3:3">
      <c r="C831" s="13"/>
    </row>
    <row r="832" spans="3:3">
      <c r="C832" s="13"/>
    </row>
    <row r="833" spans="3:3">
      <c r="C833" s="13"/>
    </row>
    <row r="834" spans="3:3">
      <c r="C834" s="13"/>
    </row>
    <row r="835" spans="3:3">
      <c r="C835" s="13"/>
    </row>
    <row r="836" spans="3:3">
      <c r="C836" s="13"/>
    </row>
    <row r="837" spans="3:3">
      <c r="C837" s="13"/>
    </row>
    <row r="838" spans="3:3">
      <c r="C838" s="13"/>
    </row>
    <row r="839" spans="3:3">
      <c r="C839" s="13"/>
    </row>
    <row r="840" spans="3:3">
      <c r="C840" s="13"/>
    </row>
    <row r="841" spans="3:3">
      <c r="C841" s="13"/>
    </row>
    <row r="842" spans="3:3">
      <c r="C842" s="13"/>
    </row>
    <row r="843" spans="3:3">
      <c r="C843" s="13"/>
    </row>
    <row r="844" spans="3:3">
      <c r="C844" s="13"/>
    </row>
    <row r="845" spans="3:3">
      <c r="C845" s="13"/>
    </row>
    <row r="846" spans="3:3">
      <c r="C846" s="13"/>
    </row>
    <row r="847" spans="3:3">
      <c r="C847" s="13"/>
    </row>
    <row r="848" spans="3:3">
      <c r="C848" s="13"/>
    </row>
    <row r="849" spans="3:3">
      <c r="C849" s="13"/>
    </row>
    <row r="850" spans="3:3">
      <c r="C850" s="13"/>
    </row>
    <row r="851" spans="3:3">
      <c r="C851" s="13"/>
    </row>
    <row r="852" spans="3:3">
      <c r="C852" s="13"/>
    </row>
    <row r="853" spans="3:3">
      <c r="C853" s="13"/>
    </row>
    <row r="854" spans="3:3">
      <c r="C854" s="13"/>
    </row>
    <row r="855" spans="3:3">
      <c r="C855" s="13"/>
    </row>
    <row r="856" spans="3:3">
      <c r="C856" s="13"/>
    </row>
    <row r="857" spans="3:3">
      <c r="C857" s="13"/>
    </row>
    <row r="858" spans="3:3">
      <c r="C858" s="13"/>
    </row>
    <row r="859" spans="3:3">
      <c r="C859" s="13"/>
    </row>
    <row r="860" spans="3:3">
      <c r="C860" s="13"/>
    </row>
    <row r="861" spans="3:3">
      <c r="C861" s="13"/>
    </row>
    <row r="862" spans="3:3">
      <c r="C862" s="13"/>
    </row>
    <row r="863" spans="3:3">
      <c r="C863" s="13"/>
    </row>
    <row r="864" spans="3:3">
      <c r="C864" s="13"/>
    </row>
    <row r="865" spans="3:3">
      <c r="C865" s="13"/>
    </row>
    <row r="866" spans="3:3">
      <c r="C866" s="13"/>
    </row>
    <row r="867" spans="3:3">
      <c r="C867" s="13"/>
    </row>
    <row r="868" spans="3:3">
      <c r="C868" s="13"/>
    </row>
    <row r="869" spans="3:3">
      <c r="C869" s="13"/>
    </row>
    <row r="870" spans="3:3">
      <c r="C870" s="13"/>
    </row>
    <row r="871" spans="3:3">
      <c r="C871" s="13"/>
    </row>
    <row r="872" spans="3:3">
      <c r="C872" s="13"/>
    </row>
    <row r="873" spans="3:3">
      <c r="C873" s="13"/>
    </row>
    <row r="874" spans="3:3">
      <c r="C874" s="13"/>
    </row>
    <row r="875" spans="3:3">
      <c r="C875" s="13"/>
    </row>
    <row r="876" spans="3:3">
      <c r="C876" s="13"/>
    </row>
    <row r="877" spans="3:3">
      <c r="C877" s="13"/>
    </row>
    <row r="878" spans="3:3">
      <c r="C878" s="13"/>
    </row>
    <row r="879" spans="3:3">
      <c r="C879" s="13"/>
    </row>
    <row r="880" spans="3:3">
      <c r="C880" s="13"/>
    </row>
    <row r="881" spans="3:3">
      <c r="C881" s="13"/>
    </row>
    <row r="882" spans="3:3">
      <c r="C882" s="13"/>
    </row>
    <row r="883" spans="3:3">
      <c r="C883" s="13"/>
    </row>
    <row r="884" spans="3:3">
      <c r="C884" s="13"/>
    </row>
    <row r="885" spans="3:3">
      <c r="C885" s="13"/>
    </row>
    <row r="886" spans="3:3">
      <c r="C886" s="13"/>
    </row>
    <row r="887" spans="3:3">
      <c r="C887" s="13"/>
    </row>
    <row r="888" spans="3:3">
      <c r="C888" s="13"/>
    </row>
    <row r="889" spans="3:3">
      <c r="C889" s="13"/>
    </row>
    <row r="890" spans="3:3">
      <c r="C890" s="13"/>
    </row>
    <row r="891" spans="3:3">
      <c r="C891" s="13"/>
    </row>
    <row r="892" spans="3:3">
      <c r="C892" s="13"/>
    </row>
    <row r="893" spans="3:3">
      <c r="C893" s="13"/>
    </row>
    <row r="894" spans="3:3">
      <c r="C894" s="13"/>
    </row>
    <row r="895" spans="3:3">
      <c r="C895" s="13"/>
    </row>
    <row r="896" spans="3:3">
      <c r="C896" s="13"/>
    </row>
    <row r="897" spans="3:3">
      <c r="C897" s="13"/>
    </row>
    <row r="898" spans="3:3">
      <c r="C898" s="13"/>
    </row>
    <row r="899" spans="3:3">
      <c r="C899" s="13"/>
    </row>
    <row r="900" spans="3:3">
      <c r="C900" s="13"/>
    </row>
    <row r="901" spans="3:3">
      <c r="C901" s="13"/>
    </row>
    <row r="902" spans="3:3">
      <c r="C902" s="13"/>
    </row>
    <row r="903" spans="3:3">
      <c r="C903" s="13"/>
    </row>
    <row r="904" spans="3:3">
      <c r="C904" s="13"/>
    </row>
    <row r="905" spans="3:3">
      <c r="C905" s="13"/>
    </row>
    <row r="906" spans="3:3">
      <c r="C906" s="13"/>
    </row>
    <row r="907" spans="3:3">
      <c r="C907" s="13"/>
    </row>
    <row r="908" spans="3:3">
      <c r="C908" s="13"/>
    </row>
    <row r="909" spans="3:3">
      <c r="C909" s="13"/>
    </row>
    <row r="910" spans="3:3">
      <c r="C910" s="13"/>
    </row>
    <row r="911" spans="3:3">
      <c r="C911" s="13"/>
    </row>
    <row r="912" spans="3:3">
      <c r="C912" s="13"/>
    </row>
    <row r="913" spans="3:3">
      <c r="C913" s="13"/>
    </row>
    <row r="914" spans="3:3">
      <c r="C914" s="13"/>
    </row>
    <row r="915" spans="3:3">
      <c r="C915" s="13"/>
    </row>
    <row r="916" spans="3:3">
      <c r="C916" s="13"/>
    </row>
    <row r="917" spans="3:3">
      <c r="C917" s="13"/>
    </row>
    <row r="918" spans="3:3">
      <c r="C918" s="13"/>
    </row>
    <row r="919" spans="3:3">
      <c r="C919" s="13"/>
    </row>
    <row r="920" spans="3:3">
      <c r="C920" s="13"/>
    </row>
    <row r="921" spans="3:3">
      <c r="C921" s="13"/>
    </row>
    <row r="922" spans="3:3">
      <c r="C922" s="13"/>
    </row>
    <row r="923" spans="3:3">
      <c r="C923" s="13"/>
    </row>
    <row r="924" spans="3:3">
      <c r="C924" s="13"/>
    </row>
    <row r="925" spans="3:3">
      <c r="C925" s="13"/>
    </row>
    <row r="926" spans="3:3">
      <c r="C926" s="13"/>
    </row>
    <row r="927" spans="3:3">
      <c r="C927" s="13"/>
    </row>
    <row r="928" spans="3:3">
      <c r="C928" s="13"/>
    </row>
    <row r="929" spans="3:3">
      <c r="C929" s="13"/>
    </row>
    <row r="930" spans="3:3">
      <c r="C930" s="13"/>
    </row>
    <row r="931" spans="3:3">
      <c r="C931" s="13"/>
    </row>
    <row r="932" spans="3:3">
      <c r="C932" s="13"/>
    </row>
    <row r="933" spans="3:3">
      <c r="C933" s="13"/>
    </row>
    <row r="934" spans="3:3">
      <c r="C934" s="13"/>
    </row>
    <row r="935" spans="3:3">
      <c r="C935" s="13"/>
    </row>
    <row r="936" spans="3:3">
      <c r="C936" s="13"/>
    </row>
    <row r="937" spans="3:3">
      <c r="C937" s="13"/>
    </row>
    <row r="938" spans="3:3">
      <c r="C938" s="13"/>
    </row>
    <row r="939" spans="3:3">
      <c r="C939" s="13"/>
    </row>
    <row r="940" spans="3:3">
      <c r="C940" s="13"/>
    </row>
    <row r="941" spans="3:3">
      <c r="C941" s="13"/>
    </row>
    <row r="942" spans="3:3">
      <c r="C942" s="13"/>
    </row>
    <row r="943" spans="3:3">
      <c r="C943" s="13"/>
    </row>
    <row r="944" spans="3:3">
      <c r="C944" s="13"/>
    </row>
    <row r="945" spans="3:3">
      <c r="C945" s="13"/>
    </row>
    <row r="946" spans="3:3">
      <c r="C946" s="13"/>
    </row>
    <row r="947" spans="3:3">
      <c r="C947" s="13"/>
    </row>
    <row r="948" spans="3:3">
      <c r="C948" s="13"/>
    </row>
    <row r="949" spans="3:3">
      <c r="C949" s="13"/>
    </row>
    <row r="950" spans="3:3">
      <c r="C950" s="13"/>
    </row>
    <row r="951" spans="3:3">
      <c r="C951" s="13"/>
    </row>
    <row r="952" spans="3:3">
      <c r="C952" s="13"/>
    </row>
    <row r="953" spans="3:3">
      <c r="C953" s="13"/>
    </row>
    <row r="954" spans="3:3">
      <c r="C954" s="13"/>
    </row>
    <row r="955" spans="3:3">
      <c r="C955" s="13"/>
    </row>
    <row r="956" spans="3:3">
      <c r="C956" s="13"/>
    </row>
    <row r="957" spans="3:3">
      <c r="C957" s="13"/>
    </row>
    <row r="958" spans="3:3">
      <c r="C958" s="13"/>
    </row>
    <row r="959" spans="3:3">
      <c r="C959" s="13"/>
    </row>
    <row r="960" spans="3:3">
      <c r="C960" s="13"/>
    </row>
    <row r="961" spans="3:3">
      <c r="C961" s="13"/>
    </row>
    <row r="962" spans="3:3">
      <c r="C962" s="13"/>
    </row>
    <row r="963" spans="3:3">
      <c r="C963" s="13"/>
    </row>
    <row r="964" spans="3:3">
      <c r="C964" s="13"/>
    </row>
    <row r="965" spans="3:3">
      <c r="C965" s="13"/>
    </row>
    <row r="966" spans="3:3">
      <c r="C966" s="13"/>
    </row>
    <row r="967" spans="3:3">
      <c r="C967" s="13"/>
    </row>
    <row r="968" spans="3:3">
      <c r="C968" s="13"/>
    </row>
    <row r="969" spans="3:3">
      <c r="C969" s="13"/>
    </row>
    <row r="970" spans="3:3">
      <c r="C970" s="13"/>
    </row>
    <row r="971" spans="3:3">
      <c r="C971" s="13"/>
    </row>
    <row r="972" spans="3:3">
      <c r="C972" s="13"/>
    </row>
    <row r="973" spans="3:3">
      <c r="C973" s="13"/>
    </row>
    <row r="974" spans="3:3">
      <c r="C974" s="13"/>
    </row>
    <row r="975" spans="3:3">
      <c r="C975" s="13"/>
    </row>
    <row r="976" spans="3:3">
      <c r="C976" s="13"/>
    </row>
    <row r="977" spans="3:3">
      <c r="C977" s="13"/>
    </row>
    <row r="978" spans="3:3">
      <c r="C978" s="13"/>
    </row>
    <row r="979" spans="3:3">
      <c r="C979" s="13"/>
    </row>
    <row r="980" spans="3:3">
      <c r="C980" s="13"/>
    </row>
    <row r="981" spans="3:3">
      <c r="C981" s="13"/>
    </row>
    <row r="982" spans="3:3">
      <c r="C982" s="13"/>
    </row>
    <row r="983" spans="3:3">
      <c r="C983" s="13"/>
    </row>
    <row r="984" spans="3:3">
      <c r="C984" s="13"/>
    </row>
    <row r="985" spans="3:3">
      <c r="C985" s="13"/>
    </row>
    <row r="986" spans="3:3">
      <c r="C986" s="13"/>
    </row>
    <row r="987" spans="3:3">
      <c r="C987" s="13"/>
    </row>
    <row r="988" spans="3:3">
      <c r="C988" s="13"/>
    </row>
    <row r="989" spans="3:3">
      <c r="C989" s="13"/>
    </row>
    <row r="990" spans="3:3">
      <c r="C990" s="13"/>
    </row>
    <row r="991" spans="3:3">
      <c r="C991" s="13"/>
    </row>
    <row r="992" spans="3:3">
      <c r="C992" s="13"/>
    </row>
    <row r="993" spans="3:3">
      <c r="C993" s="13"/>
    </row>
    <row r="994" spans="3:3">
      <c r="C994" s="13"/>
    </row>
    <row r="995" spans="3:3">
      <c r="C995" s="13"/>
    </row>
    <row r="996" spans="3:3">
      <c r="C996" s="13"/>
    </row>
    <row r="997" spans="3:3">
      <c r="C997" s="13"/>
    </row>
    <row r="998" spans="3:3">
      <c r="C998" s="13"/>
    </row>
    <row r="999" spans="3:3">
      <c r="C999" s="13"/>
    </row>
    <row r="1000" spans="3:3">
      <c r="C1000" s="13"/>
    </row>
    <row r="1001" spans="3:3">
      <c r="C1001" s="13"/>
    </row>
    <row r="1002" spans="3:3">
      <c r="C1002" s="13"/>
    </row>
    <row r="1003" spans="3:3">
      <c r="C1003" s="13"/>
    </row>
    <row r="1004" spans="3:3">
      <c r="C1004" s="13"/>
    </row>
    <row r="1005" spans="3:3">
      <c r="C1005" s="13"/>
    </row>
    <row r="1006" spans="3:3">
      <c r="C1006" s="13"/>
    </row>
    <row r="1007" spans="3:3">
      <c r="C1007" s="13"/>
    </row>
    <row r="1008" spans="3:3">
      <c r="C1008" s="13"/>
    </row>
    <row r="1009" spans="3:3">
      <c r="C1009" s="13"/>
    </row>
    <row r="1010" spans="3:3">
      <c r="C1010" s="13"/>
    </row>
    <row r="1011" spans="3:3">
      <c r="C1011" s="13"/>
    </row>
    <row r="1012" spans="3:3">
      <c r="C1012" s="13"/>
    </row>
    <row r="1013" spans="3:3">
      <c r="C1013" s="13"/>
    </row>
    <row r="1014" spans="3:3">
      <c r="C1014" s="13"/>
    </row>
    <row r="1015" spans="3:3">
      <c r="C1015" s="13"/>
    </row>
    <row r="1016" spans="3:3">
      <c r="C1016" s="13"/>
    </row>
    <row r="1017" spans="3:3">
      <c r="C1017" s="13"/>
    </row>
    <row r="1018" spans="3:3">
      <c r="C1018" s="13"/>
    </row>
    <row r="1019" spans="3:3">
      <c r="C1019" s="13"/>
    </row>
    <row r="1020" spans="3:3">
      <c r="C1020" s="13"/>
    </row>
    <row r="1021" spans="3:3">
      <c r="C1021" s="13"/>
    </row>
    <row r="1022" spans="3:3">
      <c r="C1022" s="13"/>
    </row>
    <row r="1023" spans="3:3">
      <c r="C1023" s="13"/>
    </row>
    <row r="1024" spans="3:3">
      <c r="C1024" s="13"/>
    </row>
    <row r="1025" spans="3:3">
      <c r="C1025" s="13"/>
    </row>
    <row r="1026" spans="3:3">
      <c r="C1026" s="13"/>
    </row>
    <row r="1027" spans="3:3">
      <c r="C1027" s="13"/>
    </row>
    <row r="1028" spans="3:3">
      <c r="C1028" s="13"/>
    </row>
    <row r="1029" spans="3:3">
      <c r="C1029" s="13"/>
    </row>
    <row r="1030" spans="3:3">
      <c r="C1030" s="13"/>
    </row>
    <row r="1031" spans="3:3">
      <c r="C1031" s="13"/>
    </row>
    <row r="1032" spans="3:3">
      <c r="C1032" s="13"/>
    </row>
    <row r="1033" spans="3:3">
      <c r="C1033" s="13"/>
    </row>
    <row r="1034" spans="3:3">
      <c r="C1034" s="13"/>
    </row>
    <row r="1035" spans="3:3">
      <c r="C1035" s="13"/>
    </row>
    <row r="1036" spans="3:3">
      <c r="C1036" s="13"/>
    </row>
    <row r="1037" spans="3:3">
      <c r="C1037" s="13"/>
    </row>
    <row r="1038" spans="3:3">
      <c r="C1038" s="13"/>
    </row>
    <row r="1039" spans="3:3">
      <c r="C1039" s="13"/>
    </row>
    <row r="1040" spans="3:3">
      <c r="C1040" s="13"/>
    </row>
    <row r="1041" spans="3:3">
      <c r="C1041" s="13"/>
    </row>
    <row r="1042" spans="3:3">
      <c r="C1042" s="13"/>
    </row>
    <row r="1043" spans="3:3">
      <c r="C1043" s="13"/>
    </row>
    <row r="1044" spans="3:3">
      <c r="C1044" s="13"/>
    </row>
    <row r="1045" spans="3:3">
      <c r="C1045" s="13"/>
    </row>
    <row r="1046" spans="3:3">
      <c r="C1046" s="13"/>
    </row>
    <row r="1047" spans="3:3">
      <c r="C1047" s="13"/>
    </row>
    <row r="1048" spans="3:3">
      <c r="C1048" s="13"/>
    </row>
    <row r="1049" spans="3:3">
      <c r="C1049" s="13"/>
    </row>
    <row r="1050" spans="3:3">
      <c r="C1050" s="13"/>
    </row>
    <row r="1051" spans="3:3">
      <c r="C1051" s="13"/>
    </row>
    <row r="1052" spans="3:3">
      <c r="C1052" s="13"/>
    </row>
    <row r="1053" spans="3:3">
      <c r="C1053" s="13"/>
    </row>
    <row r="1054" spans="3:3">
      <c r="C1054" s="13"/>
    </row>
    <row r="1055" spans="3:3">
      <c r="C1055" s="13"/>
    </row>
    <row r="1056" spans="3:3">
      <c r="C1056" s="13"/>
    </row>
    <row r="1057" spans="3:3">
      <c r="C1057" s="13"/>
    </row>
    <row r="1058" spans="3:3">
      <c r="C1058" s="13"/>
    </row>
    <row r="1059" spans="3:3">
      <c r="C1059" s="13"/>
    </row>
    <row r="1060" spans="3:3">
      <c r="C1060" s="13"/>
    </row>
    <row r="1061" spans="3:3">
      <c r="C1061" s="13"/>
    </row>
    <row r="1062" spans="3:3">
      <c r="C1062" s="13"/>
    </row>
    <row r="1063" spans="3:3">
      <c r="C1063" s="13"/>
    </row>
    <row r="1064" spans="3:3">
      <c r="C1064" s="13"/>
    </row>
    <row r="1065" spans="3:3">
      <c r="C1065" s="13"/>
    </row>
    <row r="1066" spans="3:3">
      <c r="C1066" s="13"/>
    </row>
    <row r="1067" spans="3:3">
      <c r="C1067" s="13"/>
    </row>
    <row r="1068" spans="3:3">
      <c r="C1068" s="13"/>
    </row>
    <row r="1069" spans="3:3">
      <c r="C1069" s="13"/>
    </row>
    <row r="1070" spans="3:3">
      <c r="C1070" s="13"/>
    </row>
    <row r="1071" spans="3:3">
      <c r="C1071" s="13"/>
    </row>
    <row r="1072" spans="3:3">
      <c r="C1072" s="13"/>
    </row>
    <row r="1073" spans="3:3">
      <c r="C1073" s="13"/>
    </row>
    <row r="1074" spans="3:3">
      <c r="C1074" s="13"/>
    </row>
    <row r="1075" spans="3:3">
      <c r="C1075" s="13"/>
    </row>
    <row r="1076" spans="3:3">
      <c r="C1076" s="13"/>
    </row>
    <row r="1077" spans="3:3">
      <c r="C1077" s="13"/>
    </row>
    <row r="1078" spans="3:3">
      <c r="C1078" s="13"/>
    </row>
    <row r="1079" spans="3:3">
      <c r="C1079" s="13"/>
    </row>
    <row r="1080" spans="3:3">
      <c r="C1080" s="13"/>
    </row>
    <row r="1081" spans="3:3">
      <c r="C1081" s="13"/>
    </row>
    <row r="1082" spans="3:3">
      <c r="C1082" s="13"/>
    </row>
    <row r="1083" spans="3:3">
      <c r="C1083" s="13"/>
    </row>
    <row r="1084" spans="3:3">
      <c r="C1084" s="13"/>
    </row>
    <row r="1085" spans="3:3">
      <c r="C1085" s="13"/>
    </row>
    <row r="1086" spans="3:3">
      <c r="C1086" s="13"/>
    </row>
    <row r="1087" spans="3:3">
      <c r="C1087" s="13"/>
    </row>
    <row r="1088" spans="3:3">
      <c r="C1088" s="13"/>
    </row>
    <row r="1089" spans="3:3">
      <c r="C1089" s="13"/>
    </row>
    <row r="1090" spans="3:3">
      <c r="C1090" s="13"/>
    </row>
    <row r="1091" spans="3:3">
      <c r="C1091" s="13"/>
    </row>
    <row r="1092" spans="3:3">
      <c r="C1092" s="13"/>
    </row>
    <row r="1093" spans="3:3">
      <c r="C1093" s="13"/>
    </row>
    <row r="1094" spans="3:3">
      <c r="C1094" s="13"/>
    </row>
    <row r="1095" spans="3:3">
      <c r="C1095" s="13"/>
    </row>
    <row r="1096" spans="3:3">
      <c r="C1096" s="13"/>
    </row>
    <row r="1097" spans="3:3">
      <c r="C1097" s="13"/>
    </row>
    <row r="1098" spans="3:3">
      <c r="C1098" s="13"/>
    </row>
    <row r="1099" spans="3:3">
      <c r="C1099" s="13"/>
    </row>
    <row r="1100" spans="3:3">
      <c r="C1100" s="13"/>
    </row>
    <row r="1101" spans="3:3">
      <c r="C1101" s="13"/>
    </row>
    <row r="1102" spans="3:3">
      <c r="C1102" s="13"/>
    </row>
    <row r="1103" spans="3:3">
      <c r="C1103" s="13"/>
    </row>
    <row r="1104" spans="3:3">
      <c r="C1104" s="13"/>
    </row>
    <row r="1105" spans="3:3">
      <c r="C1105" s="13"/>
    </row>
    <row r="1106" spans="3:3">
      <c r="C1106" s="13"/>
    </row>
    <row r="1107" spans="3:3">
      <c r="C1107" s="13"/>
    </row>
    <row r="1108" spans="3:3">
      <c r="C1108" s="13"/>
    </row>
    <row r="1109" spans="3:3">
      <c r="C1109" s="13"/>
    </row>
    <row r="1110" spans="3:3">
      <c r="C1110" s="13"/>
    </row>
    <row r="1111" spans="3:3">
      <c r="C1111" s="13"/>
    </row>
    <row r="1112" spans="3:3">
      <c r="C1112" s="13"/>
    </row>
    <row r="1113" spans="3:3">
      <c r="C1113" s="13"/>
    </row>
    <row r="1114" spans="3:3">
      <c r="C1114" s="13"/>
    </row>
    <row r="1115" spans="3:3">
      <c r="C1115" s="13"/>
    </row>
    <row r="1116" spans="3:3">
      <c r="C1116" s="13"/>
    </row>
    <row r="1117" spans="3:3">
      <c r="C1117" s="13"/>
    </row>
    <row r="1118" spans="3:3">
      <c r="C1118" s="13"/>
    </row>
    <row r="1119" spans="3:3">
      <c r="C1119" s="13"/>
    </row>
    <row r="1120" spans="3:3">
      <c r="C1120" s="13"/>
    </row>
    <row r="1121" spans="3:3">
      <c r="C1121" s="13"/>
    </row>
    <row r="1122" spans="3:3">
      <c r="C1122" s="13"/>
    </row>
    <row r="1123" spans="3:3">
      <c r="C1123" s="13"/>
    </row>
    <row r="1124" spans="3:3">
      <c r="C1124" s="13"/>
    </row>
    <row r="1125" spans="3:3">
      <c r="C1125" s="13"/>
    </row>
    <row r="1126" spans="3:3">
      <c r="C1126" s="13"/>
    </row>
    <row r="1127" spans="3:3">
      <c r="C1127" s="13"/>
    </row>
    <row r="1128" spans="3:3">
      <c r="C1128" s="13"/>
    </row>
    <row r="1129" spans="3:3">
      <c r="C1129" s="13"/>
    </row>
    <row r="1130" spans="3:3">
      <c r="C1130" s="13"/>
    </row>
    <row r="1131" spans="3:3">
      <c r="C1131" s="13"/>
    </row>
    <row r="1132" spans="3:3">
      <c r="C1132" s="13"/>
    </row>
    <row r="1133" spans="3:3">
      <c r="C1133" s="13"/>
    </row>
    <row r="1134" spans="3:3">
      <c r="C1134" s="13"/>
    </row>
    <row r="1135" spans="3:3">
      <c r="C1135" s="13"/>
    </row>
    <row r="1136" spans="3:3">
      <c r="C1136" s="13"/>
    </row>
    <row r="1137" spans="3:3">
      <c r="C1137" s="13"/>
    </row>
    <row r="1138" spans="3:3">
      <c r="C1138" s="13"/>
    </row>
    <row r="1139" spans="3:3">
      <c r="C1139" s="13"/>
    </row>
    <row r="1140" spans="3:3">
      <c r="C1140" s="13"/>
    </row>
    <row r="1141" spans="3:3">
      <c r="C1141" s="13"/>
    </row>
    <row r="1142" spans="3:3">
      <c r="C1142" s="13"/>
    </row>
    <row r="1143" spans="3:3">
      <c r="C1143" s="13"/>
    </row>
    <row r="1144" spans="3:3">
      <c r="C1144" s="13"/>
    </row>
    <row r="1145" spans="3:3">
      <c r="C1145" s="13"/>
    </row>
    <row r="1146" spans="3:3">
      <c r="C1146" s="13"/>
    </row>
    <row r="1147" spans="3:3">
      <c r="C1147" s="13"/>
    </row>
    <row r="1148" spans="3:3">
      <c r="C1148" s="13"/>
    </row>
    <row r="1149" spans="3:3">
      <c r="C1149" s="13"/>
    </row>
    <row r="1150" spans="3:3">
      <c r="C1150" s="13"/>
    </row>
    <row r="1151" spans="3:3">
      <c r="C1151" s="13"/>
    </row>
    <row r="1152" spans="3:3">
      <c r="C1152" s="13"/>
    </row>
    <row r="1153" spans="3:3">
      <c r="C1153" s="13"/>
    </row>
    <row r="1154" spans="3:3">
      <c r="C1154" s="13"/>
    </row>
    <row r="1155" spans="3:3">
      <c r="C1155" s="13"/>
    </row>
    <row r="1156" spans="3:3">
      <c r="C1156" s="13"/>
    </row>
    <row r="1157" spans="3:3">
      <c r="C1157" s="13"/>
    </row>
    <row r="1158" spans="3:3">
      <c r="C1158" s="13"/>
    </row>
    <row r="1159" spans="3:3">
      <c r="C1159" s="13"/>
    </row>
    <row r="1160" spans="3:3">
      <c r="C1160" s="13"/>
    </row>
    <row r="1161" spans="3:3">
      <c r="C1161" s="13"/>
    </row>
    <row r="1162" spans="3:3">
      <c r="C1162" s="13"/>
    </row>
    <row r="1163" spans="3:3">
      <c r="C1163" s="13"/>
    </row>
    <row r="1164" spans="3:3">
      <c r="C1164" s="13"/>
    </row>
    <row r="1165" spans="3:3">
      <c r="C1165" s="13"/>
    </row>
    <row r="1166" spans="3:3">
      <c r="C1166" s="13"/>
    </row>
    <row r="1167" spans="3:3">
      <c r="C1167" s="13"/>
    </row>
    <row r="1168" spans="3:3">
      <c r="C1168" s="13"/>
    </row>
    <row r="1169" spans="3:3">
      <c r="C1169" s="13"/>
    </row>
    <row r="1170" spans="3:3">
      <c r="C1170" s="13"/>
    </row>
    <row r="1171" spans="3:3">
      <c r="C1171" s="13"/>
    </row>
    <row r="1172" spans="3:3">
      <c r="C1172" s="13"/>
    </row>
    <row r="1173" spans="3:3">
      <c r="C1173" s="13"/>
    </row>
    <row r="1174" spans="3:3">
      <c r="C1174" s="13"/>
    </row>
    <row r="1175" spans="3:3">
      <c r="C1175" s="13"/>
    </row>
    <row r="1176" spans="3:3">
      <c r="C1176" s="13"/>
    </row>
    <row r="1177" spans="3:3">
      <c r="C1177" s="13"/>
    </row>
    <row r="1178" spans="3:3">
      <c r="C1178" s="13"/>
    </row>
    <row r="1179" spans="3:3">
      <c r="C1179" s="13"/>
    </row>
    <row r="1180" spans="3:3">
      <c r="C1180" s="13"/>
    </row>
    <row r="1181" spans="3:3">
      <c r="C1181" s="13"/>
    </row>
    <row r="1182" spans="3:3">
      <c r="C1182" s="13"/>
    </row>
    <row r="1183" spans="3:3">
      <c r="C1183" s="13"/>
    </row>
    <row r="1184" spans="3:3">
      <c r="C1184" s="13"/>
    </row>
    <row r="1185" spans="3:3">
      <c r="C1185" s="13"/>
    </row>
    <row r="1186" spans="3:3">
      <c r="C1186" s="13"/>
    </row>
    <row r="1187" spans="3:3">
      <c r="C1187" s="13"/>
    </row>
    <row r="1188" spans="3:3">
      <c r="C1188" s="13"/>
    </row>
    <row r="1189" spans="3:3">
      <c r="C1189" s="13"/>
    </row>
    <row r="1190" spans="3:3">
      <c r="C1190" s="13"/>
    </row>
    <row r="1191" spans="3:3">
      <c r="C1191" s="13"/>
    </row>
    <row r="1192" spans="3:3">
      <c r="C1192" s="13"/>
    </row>
    <row r="1193" spans="3:3">
      <c r="C1193" s="13"/>
    </row>
    <row r="1194" spans="3:3">
      <c r="C1194" s="13"/>
    </row>
    <row r="1195" spans="3:3">
      <c r="C1195" s="13"/>
    </row>
    <row r="1196" spans="3:3">
      <c r="C1196" s="13"/>
    </row>
    <row r="1197" spans="3:3">
      <c r="C1197" s="13"/>
    </row>
    <row r="1198" spans="3:3">
      <c r="C1198" s="13"/>
    </row>
    <row r="1199" spans="3:3">
      <c r="C1199" s="13"/>
    </row>
    <row r="1200" spans="3:3">
      <c r="C1200" s="13"/>
    </row>
    <row r="1201" spans="3:3">
      <c r="C1201" s="13"/>
    </row>
    <row r="1202" spans="3:3">
      <c r="C1202" s="13"/>
    </row>
    <row r="1203" spans="3:3">
      <c r="C1203" s="13"/>
    </row>
    <row r="1204" spans="3:3">
      <c r="C1204" s="13"/>
    </row>
    <row r="1205" spans="3:3">
      <c r="C1205" s="13"/>
    </row>
    <row r="1206" spans="3:3">
      <c r="C1206" s="13"/>
    </row>
    <row r="1207" spans="3:3">
      <c r="C1207" s="13"/>
    </row>
    <row r="1208" spans="3:3">
      <c r="C1208" s="13"/>
    </row>
    <row r="1209" spans="3:3">
      <c r="C1209" s="13"/>
    </row>
    <row r="1210" spans="3:3">
      <c r="C1210" s="13"/>
    </row>
    <row r="1211" spans="3:3">
      <c r="C1211" s="13"/>
    </row>
    <row r="1212" spans="3:3">
      <c r="C1212" s="13"/>
    </row>
    <row r="1213" spans="3:3">
      <c r="C1213" s="13"/>
    </row>
    <row r="1214" spans="3:3">
      <c r="C1214" s="13"/>
    </row>
    <row r="1215" spans="3:3">
      <c r="C1215" s="13"/>
    </row>
    <row r="1216" spans="3:3">
      <c r="C1216" s="13"/>
    </row>
    <row r="1217" spans="3:3">
      <c r="C1217" s="13"/>
    </row>
    <row r="1218" spans="3:3">
      <c r="C1218" s="13"/>
    </row>
    <row r="1219" spans="3:3">
      <c r="C1219" s="13"/>
    </row>
    <row r="1220" spans="3:3">
      <c r="C1220" s="13"/>
    </row>
    <row r="1221" spans="3:3">
      <c r="C1221" s="13"/>
    </row>
    <row r="1222" spans="3:3">
      <c r="C1222" s="13"/>
    </row>
    <row r="1223" spans="3:3">
      <c r="C1223" s="13"/>
    </row>
    <row r="1224" spans="3:3">
      <c r="C1224" s="13"/>
    </row>
    <row r="1225" spans="3:3">
      <c r="C1225" s="13"/>
    </row>
    <row r="1226" spans="3:3">
      <c r="C1226" s="13"/>
    </row>
    <row r="1227" spans="3:3">
      <c r="C1227" s="13"/>
    </row>
    <row r="1228" spans="3:3">
      <c r="C1228" s="13"/>
    </row>
    <row r="1229" spans="3:3">
      <c r="C1229" s="13"/>
    </row>
    <row r="1230" spans="3:3">
      <c r="C1230" s="13"/>
    </row>
    <row r="1231" spans="3:3">
      <c r="C1231" s="13"/>
    </row>
    <row r="1232" spans="3:3">
      <c r="C1232" s="13"/>
    </row>
    <row r="1233" spans="3:3">
      <c r="C1233" s="13"/>
    </row>
    <row r="1234" spans="3:3">
      <c r="C1234" s="13"/>
    </row>
    <row r="1235" spans="3:3">
      <c r="C1235" s="13"/>
    </row>
    <row r="1236" spans="3:3">
      <c r="C1236" s="13"/>
    </row>
    <row r="1237" spans="3:3">
      <c r="C1237" s="13"/>
    </row>
    <row r="1238" spans="3:3">
      <c r="C1238" s="13"/>
    </row>
    <row r="1239" spans="3:3">
      <c r="C1239" s="13"/>
    </row>
    <row r="1240" spans="3:3">
      <c r="C1240" s="13"/>
    </row>
    <row r="1241" spans="3:3">
      <c r="C1241" s="13"/>
    </row>
    <row r="1242" spans="3:3">
      <c r="C1242" s="13"/>
    </row>
    <row r="1243" spans="3:3">
      <c r="C1243" s="13"/>
    </row>
    <row r="1244" spans="3:3">
      <c r="C1244" s="13"/>
    </row>
    <row r="1245" spans="3:3">
      <c r="C1245" s="13"/>
    </row>
    <row r="1246" spans="3:3">
      <c r="C1246" s="13"/>
    </row>
    <row r="1247" spans="3:3">
      <c r="C1247" s="13"/>
    </row>
    <row r="1248" spans="3:3">
      <c r="C1248" s="13"/>
    </row>
    <row r="1249" spans="3:3">
      <c r="C1249" s="13"/>
    </row>
    <row r="1250" spans="3:3">
      <c r="C1250" s="13"/>
    </row>
    <row r="1251" spans="3:3">
      <c r="C1251" s="13"/>
    </row>
    <row r="1252" spans="3:3">
      <c r="C1252" s="13"/>
    </row>
    <row r="1253" spans="3:3">
      <c r="C1253" s="13"/>
    </row>
    <row r="1254" spans="3:3">
      <c r="C1254" s="13"/>
    </row>
    <row r="1255" spans="3:3">
      <c r="C1255" s="13"/>
    </row>
    <row r="1256" spans="3:3">
      <c r="C1256" s="13"/>
    </row>
    <row r="1257" spans="3:3">
      <c r="C1257" s="13"/>
    </row>
    <row r="1258" spans="3:3">
      <c r="C1258" s="13"/>
    </row>
    <row r="1259" spans="3:3">
      <c r="C1259" s="13"/>
    </row>
    <row r="1260" spans="3:3">
      <c r="C1260" s="13"/>
    </row>
    <row r="1261" spans="3:3">
      <c r="C1261" s="13"/>
    </row>
    <row r="1262" spans="3:3">
      <c r="C1262" s="13"/>
    </row>
    <row r="1263" spans="3:3">
      <c r="C1263" s="13"/>
    </row>
    <row r="1264" spans="3:3">
      <c r="C1264" s="13"/>
    </row>
    <row r="1265" spans="3:3">
      <c r="C1265" s="13"/>
    </row>
    <row r="1266" spans="3:3">
      <c r="C1266" s="13"/>
    </row>
    <row r="1267" spans="3:3">
      <c r="C1267" s="13"/>
    </row>
    <row r="1268" spans="3:3">
      <c r="C1268" s="13"/>
    </row>
    <row r="1269" spans="3:3">
      <c r="C1269" s="13"/>
    </row>
    <row r="1270" spans="3:3">
      <c r="C1270" s="13"/>
    </row>
    <row r="1271" spans="3:3">
      <c r="C1271" s="13"/>
    </row>
    <row r="1272" spans="3:3">
      <c r="C1272" s="13"/>
    </row>
    <row r="1273" spans="3:3">
      <c r="C1273" s="13"/>
    </row>
    <row r="1274" spans="3:3">
      <c r="C1274" s="13"/>
    </row>
    <row r="1275" spans="3:3">
      <c r="C1275" s="13"/>
    </row>
    <row r="1276" spans="3:3">
      <c r="C1276" s="13"/>
    </row>
    <row r="1277" spans="3:3">
      <c r="C1277" s="13"/>
    </row>
    <row r="1278" spans="3:3">
      <c r="C1278" s="13"/>
    </row>
    <row r="1279" spans="3:3">
      <c r="C1279" s="13"/>
    </row>
    <row r="1280" spans="3:3">
      <c r="C1280" s="13"/>
    </row>
    <row r="1281" spans="3:3">
      <c r="C1281" s="13"/>
    </row>
    <row r="1282" spans="3:3">
      <c r="C1282" s="13"/>
    </row>
    <row r="1283" spans="3:3">
      <c r="C1283" s="13"/>
    </row>
    <row r="1284" spans="3:3">
      <c r="C1284" s="13"/>
    </row>
    <row r="1285" spans="3:3">
      <c r="C1285" s="13"/>
    </row>
    <row r="1286" spans="3:3">
      <c r="C1286" s="13"/>
    </row>
    <row r="1287" spans="3:3">
      <c r="C1287" s="13"/>
    </row>
    <row r="1288" spans="3:3">
      <c r="C1288" s="13"/>
    </row>
    <row r="1289" spans="3:3">
      <c r="C1289" s="13"/>
    </row>
    <row r="1290" spans="3:3">
      <c r="C1290" s="13"/>
    </row>
    <row r="1291" spans="3:3">
      <c r="C1291" s="13"/>
    </row>
    <row r="1292" spans="3:3">
      <c r="C1292" s="13"/>
    </row>
    <row r="1293" spans="3:3">
      <c r="C1293" s="13"/>
    </row>
    <row r="1294" spans="3:3">
      <c r="C1294" s="13"/>
    </row>
    <row r="1295" spans="3:3">
      <c r="C1295" s="13"/>
    </row>
    <row r="1296" spans="3:3">
      <c r="C1296" s="13"/>
    </row>
    <row r="1297" spans="3:3">
      <c r="C1297" s="13"/>
    </row>
    <row r="1298" spans="3:3">
      <c r="C1298" s="13"/>
    </row>
    <row r="1299" spans="3:3">
      <c r="C1299" s="13"/>
    </row>
    <row r="1300" spans="3:3">
      <c r="C1300" s="13"/>
    </row>
    <row r="1301" spans="3:3">
      <c r="C1301" s="13"/>
    </row>
    <row r="1302" spans="3:3">
      <c r="C1302" s="13"/>
    </row>
    <row r="1303" spans="3:3">
      <c r="C1303" s="13"/>
    </row>
    <row r="1304" spans="3:3">
      <c r="C1304" s="13"/>
    </row>
    <row r="1305" spans="3:3">
      <c r="C1305" s="13"/>
    </row>
    <row r="1306" spans="3:3">
      <c r="C1306" s="13"/>
    </row>
    <row r="1307" spans="3:3">
      <c r="C1307" s="13"/>
    </row>
    <row r="1308" spans="3:3">
      <c r="C1308" s="13"/>
    </row>
    <row r="1309" spans="3:3">
      <c r="C1309" s="13"/>
    </row>
    <row r="1310" spans="3:3">
      <c r="C1310" s="13"/>
    </row>
    <row r="1311" spans="3:3">
      <c r="C1311" s="13"/>
    </row>
    <row r="1312" spans="3:3">
      <c r="C1312" s="13"/>
    </row>
    <row r="1313" spans="3:3">
      <c r="C1313" s="13"/>
    </row>
    <row r="1314" spans="3:3">
      <c r="C1314" s="13"/>
    </row>
    <row r="1315" spans="3:3">
      <c r="C1315" s="13"/>
    </row>
    <row r="1316" spans="3:3">
      <c r="C1316" s="13"/>
    </row>
    <row r="1317" spans="3:3">
      <c r="C1317" s="13"/>
    </row>
    <row r="1318" spans="3:3">
      <c r="C1318" s="13"/>
    </row>
    <row r="1319" spans="3:3">
      <c r="C1319" s="13"/>
    </row>
    <row r="1320" spans="3:3">
      <c r="C1320" s="13"/>
    </row>
    <row r="1321" spans="3:3">
      <c r="C1321" s="13"/>
    </row>
    <row r="1322" spans="3:3">
      <c r="C1322" s="13"/>
    </row>
    <row r="1323" spans="3:3">
      <c r="C1323" s="13"/>
    </row>
    <row r="1324" spans="3:3">
      <c r="C1324" s="13"/>
    </row>
    <row r="1325" spans="3:3">
      <c r="C1325" s="13"/>
    </row>
    <row r="1326" spans="3:3">
      <c r="C1326" s="13"/>
    </row>
    <row r="1327" spans="3:3">
      <c r="C1327" s="13"/>
    </row>
    <row r="1328" spans="3:3">
      <c r="C1328" s="13"/>
    </row>
    <row r="1329" spans="3:3">
      <c r="C1329" s="13"/>
    </row>
    <row r="1330" spans="3:3">
      <c r="C1330" s="13"/>
    </row>
    <row r="1331" spans="3:3">
      <c r="C1331" s="13"/>
    </row>
    <row r="1332" spans="3:3">
      <c r="C1332" s="13"/>
    </row>
    <row r="1333" spans="3:3">
      <c r="C1333" s="13"/>
    </row>
    <row r="1334" spans="3:3">
      <c r="C1334" s="13"/>
    </row>
    <row r="1335" spans="3:3">
      <c r="C1335" s="13"/>
    </row>
    <row r="1336" spans="3:3">
      <c r="C1336" s="13"/>
    </row>
    <row r="1337" spans="3:3">
      <c r="C1337" s="13"/>
    </row>
    <row r="1338" spans="3:3">
      <c r="C1338" s="13"/>
    </row>
    <row r="1339" spans="3:3">
      <c r="C1339" s="13"/>
    </row>
    <row r="1340" spans="3:3">
      <c r="C1340" s="13"/>
    </row>
    <row r="1341" spans="3:3">
      <c r="C1341" s="13"/>
    </row>
    <row r="1342" spans="3:3">
      <c r="C1342" s="13"/>
    </row>
    <row r="1343" spans="3:3">
      <c r="C1343" s="13"/>
    </row>
    <row r="1344" spans="3:3">
      <c r="C1344" s="13"/>
    </row>
    <row r="1345" spans="3:3">
      <c r="C1345" s="13"/>
    </row>
    <row r="1346" spans="3:3">
      <c r="C1346" s="13"/>
    </row>
    <row r="1347" spans="3:3">
      <c r="C1347" s="13"/>
    </row>
    <row r="1348" spans="3:3">
      <c r="C1348" s="13"/>
    </row>
    <row r="1349" spans="3:3">
      <c r="C1349" s="13"/>
    </row>
    <row r="1350" spans="3:3">
      <c r="C1350" s="13"/>
    </row>
    <row r="1351" spans="3:3">
      <c r="C1351" s="13"/>
    </row>
    <row r="1352" spans="3:3">
      <c r="C1352" s="13"/>
    </row>
    <row r="1353" spans="3:3">
      <c r="C1353" s="13"/>
    </row>
    <row r="1354" spans="3:3">
      <c r="C1354" s="13"/>
    </row>
    <row r="1355" spans="3:3">
      <c r="C1355" s="13"/>
    </row>
    <row r="1356" spans="3:3">
      <c r="C1356" s="13"/>
    </row>
    <row r="1357" spans="3:3">
      <c r="C1357" s="13"/>
    </row>
    <row r="1358" spans="3:3">
      <c r="C1358" s="13"/>
    </row>
    <row r="1359" spans="3:3">
      <c r="C1359" s="13"/>
    </row>
    <row r="1360" spans="3:3">
      <c r="C1360" s="13"/>
    </row>
    <row r="1361" spans="3:3">
      <c r="C1361" s="13"/>
    </row>
    <row r="1362" spans="3:3">
      <c r="C1362" s="13"/>
    </row>
    <row r="1363" spans="3:3">
      <c r="C1363" s="13"/>
    </row>
    <row r="1364" spans="3:3">
      <c r="C1364" s="13"/>
    </row>
    <row r="1365" spans="3:3">
      <c r="C1365" s="13"/>
    </row>
    <row r="1366" spans="3:3">
      <c r="C1366" s="13"/>
    </row>
    <row r="1367" spans="3:3">
      <c r="C1367" s="13"/>
    </row>
    <row r="1368" spans="3:3">
      <c r="C1368" s="13"/>
    </row>
    <row r="1369" spans="3:3">
      <c r="C1369" s="13"/>
    </row>
    <row r="1370" spans="3:3">
      <c r="C1370" s="13"/>
    </row>
    <row r="1371" spans="3:3">
      <c r="C1371" s="13"/>
    </row>
    <row r="1372" spans="3:3">
      <c r="C1372" s="13"/>
    </row>
    <row r="1373" spans="3:3">
      <c r="C1373" s="13"/>
    </row>
    <row r="1374" spans="3:3">
      <c r="C1374" s="13"/>
    </row>
    <row r="1375" spans="3:3">
      <c r="C1375" s="13"/>
    </row>
    <row r="1376" spans="3:3">
      <c r="C1376" s="13"/>
    </row>
    <row r="1377" spans="3:3">
      <c r="C1377" s="13"/>
    </row>
    <row r="1378" spans="3:3">
      <c r="C1378" s="13"/>
    </row>
    <row r="1379" spans="3:3">
      <c r="C1379" s="13"/>
    </row>
    <row r="1380" spans="3:3">
      <c r="C1380" s="13"/>
    </row>
    <row r="1381" spans="3:3">
      <c r="C1381" s="13"/>
    </row>
    <row r="1382" spans="3:3">
      <c r="C1382" s="13"/>
    </row>
    <row r="1383" spans="3:3">
      <c r="C1383" s="13"/>
    </row>
    <row r="1384" spans="3:3">
      <c r="C1384" s="13"/>
    </row>
    <row r="1385" spans="3:3">
      <c r="C1385" s="13"/>
    </row>
    <row r="1386" spans="3:3">
      <c r="C1386" s="13"/>
    </row>
    <row r="1387" spans="3:3">
      <c r="C1387" s="13"/>
    </row>
    <row r="1388" spans="3:3">
      <c r="C1388" s="13"/>
    </row>
    <row r="1389" spans="3:3">
      <c r="C1389" s="13"/>
    </row>
    <row r="1390" spans="3:3">
      <c r="C1390" s="13"/>
    </row>
    <row r="1391" spans="3:3">
      <c r="C1391" s="13"/>
    </row>
    <row r="1392" spans="3:3">
      <c r="C1392" s="13"/>
    </row>
    <row r="1393" spans="3:3">
      <c r="C1393" s="13"/>
    </row>
    <row r="1394" spans="3:3">
      <c r="C1394" s="13"/>
    </row>
    <row r="1395" spans="3:3">
      <c r="C1395" s="13"/>
    </row>
    <row r="1396" spans="3:3">
      <c r="C1396" s="13"/>
    </row>
    <row r="1397" spans="3:3">
      <c r="C1397" s="13"/>
    </row>
    <row r="1398" spans="3:3">
      <c r="C1398" s="13"/>
    </row>
    <row r="1399" spans="3:3">
      <c r="C1399" s="13"/>
    </row>
    <row r="1400" spans="3:3">
      <c r="C1400" s="13"/>
    </row>
    <row r="1401" spans="3:3">
      <c r="C1401" s="13"/>
    </row>
    <row r="1402" spans="3:3">
      <c r="C1402" s="13"/>
    </row>
    <row r="1403" spans="3:3">
      <c r="C1403" s="13"/>
    </row>
    <row r="1404" spans="3:3">
      <c r="C1404" s="13"/>
    </row>
    <row r="1405" spans="3:3">
      <c r="C1405" s="13"/>
    </row>
    <row r="1406" spans="3:3">
      <c r="C1406" s="13"/>
    </row>
    <row r="1407" spans="3:3">
      <c r="C1407" s="13"/>
    </row>
    <row r="1408" spans="3:3">
      <c r="C1408" s="13"/>
    </row>
    <row r="1409" spans="3:3">
      <c r="C1409" s="13"/>
    </row>
    <row r="1410" spans="3:3">
      <c r="C1410" s="13"/>
    </row>
    <row r="1411" spans="3:3">
      <c r="C1411" s="13"/>
    </row>
    <row r="1412" spans="3:3">
      <c r="C1412" s="13"/>
    </row>
    <row r="1413" spans="3:3">
      <c r="C1413" s="13"/>
    </row>
    <row r="1414" spans="3:3">
      <c r="C1414" s="13"/>
    </row>
    <row r="1415" spans="3:3">
      <c r="C1415" s="13"/>
    </row>
    <row r="1416" spans="3:3">
      <c r="C1416" s="13"/>
    </row>
    <row r="1417" spans="3:3">
      <c r="C1417" s="13"/>
    </row>
    <row r="1418" spans="3:3">
      <c r="C1418" s="13"/>
    </row>
    <row r="1419" spans="3:3">
      <c r="C1419" s="13"/>
    </row>
    <row r="1420" spans="3:3">
      <c r="C1420" s="13"/>
    </row>
    <row r="1421" spans="3:3">
      <c r="C1421" s="13"/>
    </row>
    <row r="1422" spans="3:3">
      <c r="C1422" s="13"/>
    </row>
    <row r="1423" spans="3:3">
      <c r="C1423" s="13"/>
    </row>
    <row r="1424" spans="3:3">
      <c r="C1424" s="13"/>
    </row>
    <row r="1425" spans="3:3">
      <c r="C1425" s="13"/>
    </row>
    <row r="1426" spans="3:3">
      <c r="C1426" s="13"/>
    </row>
    <row r="1427" spans="3:3">
      <c r="C1427" s="13"/>
    </row>
    <row r="1428" spans="3:3">
      <c r="C1428" s="13"/>
    </row>
    <row r="1429" spans="3:3">
      <c r="C1429" s="13"/>
    </row>
    <row r="1430" spans="3:3">
      <c r="C1430" s="13"/>
    </row>
    <row r="1431" spans="3:3">
      <c r="C1431" s="13"/>
    </row>
    <row r="1432" spans="3:3">
      <c r="C1432" s="13"/>
    </row>
    <row r="1433" spans="3:3">
      <c r="C1433" s="13"/>
    </row>
    <row r="1434" spans="3:3">
      <c r="C1434" s="13"/>
    </row>
    <row r="1435" spans="3:3">
      <c r="C1435" s="13"/>
    </row>
    <row r="1436" spans="3:3">
      <c r="C1436" s="13"/>
    </row>
    <row r="1437" spans="3:3">
      <c r="C1437" s="13"/>
    </row>
    <row r="1438" spans="3:3">
      <c r="C1438" s="13"/>
    </row>
    <row r="1439" spans="3:3">
      <c r="C1439" s="13"/>
    </row>
    <row r="1440" spans="3:3">
      <c r="C1440" s="13"/>
    </row>
    <row r="1441" spans="3:3">
      <c r="C1441" s="13"/>
    </row>
    <row r="1442" spans="3:3">
      <c r="C1442" s="13"/>
    </row>
    <row r="1443" spans="3:3">
      <c r="C1443" s="13"/>
    </row>
    <row r="1444" spans="3:3">
      <c r="C1444" s="13"/>
    </row>
    <row r="1445" spans="3:3">
      <c r="C1445" s="13"/>
    </row>
    <row r="1446" spans="3:3">
      <c r="C1446" s="13"/>
    </row>
    <row r="1447" spans="3:3">
      <c r="C1447" s="13"/>
    </row>
    <row r="1448" spans="3:3">
      <c r="C1448" s="13"/>
    </row>
    <row r="1449" spans="3:3">
      <c r="C1449" s="13"/>
    </row>
    <row r="1450" spans="3:3">
      <c r="C1450" s="13"/>
    </row>
    <row r="1451" spans="3:3">
      <c r="C1451" s="13"/>
    </row>
    <row r="1452" spans="3:3">
      <c r="C1452" s="13"/>
    </row>
    <row r="1453" spans="3:3">
      <c r="C1453" s="13"/>
    </row>
    <row r="1454" spans="3:3">
      <c r="C1454" s="13"/>
    </row>
    <row r="1455" spans="3:3">
      <c r="C1455" s="13"/>
    </row>
    <row r="1456" spans="3:3">
      <c r="C1456" s="13"/>
    </row>
    <row r="1457" spans="3:3">
      <c r="C1457" s="13"/>
    </row>
    <row r="1458" spans="3:3">
      <c r="C1458" s="13"/>
    </row>
    <row r="1459" spans="3:3">
      <c r="C1459" s="13"/>
    </row>
    <row r="1460" spans="3:3">
      <c r="C1460" s="13"/>
    </row>
    <row r="1461" spans="3:3">
      <c r="C1461" s="13"/>
    </row>
    <row r="1462" spans="3:3">
      <c r="C1462" s="13"/>
    </row>
    <row r="1463" spans="3:3">
      <c r="C1463" s="13"/>
    </row>
    <row r="1464" spans="3:3">
      <c r="C1464" s="13"/>
    </row>
    <row r="1465" spans="3:3">
      <c r="C1465" s="13"/>
    </row>
    <row r="1466" spans="3:3">
      <c r="C1466" s="13"/>
    </row>
    <row r="1467" spans="3:3">
      <c r="C1467" s="13"/>
    </row>
    <row r="1468" spans="3:3">
      <c r="C1468" s="13"/>
    </row>
    <row r="1469" spans="3:3">
      <c r="C1469" s="13"/>
    </row>
    <row r="1470" spans="3:3">
      <c r="C1470" s="13"/>
    </row>
    <row r="1471" spans="3:3">
      <c r="C1471" s="13"/>
    </row>
    <row r="1472" spans="3:3">
      <c r="C1472" s="13"/>
    </row>
    <row r="1473" spans="3:3">
      <c r="C1473" s="13"/>
    </row>
    <row r="1474" spans="3:3">
      <c r="C1474" s="13"/>
    </row>
    <row r="1475" spans="3:3">
      <c r="C1475" s="13"/>
    </row>
    <row r="1476" spans="3:3">
      <c r="C1476" s="13"/>
    </row>
    <row r="1477" spans="3:3">
      <c r="C1477" s="13"/>
    </row>
    <row r="1478" spans="3:3">
      <c r="C1478" s="13"/>
    </row>
    <row r="1479" spans="3:3">
      <c r="C1479" s="13"/>
    </row>
    <row r="1480" spans="3:3">
      <c r="C1480" s="13"/>
    </row>
    <row r="1481" spans="3:3">
      <c r="C1481" s="13"/>
    </row>
    <row r="1482" spans="3:3">
      <c r="C1482" s="13"/>
    </row>
    <row r="1483" spans="3:3">
      <c r="C1483" s="13"/>
    </row>
    <row r="1484" spans="3:3">
      <c r="C1484" s="13"/>
    </row>
    <row r="1485" spans="3:3">
      <c r="C1485" s="13"/>
    </row>
    <row r="1486" spans="3:3">
      <c r="C1486" s="13"/>
    </row>
    <row r="1487" spans="3:3">
      <c r="C1487" s="13"/>
    </row>
    <row r="1488" spans="3:3">
      <c r="C1488" s="13"/>
    </row>
    <row r="1489" spans="3:3">
      <c r="C1489" s="13"/>
    </row>
    <row r="1490" spans="3:3">
      <c r="C1490" s="13"/>
    </row>
    <row r="1491" spans="3:3">
      <c r="C1491" s="13"/>
    </row>
    <row r="1492" spans="3:3">
      <c r="C1492" s="13"/>
    </row>
    <row r="1493" spans="3:3">
      <c r="C1493" s="13"/>
    </row>
    <row r="1494" spans="3:3">
      <c r="C1494" s="13"/>
    </row>
    <row r="1495" spans="3:3">
      <c r="C1495" s="13"/>
    </row>
    <row r="1496" spans="3:3">
      <c r="C1496" s="13"/>
    </row>
    <row r="1497" spans="3:3">
      <c r="C1497" s="13"/>
    </row>
    <row r="1498" spans="3:3">
      <c r="C1498" s="13"/>
    </row>
    <row r="1499" spans="3:3">
      <c r="C1499" s="13"/>
    </row>
    <row r="1500" spans="3:3">
      <c r="C1500" s="13"/>
    </row>
    <row r="1501" spans="3:3">
      <c r="C1501" s="13"/>
    </row>
    <row r="1502" spans="3:3">
      <c r="C1502" s="13"/>
    </row>
    <row r="1503" spans="3:3">
      <c r="C1503" s="13"/>
    </row>
    <row r="1504" spans="3:3">
      <c r="C1504" s="13"/>
    </row>
    <row r="1505" spans="3:3">
      <c r="C1505" s="13"/>
    </row>
    <row r="1506" spans="3:3">
      <c r="C1506" s="13"/>
    </row>
    <row r="1507" spans="3:3">
      <c r="C1507" s="13"/>
    </row>
    <row r="1508" spans="3:3">
      <c r="C1508" s="13"/>
    </row>
    <row r="1509" spans="3:3">
      <c r="C1509" s="13"/>
    </row>
    <row r="1510" spans="3:3">
      <c r="C1510" s="13"/>
    </row>
    <row r="1511" spans="3:3">
      <c r="C1511" s="13"/>
    </row>
    <row r="1512" spans="3:3">
      <c r="C1512" s="13"/>
    </row>
    <row r="1513" spans="3:3">
      <c r="C1513" s="13"/>
    </row>
    <row r="1514" spans="3:3">
      <c r="C1514" s="13"/>
    </row>
    <row r="1515" spans="3:3">
      <c r="C1515" s="13"/>
    </row>
    <row r="1516" spans="3:3">
      <c r="C1516" s="13"/>
    </row>
    <row r="1517" spans="3:3">
      <c r="C1517" s="13"/>
    </row>
    <row r="1518" spans="3:3">
      <c r="C1518" s="13"/>
    </row>
    <row r="1519" spans="3:3">
      <c r="C1519" s="13"/>
    </row>
    <row r="1520" spans="3:3">
      <c r="C1520" s="13"/>
    </row>
    <row r="1521" spans="3:3">
      <c r="C1521" s="13"/>
    </row>
    <row r="1522" spans="3:3">
      <c r="C1522" s="13"/>
    </row>
    <row r="1523" spans="3:3">
      <c r="C1523" s="13"/>
    </row>
    <row r="1524" spans="3:3">
      <c r="C1524" s="13"/>
    </row>
    <row r="1525" spans="3:3">
      <c r="C1525" s="13"/>
    </row>
    <row r="1526" spans="3:3">
      <c r="C1526" s="13"/>
    </row>
    <row r="1527" spans="3:3">
      <c r="C1527" s="13"/>
    </row>
    <row r="1528" spans="3:3">
      <c r="C1528" s="13"/>
    </row>
    <row r="1529" spans="3:3">
      <c r="C1529" s="13"/>
    </row>
    <row r="1530" spans="3:3">
      <c r="C1530" s="13"/>
    </row>
    <row r="1531" spans="3:3">
      <c r="C1531" s="13"/>
    </row>
    <row r="1532" spans="3:3">
      <c r="C1532" s="13"/>
    </row>
    <row r="1533" spans="3:3">
      <c r="C1533" s="13"/>
    </row>
    <row r="1534" spans="3:3">
      <c r="C1534" s="13"/>
    </row>
    <row r="1535" spans="3:3">
      <c r="C1535" s="13"/>
    </row>
    <row r="1536" spans="3:3">
      <c r="C1536" s="13"/>
    </row>
    <row r="1537" spans="3:3">
      <c r="C1537" s="13"/>
    </row>
    <row r="1538" spans="3:3">
      <c r="C1538" s="13"/>
    </row>
    <row r="1539" spans="3:3">
      <c r="C1539" s="13"/>
    </row>
    <row r="1540" spans="3:3">
      <c r="C1540" s="13"/>
    </row>
    <row r="1541" spans="3:3">
      <c r="C1541" s="13"/>
    </row>
    <row r="1542" spans="3:3">
      <c r="C1542" s="13"/>
    </row>
    <row r="1543" spans="3:3">
      <c r="C1543" s="13"/>
    </row>
    <row r="1544" spans="3:3">
      <c r="C1544" s="13"/>
    </row>
    <row r="1545" spans="3:3">
      <c r="C1545" s="13"/>
    </row>
    <row r="1546" spans="3:3">
      <c r="C1546" s="13"/>
    </row>
    <row r="1547" spans="3:3">
      <c r="C1547" s="13"/>
    </row>
    <row r="1548" spans="3:3">
      <c r="C1548" s="13"/>
    </row>
    <row r="1549" spans="3:3">
      <c r="C1549" s="13"/>
    </row>
    <row r="1550" spans="3:3">
      <c r="C1550" s="13"/>
    </row>
    <row r="1551" spans="3:3">
      <c r="C1551" s="13"/>
    </row>
    <row r="1552" spans="3:3">
      <c r="C1552" s="13"/>
    </row>
    <row r="1553" spans="3:3">
      <c r="C1553" s="13"/>
    </row>
    <row r="1554" spans="3:3">
      <c r="C1554" s="13"/>
    </row>
    <row r="1555" spans="3:3">
      <c r="C1555" s="13"/>
    </row>
    <row r="1556" spans="3:3">
      <c r="C1556" s="13"/>
    </row>
    <row r="1557" spans="3:3">
      <c r="C1557" s="13"/>
    </row>
    <row r="1558" spans="3:3">
      <c r="C1558" s="13"/>
    </row>
    <row r="1559" spans="3:3">
      <c r="C1559" s="13"/>
    </row>
    <row r="1560" spans="3:3">
      <c r="C1560" s="13"/>
    </row>
    <row r="1561" spans="3:3">
      <c r="C1561" s="13"/>
    </row>
    <row r="1562" spans="3:3">
      <c r="C1562" s="13"/>
    </row>
    <row r="1563" spans="3:3">
      <c r="C1563" s="13"/>
    </row>
    <row r="1564" spans="3:3">
      <c r="C1564" s="13"/>
    </row>
    <row r="1565" spans="3:3">
      <c r="C1565" s="13"/>
    </row>
    <row r="1566" spans="3:3">
      <c r="C1566" s="13"/>
    </row>
    <row r="1567" spans="3:3">
      <c r="C1567" s="13"/>
    </row>
    <row r="1568" spans="3:3">
      <c r="C1568" s="13"/>
    </row>
    <row r="1569" spans="3:3">
      <c r="C1569" s="13"/>
    </row>
    <row r="1570" spans="3:3">
      <c r="C1570" s="13"/>
    </row>
    <row r="1571" spans="3:3">
      <c r="C1571" s="13"/>
    </row>
    <row r="1572" spans="3:3">
      <c r="C1572" s="13"/>
    </row>
    <row r="1573" spans="3:3">
      <c r="C1573" s="13"/>
    </row>
    <row r="1574" spans="3:3">
      <c r="C1574" s="13"/>
    </row>
    <row r="1575" spans="3:3">
      <c r="C1575" s="13"/>
    </row>
    <row r="1576" spans="3:3">
      <c r="C1576" s="13"/>
    </row>
    <row r="1577" spans="3:3">
      <c r="C1577" s="13"/>
    </row>
    <row r="1578" spans="3:3">
      <c r="C1578" s="13"/>
    </row>
    <row r="1579" spans="3:3">
      <c r="C1579" s="13"/>
    </row>
    <row r="1580" spans="3:3">
      <c r="C1580" s="13"/>
    </row>
    <row r="1581" spans="3:3">
      <c r="C1581" s="13"/>
    </row>
    <row r="1582" spans="3:3">
      <c r="C1582" s="13"/>
    </row>
    <row r="1583" spans="3:3">
      <c r="C1583" s="13"/>
    </row>
    <row r="1584" spans="3:3">
      <c r="C1584" s="13"/>
    </row>
    <row r="1585" spans="3:3">
      <c r="C1585" s="13"/>
    </row>
    <row r="1586" spans="3:3">
      <c r="C1586" s="13"/>
    </row>
    <row r="1587" spans="3:3">
      <c r="C1587" s="13"/>
    </row>
    <row r="1588" spans="3:3">
      <c r="C1588" s="13"/>
    </row>
    <row r="1589" spans="3:3">
      <c r="C1589" s="13"/>
    </row>
    <row r="1590" spans="3:3">
      <c r="C1590" s="13"/>
    </row>
    <row r="1591" spans="3:3">
      <c r="C1591" s="13"/>
    </row>
    <row r="1592" spans="3:3">
      <c r="C1592" s="13"/>
    </row>
    <row r="1593" spans="3:3">
      <c r="C1593" s="13"/>
    </row>
    <row r="1594" spans="3:3">
      <c r="C1594" s="13"/>
    </row>
    <row r="1595" spans="3:3">
      <c r="C1595" s="13"/>
    </row>
    <row r="1596" spans="3:3">
      <c r="C1596" s="13"/>
    </row>
    <row r="1597" spans="3:3">
      <c r="C1597" s="13"/>
    </row>
    <row r="1598" spans="3:3">
      <c r="C1598" s="13"/>
    </row>
    <row r="1599" spans="3:3">
      <c r="C1599" s="13"/>
    </row>
    <row r="1600" spans="3:3">
      <c r="C1600" s="13"/>
    </row>
    <row r="1601" spans="3:3">
      <c r="C1601" s="13"/>
    </row>
    <row r="1602" spans="3:3">
      <c r="C1602" s="13"/>
    </row>
    <row r="1603" spans="3:3">
      <c r="C1603" s="13"/>
    </row>
    <row r="1604" spans="3:3">
      <c r="C1604" s="13"/>
    </row>
    <row r="1605" spans="3:3">
      <c r="C1605" s="13"/>
    </row>
    <row r="1606" spans="3:3">
      <c r="C1606" s="13"/>
    </row>
    <row r="1607" spans="3:3">
      <c r="C1607" s="13"/>
    </row>
    <row r="1608" spans="3:3">
      <c r="C1608" s="13"/>
    </row>
    <row r="1609" spans="3:3">
      <c r="C1609" s="13"/>
    </row>
    <row r="1610" spans="3:3">
      <c r="C1610" s="13"/>
    </row>
    <row r="1611" spans="3:3">
      <c r="C1611" s="13"/>
    </row>
    <row r="1612" spans="3:3">
      <c r="C1612" s="13"/>
    </row>
    <row r="1613" spans="3:3">
      <c r="C1613" s="13"/>
    </row>
    <row r="1614" spans="3:3">
      <c r="C1614" s="13"/>
    </row>
    <row r="1615" spans="3:3">
      <c r="C1615" s="13"/>
    </row>
    <row r="1616" spans="3:3">
      <c r="C1616" s="13"/>
    </row>
    <row r="1617" spans="3:3">
      <c r="C1617" s="13"/>
    </row>
    <row r="1618" spans="3:3">
      <c r="C1618" s="13"/>
    </row>
    <row r="1619" spans="3:3">
      <c r="C1619" s="13"/>
    </row>
    <row r="1620" spans="3:3">
      <c r="C1620" s="13"/>
    </row>
    <row r="1621" spans="3:3">
      <c r="C1621" s="13"/>
    </row>
    <row r="1622" spans="3:3">
      <c r="C1622" s="13"/>
    </row>
    <row r="1623" spans="3:3">
      <c r="C1623" s="13"/>
    </row>
    <row r="1624" spans="3:3">
      <c r="C1624" s="13"/>
    </row>
    <row r="1625" spans="3:3">
      <c r="C1625" s="13"/>
    </row>
    <row r="1626" spans="3:3">
      <c r="C1626" s="13"/>
    </row>
    <row r="1627" spans="3:3">
      <c r="C1627" s="13"/>
    </row>
    <row r="1628" spans="3:3">
      <c r="C1628" s="13"/>
    </row>
    <row r="1629" spans="3:3">
      <c r="C1629" s="13"/>
    </row>
    <row r="1630" spans="3:3">
      <c r="C1630" s="13"/>
    </row>
    <row r="1631" spans="3:3">
      <c r="C1631" s="13"/>
    </row>
    <row r="1632" spans="3:3">
      <c r="C1632" s="13"/>
    </row>
    <row r="1633" spans="3:3">
      <c r="C1633" s="13"/>
    </row>
    <row r="1634" spans="3:3">
      <c r="C1634" s="13"/>
    </row>
    <row r="1635" spans="3:3">
      <c r="C1635" s="13"/>
    </row>
    <row r="1636" spans="3:3">
      <c r="C1636" s="13"/>
    </row>
    <row r="1637" spans="3:3">
      <c r="C1637" s="13"/>
    </row>
    <row r="1638" spans="3:3">
      <c r="C1638" s="13"/>
    </row>
    <row r="1639" spans="3:3">
      <c r="C1639" s="13"/>
    </row>
    <row r="1640" spans="3:3">
      <c r="C1640" s="13"/>
    </row>
    <row r="1641" spans="3:3">
      <c r="C1641" s="13"/>
    </row>
    <row r="1642" spans="3:3">
      <c r="C1642" s="13"/>
    </row>
    <row r="1643" spans="3:3">
      <c r="C1643" s="13"/>
    </row>
    <row r="1644" spans="3:3">
      <c r="C1644" s="13"/>
    </row>
    <row r="1645" spans="3:3">
      <c r="C1645" s="13"/>
    </row>
    <row r="1646" spans="3:3">
      <c r="C1646" s="13"/>
    </row>
    <row r="1647" spans="3:3">
      <c r="C1647" s="13"/>
    </row>
    <row r="1648" spans="3:3">
      <c r="C1648" s="13"/>
    </row>
    <row r="1649" spans="3:3">
      <c r="C1649" s="13"/>
    </row>
    <row r="1650" spans="3:3">
      <c r="C1650" s="13"/>
    </row>
    <row r="1651" spans="3:3">
      <c r="C1651" s="13"/>
    </row>
    <row r="1652" spans="3:3">
      <c r="C1652" s="13"/>
    </row>
    <row r="1653" spans="3:3">
      <c r="C1653" s="13"/>
    </row>
    <row r="1654" spans="3:3">
      <c r="C1654" s="13"/>
    </row>
    <row r="1655" spans="3:3">
      <c r="C1655" s="13"/>
    </row>
    <row r="1656" spans="3:3">
      <c r="C1656" s="13"/>
    </row>
    <row r="1657" spans="3:3">
      <c r="C1657" s="13"/>
    </row>
    <row r="1658" spans="3:3">
      <c r="C1658" s="13"/>
    </row>
    <row r="1659" spans="3:3">
      <c r="C1659" s="13"/>
    </row>
    <row r="1660" spans="3:3">
      <c r="C1660" s="13"/>
    </row>
    <row r="1661" spans="3:3">
      <c r="C1661" s="13"/>
    </row>
    <row r="1662" spans="3:3">
      <c r="C1662" s="13"/>
    </row>
    <row r="1663" spans="3:3">
      <c r="C1663" s="13"/>
    </row>
    <row r="1664" spans="3:3">
      <c r="C1664" s="13"/>
    </row>
    <row r="1665" spans="3:3">
      <c r="C1665" s="13"/>
    </row>
    <row r="1666" spans="3:3">
      <c r="C1666" s="13"/>
    </row>
    <row r="1667" spans="3:3">
      <c r="C1667" s="13"/>
    </row>
    <row r="1668" spans="3:3">
      <c r="C1668" s="13"/>
    </row>
    <row r="1669" spans="3:3">
      <c r="C1669" s="13"/>
    </row>
    <row r="1670" spans="3:3">
      <c r="C1670" s="13"/>
    </row>
    <row r="1671" spans="3:3">
      <c r="C1671" s="13"/>
    </row>
    <row r="1672" spans="3:3">
      <c r="C1672" s="13"/>
    </row>
    <row r="1673" spans="3:3">
      <c r="C1673" s="13"/>
    </row>
    <row r="1674" spans="3:3">
      <c r="C1674" s="13"/>
    </row>
    <row r="1675" spans="3:3">
      <c r="C1675" s="13"/>
    </row>
    <row r="1676" spans="3:3">
      <c r="C1676" s="13"/>
    </row>
    <row r="1677" spans="3:3">
      <c r="C1677" s="13"/>
    </row>
    <row r="1678" spans="3:3">
      <c r="C1678" s="13"/>
    </row>
    <row r="1679" spans="3:3">
      <c r="C1679" s="13"/>
    </row>
    <row r="1680" spans="3:3">
      <c r="C1680" s="13"/>
    </row>
    <row r="1681" spans="3:3">
      <c r="C1681" s="13"/>
    </row>
    <row r="1682" spans="3:3">
      <c r="C1682" s="13"/>
    </row>
    <row r="1683" spans="3:3">
      <c r="C1683" s="13"/>
    </row>
    <row r="1684" spans="3:3">
      <c r="C1684" s="13"/>
    </row>
    <row r="1685" spans="3:3">
      <c r="C1685" s="13"/>
    </row>
    <row r="1686" spans="3:3">
      <c r="C1686" s="13"/>
    </row>
    <row r="1687" spans="3:3">
      <c r="C1687" s="13"/>
    </row>
    <row r="1688" spans="3:3">
      <c r="C1688" s="13"/>
    </row>
    <row r="1689" spans="3:3">
      <c r="C1689" s="13"/>
    </row>
    <row r="1690" spans="3:3">
      <c r="C1690" s="13"/>
    </row>
    <row r="1691" spans="3:3">
      <c r="C1691" s="13"/>
    </row>
    <row r="1692" spans="3:3">
      <c r="C1692" s="13"/>
    </row>
    <row r="1693" spans="3:3">
      <c r="C1693" s="13"/>
    </row>
    <row r="1694" spans="3:3">
      <c r="C1694" s="13"/>
    </row>
    <row r="1695" spans="3:3">
      <c r="C1695" s="13"/>
    </row>
    <row r="1696" spans="3:3">
      <c r="C1696" s="13"/>
    </row>
    <row r="1697" spans="3:3">
      <c r="C1697" s="13"/>
    </row>
    <row r="1698" spans="3:3">
      <c r="C1698" s="13"/>
    </row>
    <row r="1699" spans="3:3">
      <c r="C1699" s="13"/>
    </row>
    <row r="1700" spans="3:3">
      <c r="C1700" s="13"/>
    </row>
    <row r="1701" spans="3:3">
      <c r="C1701" s="13"/>
    </row>
    <row r="1702" spans="3:3">
      <c r="C1702" s="13"/>
    </row>
    <row r="1703" spans="3:3">
      <c r="C1703" s="13"/>
    </row>
    <row r="1704" spans="3:3">
      <c r="C1704" s="13"/>
    </row>
    <row r="1705" spans="3:3">
      <c r="C1705" s="13"/>
    </row>
    <row r="1706" spans="3:3">
      <c r="C1706" s="13"/>
    </row>
    <row r="1707" spans="3:3">
      <c r="C1707" s="13"/>
    </row>
    <row r="1708" spans="3:3">
      <c r="C1708" s="13"/>
    </row>
    <row r="1709" spans="3:3">
      <c r="C1709" s="13"/>
    </row>
    <row r="1710" spans="3:3">
      <c r="C1710" s="13"/>
    </row>
    <row r="1711" spans="3:3">
      <c r="C1711" s="13"/>
    </row>
    <row r="1712" spans="3:3">
      <c r="C1712" s="13"/>
    </row>
    <row r="1713" spans="3:3">
      <c r="C1713" s="13"/>
    </row>
    <row r="1714" spans="3:3">
      <c r="C1714" s="13"/>
    </row>
    <row r="1715" spans="3:3">
      <c r="C1715" s="13"/>
    </row>
    <row r="1716" spans="3:3">
      <c r="C1716" s="13"/>
    </row>
    <row r="1717" spans="3:3">
      <c r="C1717" s="13"/>
    </row>
    <row r="1718" spans="3:3">
      <c r="C1718" s="13"/>
    </row>
    <row r="1719" spans="3:3">
      <c r="C1719" s="13"/>
    </row>
    <row r="1720" spans="3:3">
      <c r="C1720" s="13"/>
    </row>
    <row r="1721" spans="3:3">
      <c r="C1721" s="13"/>
    </row>
    <row r="1722" spans="3:3">
      <c r="C1722" s="13"/>
    </row>
    <row r="1723" spans="3:3">
      <c r="C1723" s="13"/>
    </row>
    <row r="1724" spans="3:3">
      <c r="C1724" s="13"/>
    </row>
    <row r="1725" spans="3:3">
      <c r="C1725" s="13"/>
    </row>
    <row r="1726" spans="3:3">
      <c r="C1726" s="13"/>
    </row>
    <row r="1727" spans="3:3">
      <c r="C1727" s="13"/>
    </row>
    <row r="1728" spans="3:3">
      <c r="C1728" s="13"/>
    </row>
    <row r="1729" spans="3:3">
      <c r="C1729" s="13"/>
    </row>
    <row r="1730" spans="3:3">
      <c r="C1730" s="13"/>
    </row>
    <row r="1731" spans="3:3">
      <c r="C1731" s="13"/>
    </row>
    <row r="1732" spans="3:3">
      <c r="C1732" s="13"/>
    </row>
    <row r="1733" spans="3:3">
      <c r="C1733" s="13"/>
    </row>
    <row r="1734" spans="3:3">
      <c r="C1734" s="13"/>
    </row>
    <row r="1735" spans="3:3">
      <c r="C1735" s="13"/>
    </row>
    <row r="1736" spans="3:3">
      <c r="C1736" s="13"/>
    </row>
    <row r="1737" spans="3:3">
      <c r="C1737" s="13"/>
    </row>
    <row r="1738" spans="3:3">
      <c r="C1738" s="13"/>
    </row>
    <row r="1739" spans="3:3">
      <c r="C1739" s="13"/>
    </row>
    <row r="1740" spans="3:3">
      <c r="C1740" s="13"/>
    </row>
    <row r="1741" spans="3:3">
      <c r="C1741" s="13"/>
    </row>
    <row r="1742" spans="3:3">
      <c r="C1742" s="13"/>
    </row>
    <row r="1743" spans="3:3">
      <c r="C1743" s="13"/>
    </row>
    <row r="1744" spans="3:3">
      <c r="C1744" s="13"/>
    </row>
    <row r="1745" spans="3:3">
      <c r="C1745" s="13"/>
    </row>
    <row r="1746" spans="3:3">
      <c r="C1746" s="13"/>
    </row>
    <row r="1747" spans="3:3">
      <c r="C1747" s="13"/>
    </row>
    <row r="1748" spans="3:3">
      <c r="C1748" s="13"/>
    </row>
    <row r="1749" spans="3:3">
      <c r="C1749" s="13"/>
    </row>
    <row r="1750" spans="3:3">
      <c r="C1750" s="13"/>
    </row>
    <row r="1751" spans="3:3">
      <c r="C1751" s="13"/>
    </row>
    <row r="1752" spans="3:3">
      <c r="C1752" s="13"/>
    </row>
    <row r="1753" spans="3:3">
      <c r="C1753" s="13"/>
    </row>
    <row r="1754" spans="3:3">
      <c r="C1754" s="13"/>
    </row>
    <row r="1755" spans="3:3">
      <c r="C1755" s="13"/>
    </row>
    <row r="1756" spans="3:3">
      <c r="C1756" s="13"/>
    </row>
    <row r="1757" spans="3:3">
      <c r="C1757" s="13"/>
    </row>
    <row r="1758" spans="3:3">
      <c r="C1758" s="13"/>
    </row>
    <row r="1759" spans="3:3">
      <c r="C1759" s="13"/>
    </row>
    <row r="1760" spans="3:3">
      <c r="C1760" s="13"/>
    </row>
    <row r="1761" spans="3:3">
      <c r="C1761" s="13"/>
    </row>
    <row r="1762" spans="3:3">
      <c r="C1762" s="13"/>
    </row>
    <row r="1763" spans="3:3">
      <c r="C1763" s="13"/>
    </row>
    <row r="1764" spans="3:3">
      <c r="C1764" s="13"/>
    </row>
    <row r="1765" spans="3:3">
      <c r="C1765" s="13"/>
    </row>
    <row r="1766" spans="3:3">
      <c r="C1766" s="13"/>
    </row>
    <row r="1767" spans="3:3">
      <c r="C1767" s="13"/>
    </row>
    <row r="1768" spans="3:3">
      <c r="C1768" s="13"/>
    </row>
    <row r="1769" spans="3:3">
      <c r="C1769" s="13"/>
    </row>
    <row r="1770" spans="3:3">
      <c r="C1770" s="13"/>
    </row>
    <row r="1771" spans="3:3">
      <c r="C1771" s="13"/>
    </row>
    <row r="1772" spans="3:3">
      <c r="C1772" s="13"/>
    </row>
    <row r="1773" spans="3:3">
      <c r="C1773" s="13"/>
    </row>
    <row r="1774" spans="3:3">
      <c r="C1774" s="13"/>
    </row>
    <row r="1775" spans="3:3">
      <c r="C1775" s="13"/>
    </row>
    <row r="1776" spans="3:3">
      <c r="C1776" s="13"/>
    </row>
    <row r="1777" spans="3:3">
      <c r="C1777" s="13"/>
    </row>
    <row r="1778" spans="3:3">
      <c r="C1778" s="13"/>
    </row>
    <row r="1779" spans="3:3">
      <c r="C1779" s="13"/>
    </row>
    <row r="1780" spans="3:3">
      <c r="C1780" s="13"/>
    </row>
    <row r="1781" spans="3:3">
      <c r="C1781" s="13"/>
    </row>
    <row r="1782" spans="3:3">
      <c r="C1782" s="13"/>
    </row>
    <row r="1783" spans="3:3">
      <c r="C1783" s="13"/>
    </row>
    <row r="1784" spans="3:3">
      <c r="C1784" s="13"/>
    </row>
    <row r="1785" spans="3:3">
      <c r="C1785" s="13"/>
    </row>
    <row r="1786" spans="3:3">
      <c r="C1786" s="13"/>
    </row>
    <row r="1787" spans="3:3">
      <c r="C1787" s="13"/>
    </row>
    <row r="1788" spans="3:3">
      <c r="C1788" s="13"/>
    </row>
    <row r="1789" spans="3:3">
      <c r="C1789" s="13"/>
    </row>
    <row r="1790" spans="3:3">
      <c r="C1790" s="13"/>
    </row>
    <row r="1791" spans="3:3">
      <c r="C1791" s="13"/>
    </row>
    <row r="1792" spans="3:3">
      <c r="C1792" s="13"/>
    </row>
    <row r="1793" spans="3:3">
      <c r="C1793" s="13"/>
    </row>
    <row r="1794" spans="3:3">
      <c r="C1794" s="13"/>
    </row>
    <row r="1795" spans="3:3">
      <c r="C1795" s="13"/>
    </row>
    <row r="1796" spans="3:3">
      <c r="C1796" s="13"/>
    </row>
    <row r="1797" spans="3:3">
      <c r="C1797" s="13"/>
    </row>
    <row r="1798" spans="3:3">
      <c r="C1798" s="13"/>
    </row>
    <row r="1799" spans="3:3">
      <c r="C1799" s="13"/>
    </row>
    <row r="1800" spans="3:3">
      <c r="C1800" s="13"/>
    </row>
    <row r="1801" spans="3:3">
      <c r="C1801" s="13"/>
    </row>
    <row r="1802" spans="3:3">
      <c r="C1802" s="13"/>
    </row>
    <row r="1803" spans="3:3">
      <c r="C1803" s="13"/>
    </row>
    <row r="1804" spans="3:3">
      <c r="C1804" s="13"/>
    </row>
    <row r="1805" spans="3:3">
      <c r="C1805" s="13"/>
    </row>
    <row r="1806" spans="3:3">
      <c r="C1806" s="13"/>
    </row>
    <row r="1807" spans="3:3">
      <c r="C1807" s="13"/>
    </row>
    <row r="1808" spans="3:3">
      <c r="C1808" s="13"/>
    </row>
    <row r="1809" spans="3:3">
      <c r="C1809" s="13"/>
    </row>
    <row r="1810" spans="3:3">
      <c r="C1810" s="13"/>
    </row>
    <row r="1811" spans="3:3">
      <c r="C1811" s="13"/>
    </row>
    <row r="1812" spans="3:3">
      <c r="C1812" s="13"/>
    </row>
    <row r="1813" spans="3:3">
      <c r="C1813" s="13"/>
    </row>
    <row r="1814" spans="3:3">
      <c r="C1814" s="13"/>
    </row>
    <row r="1815" spans="3:3">
      <c r="C1815" s="13"/>
    </row>
    <row r="1816" spans="3:3">
      <c r="C1816" s="13"/>
    </row>
    <row r="1817" spans="3:3">
      <c r="C1817" s="13"/>
    </row>
    <row r="1818" spans="3:3">
      <c r="C1818" s="13"/>
    </row>
    <row r="1819" spans="3:3">
      <c r="C1819" s="13"/>
    </row>
    <row r="1820" spans="3:3">
      <c r="C1820" s="13"/>
    </row>
    <row r="1821" spans="3:3">
      <c r="C1821" s="13"/>
    </row>
    <row r="1822" spans="3:3">
      <c r="C1822" s="13"/>
    </row>
    <row r="1823" spans="3:3">
      <c r="C1823" s="13"/>
    </row>
    <row r="1824" spans="3:3">
      <c r="C1824" s="13"/>
    </row>
    <row r="1825" spans="3:3">
      <c r="C1825" s="13"/>
    </row>
    <row r="1826" spans="3:3">
      <c r="C1826" s="13"/>
    </row>
    <row r="1827" spans="3:3">
      <c r="C1827" s="13"/>
    </row>
    <row r="1828" spans="3:3">
      <c r="C1828" s="13"/>
    </row>
    <row r="1829" spans="3:3">
      <c r="C1829" s="13"/>
    </row>
    <row r="1830" spans="3:3">
      <c r="C1830" s="13"/>
    </row>
    <row r="1831" spans="3:3">
      <c r="C1831" s="13"/>
    </row>
    <row r="1832" spans="3:3">
      <c r="C1832" s="13"/>
    </row>
    <row r="1833" spans="3:3">
      <c r="C1833" s="13"/>
    </row>
    <row r="1834" spans="3:3">
      <c r="C1834" s="13"/>
    </row>
    <row r="1835" spans="3:3">
      <c r="C1835" s="13"/>
    </row>
    <row r="1836" spans="3:3">
      <c r="C1836" s="13"/>
    </row>
    <row r="1837" spans="3:3">
      <c r="C1837" s="13"/>
    </row>
    <row r="1838" spans="3:3">
      <c r="C1838" s="13"/>
    </row>
    <row r="1839" spans="3:3">
      <c r="C1839" s="13"/>
    </row>
    <row r="1840" spans="3:3">
      <c r="C1840" s="13"/>
    </row>
    <row r="1841" spans="3:3">
      <c r="C1841" s="13"/>
    </row>
    <row r="1842" spans="3:3">
      <c r="C1842" s="13"/>
    </row>
    <row r="1843" spans="3:3">
      <c r="C1843" s="13"/>
    </row>
    <row r="1844" spans="3:3">
      <c r="C1844" s="13"/>
    </row>
    <row r="1845" spans="3:3">
      <c r="C1845" s="13"/>
    </row>
    <row r="1846" spans="3:3">
      <c r="C1846" s="13"/>
    </row>
    <row r="1847" spans="3:3">
      <c r="C1847" s="13"/>
    </row>
    <row r="1848" spans="3:3">
      <c r="C1848" s="13"/>
    </row>
    <row r="1849" spans="3:3">
      <c r="C1849" s="13"/>
    </row>
    <row r="1850" spans="3:3">
      <c r="C1850" s="13"/>
    </row>
    <row r="1851" spans="3:3">
      <c r="C1851" s="13"/>
    </row>
    <row r="1852" spans="3:3">
      <c r="C1852" s="13"/>
    </row>
    <row r="1853" spans="3:3">
      <c r="C1853" s="13"/>
    </row>
    <row r="1854" spans="3:3">
      <c r="C1854" s="13"/>
    </row>
    <row r="1855" spans="3:3">
      <c r="C1855" s="13"/>
    </row>
    <row r="1856" spans="3:3">
      <c r="C1856" s="13"/>
    </row>
    <row r="1857" spans="3:3">
      <c r="C1857" s="13"/>
    </row>
    <row r="1858" spans="3:3">
      <c r="C1858" s="13"/>
    </row>
    <row r="1859" spans="3:3">
      <c r="C1859" s="13"/>
    </row>
    <row r="1860" spans="3:3">
      <c r="C1860" s="13"/>
    </row>
    <row r="1861" spans="3:3">
      <c r="C1861" s="13"/>
    </row>
    <row r="1862" spans="3:3">
      <c r="C1862" s="13"/>
    </row>
    <row r="1863" spans="3:3">
      <c r="C1863" s="13"/>
    </row>
    <row r="1864" spans="3:3">
      <c r="C1864" s="13"/>
    </row>
    <row r="1865" spans="3:3">
      <c r="C1865" s="13"/>
    </row>
    <row r="1866" spans="3:3">
      <c r="C1866" s="13"/>
    </row>
    <row r="1867" spans="3:3">
      <c r="C1867" s="13"/>
    </row>
    <row r="1868" spans="3:3">
      <c r="C1868" s="13"/>
    </row>
    <row r="1869" spans="3:3">
      <c r="C1869" s="13"/>
    </row>
    <row r="1870" spans="3:3">
      <c r="C1870" s="13"/>
    </row>
    <row r="1871" spans="3:3">
      <c r="C1871" s="13"/>
    </row>
    <row r="1872" spans="3:3">
      <c r="C1872" s="13"/>
    </row>
    <row r="1873" spans="3:3">
      <c r="C1873" s="13"/>
    </row>
    <row r="1874" spans="3:3">
      <c r="C1874" s="13"/>
    </row>
    <row r="1875" spans="3:3">
      <c r="C1875" s="13"/>
    </row>
    <row r="1876" spans="3:3">
      <c r="C1876" s="13"/>
    </row>
    <row r="1877" spans="3:3">
      <c r="C1877" s="13"/>
    </row>
    <row r="1878" spans="3:3">
      <c r="C1878" s="13"/>
    </row>
    <row r="1879" spans="3:3">
      <c r="C1879" s="13"/>
    </row>
    <row r="1880" spans="3:3">
      <c r="C1880" s="13"/>
    </row>
    <row r="1881" spans="3:3">
      <c r="C1881" s="13"/>
    </row>
    <row r="1882" spans="3:3">
      <c r="C1882" s="13"/>
    </row>
    <row r="1883" spans="3:3">
      <c r="C1883" s="13"/>
    </row>
    <row r="1884" spans="3:3">
      <c r="C1884" s="13"/>
    </row>
    <row r="1885" spans="3:3">
      <c r="C1885" s="13"/>
    </row>
    <row r="1886" spans="3:3">
      <c r="C1886" s="13"/>
    </row>
    <row r="1887" spans="3:3">
      <c r="C1887" s="13"/>
    </row>
    <row r="1888" spans="3:3">
      <c r="C1888" s="13"/>
    </row>
    <row r="1889" spans="3:3">
      <c r="C1889" s="13"/>
    </row>
    <row r="1890" spans="3:3">
      <c r="C1890" s="13"/>
    </row>
    <row r="1891" spans="3:3">
      <c r="C1891" s="13"/>
    </row>
    <row r="1892" spans="3:3">
      <c r="C1892" s="13"/>
    </row>
    <row r="1893" spans="3:3">
      <c r="C1893" s="13"/>
    </row>
    <row r="1894" spans="3:3">
      <c r="C1894" s="13"/>
    </row>
    <row r="1895" spans="3:3">
      <c r="C1895" s="13"/>
    </row>
    <row r="1896" spans="3:3">
      <c r="C1896" s="13"/>
    </row>
    <row r="1897" spans="3:3">
      <c r="C1897" s="13"/>
    </row>
    <row r="1898" spans="3:3">
      <c r="C1898" s="13"/>
    </row>
    <row r="1899" spans="3:3">
      <c r="C1899" s="13"/>
    </row>
    <row r="1900" spans="3:3">
      <c r="C1900" s="13"/>
    </row>
    <row r="1901" spans="3:3">
      <c r="C1901" s="13"/>
    </row>
    <row r="1902" spans="3:3">
      <c r="C1902" s="13"/>
    </row>
    <row r="1903" spans="3:3">
      <c r="C1903" s="13"/>
    </row>
    <row r="1904" spans="3:3">
      <c r="C1904" s="13"/>
    </row>
    <row r="1905" spans="3:3">
      <c r="C1905" s="13"/>
    </row>
    <row r="1906" spans="3:3">
      <c r="C1906" s="13"/>
    </row>
    <row r="1907" spans="3:3">
      <c r="C1907" s="13"/>
    </row>
    <row r="1908" spans="3:3">
      <c r="C1908" s="13"/>
    </row>
    <row r="1909" spans="3:3">
      <c r="C1909" s="13"/>
    </row>
    <row r="1910" spans="3:3">
      <c r="C1910" s="13"/>
    </row>
    <row r="1911" spans="3:3">
      <c r="C1911" s="13"/>
    </row>
    <row r="1912" spans="3:3">
      <c r="C1912" s="13"/>
    </row>
    <row r="1913" spans="3:3">
      <c r="C1913" s="13"/>
    </row>
    <row r="1914" spans="3:3">
      <c r="C1914" s="13"/>
    </row>
    <row r="1915" spans="3:3">
      <c r="C1915" s="13"/>
    </row>
    <row r="1916" spans="3:3">
      <c r="C1916" s="13"/>
    </row>
    <row r="1917" spans="3:3">
      <c r="C1917" s="13"/>
    </row>
    <row r="1918" spans="3:3">
      <c r="C1918" s="13"/>
    </row>
    <row r="1919" spans="3:3">
      <c r="C1919" s="13"/>
    </row>
    <row r="1920" spans="3:3">
      <c r="C1920" s="13"/>
    </row>
    <row r="1921" spans="3:3">
      <c r="C1921" s="13"/>
    </row>
    <row r="1922" spans="3:3">
      <c r="C1922" s="13"/>
    </row>
    <row r="1923" spans="3:3">
      <c r="C1923" s="13"/>
    </row>
    <row r="1924" spans="3:3">
      <c r="C1924" s="13"/>
    </row>
    <row r="1925" spans="3:3">
      <c r="C1925" s="13"/>
    </row>
    <row r="1926" spans="3:3">
      <c r="C1926" s="13"/>
    </row>
    <row r="1927" spans="3:3">
      <c r="C1927" s="13"/>
    </row>
    <row r="1928" spans="3:3">
      <c r="C1928" s="13"/>
    </row>
    <row r="1929" spans="3:3">
      <c r="C1929" s="13"/>
    </row>
    <row r="1930" spans="3:3">
      <c r="C1930" s="13"/>
    </row>
    <row r="1931" spans="3:3">
      <c r="C1931" s="13"/>
    </row>
    <row r="1932" spans="3:3">
      <c r="C1932" s="13"/>
    </row>
    <row r="1933" spans="3:3">
      <c r="C1933" s="13"/>
    </row>
    <row r="1934" spans="3:3">
      <c r="C1934" s="13"/>
    </row>
    <row r="1935" spans="3:3">
      <c r="C1935" s="13"/>
    </row>
    <row r="1936" spans="3:3">
      <c r="C1936" s="13"/>
    </row>
    <row r="1937" spans="3:3">
      <c r="C1937" s="13"/>
    </row>
    <row r="1938" spans="3:3">
      <c r="C1938" s="13"/>
    </row>
    <row r="1939" spans="3:3">
      <c r="C1939" s="13"/>
    </row>
    <row r="1940" spans="3:3">
      <c r="C1940" s="13"/>
    </row>
    <row r="1941" spans="3:3">
      <c r="C1941" s="13"/>
    </row>
    <row r="1942" spans="3:3">
      <c r="C1942" s="13"/>
    </row>
    <row r="1943" spans="3:3">
      <c r="C1943" s="13"/>
    </row>
    <row r="1944" spans="3:3">
      <c r="C1944" s="13"/>
    </row>
    <row r="1945" spans="3:3">
      <c r="C1945" s="13"/>
    </row>
    <row r="1946" spans="3:3">
      <c r="C1946" s="13"/>
    </row>
    <row r="1947" spans="3:3">
      <c r="C1947" s="13"/>
    </row>
    <row r="1948" spans="3:3">
      <c r="C1948" s="13"/>
    </row>
    <row r="1949" spans="3:3">
      <c r="C1949" s="13"/>
    </row>
    <row r="1950" spans="3:3">
      <c r="C1950" s="13"/>
    </row>
    <row r="1951" spans="3:3">
      <c r="C1951" s="13"/>
    </row>
    <row r="1952" spans="3:3">
      <c r="C1952" s="13"/>
    </row>
    <row r="1953" spans="3:3">
      <c r="C1953" s="13"/>
    </row>
    <row r="1954" spans="3:3">
      <c r="C1954" s="13"/>
    </row>
    <row r="1955" spans="3:3">
      <c r="C1955" s="13"/>
    </row>
    <row r="1956" spans="3:3">
      <c r="C1956" s="13"/>
    </row>
    <row r="1957" spans="3:3">
      <c r="C1957" s="13"/>
    </row>
    <row r="1958" spans="3:3">
      <c r="C1958" s="13"/>
    </row>
    <row r="1959" spans="3:3">
      <c r="C1959" s="13"/>
    </row>
    <row r="1960" spans="3:3">
      <c r="C1960" s="13"/>
    </row>
    <row r="1961" spans="3:3">
      <c r="C1961" s="13"/>
    </row>
    <row r="1962" spans="3:3">
      <c r="C1962" s="13"/>
    </row>
    <row r="1963" spans="3:3">
      <c r="C1963" s="13"/>
    </row>
    <row r="1964" spans="3:3">
      <c r="C1964" s="13"/>
    </row>
    <row r="1965" spans="3:3">
      <c r="C1965" s="13"/>
    </row>
    <row r="1966" spans="3:3">
      <c r="C1966" s="13"/>
    </row>
    <row r="1967" spans="3:3">
      <c r="C1967" s="13"/>
    </row>
    <row r="1968" spans="3:3">
      <c r="C1968" s="13"/>
    </row>
    <row r="1969" spans="3:3">
      <c r="C1969" s="13"/>
    </row>
    <row r="1970" spans="3:3">
      <c r="C1970" s="13"/>
    </row>
    <row r="1971" spans="3:3">
      <c r="C1971" s="13"/>
    </row>
    <row r="1972" spans="3:3">
      <c r="C1972" s="13"/>
    </row>
    <row r="1973" spans="3:3">
      <c r="C1973" s="13"/>
    </row>
    <row r="1974" spans="3:3">
      <c r="C1974" s="13"/>
    </row>
    <row r="1975" spans="3:3">
      <c r="C1975" s="13"/>
    </row>
    <row r="1976" spans="3:3">
      <c r="C1976" s="13"/>
    </row>
    <row r="1977" spans="3:3">
      <c r="C1977" s="13"/>
    </row>
    <row r="1978" spans="3:3">
      <c r="C1978" s="13"/>
    </row>
    <row r="1979" spans="3:3">
      <c r="C1979" s="13"/>
    </row>
    <row r="1980" spans="3:3">
      <c r="C1980" s="13"/>
    </row>
    <row r="1981" spans="3:3">
      <c r="C1981" s="13"/>
    </row>
    <row r="1982" spans="3:3">
      <c r="C1982" s="13"/>
    </row>
    <row r="1983" spans="3:3">
      <c r="C1983" s="13"/>
    </row>
    <row r="1984" spans="3:3">
      <c r="C1984" s="13"/>
    </row>
    <row r="1985" spans="3:3">
      <c r="C1985" s="13"/>
    </row>
    <row r="1986" spans="3:3">
      <c r="C1986" s="13"/>
    </row>
    <row r="1987" spans="3:3">
      <c r="C1987" s="13"/>
    </row>
    <row r="1988" spans="3:3">
      <c r="C1988" s="13"/>
    </row>
    <row r="1989" spans="3:3">
      <c r="C1989" s="13"/>
    </row>
    <row r="1990" spans="3:3">
      <c r="C1990" s="13"/>
    </row>
    <row r="1991" spans="3:3">
      <c r="C1991" s="13"/>
    </row>
    <row r="1992" spans="3:3">
      <c r="C1992" s="13"/>
    </row>
    <row r="1993" spans="3:3">
      <c r="C1993" s="13"/>
    </row>
    <row r="1994" spans="3:3">
      <c r="C1994" s="13"/>
    </row>
    <row r="1995" spans="3:3">
      <c r="C1995" s="13"/>
    </row>
    <row r="1996" spans="3:3">
      <c r="C1996" s="13"/>
    </row>
    <row r="1997" spans="3:3">
      <c r="C1997" s="13"/>
    </row>
    <row r="1998" spans="3:3">
      <c r="C1998" s="13"/>
    </row>
    <row r="1999" spans="3:3">
      <c r="C1999" s="13"/>
    </row>
    <row r="2000" spans="3:3">
      <c r="C2000" s="13"/>
    </row>
    <row r="2001" spans="3:3">
      <c r="C2001" s="13"/>
    </row>
    <row r="2002" spans="3:3">
      <c r="C2002" s="13"/>
    </row>
    <row r="2003" spans="3:3">
      <c r="C2003" s="13"/>
    </row>
    <row r="2004" spans="3:3">
      <c r="C2004" s="13"/>
    </row>
    <row r="2005" spans="3:3">
      <c r="C2005" s="13"/>
    </row>
    <row r="2006" spans="3:3">
      <c r="C2006" s="13"/>
    </row>
    <row r="2007" spans="3:3">
      <c r="C2007" s="13"/>
    </row>
    <row r="2008" spans="3:3">
      <c r="C2008" s="13"/>
    </row>
    <row r="2009" spans="3:3">
      <c r="C2009" s="13"/>
    </row>
    <row r="2010" spans="3:3">
      <c r="C2010" s="13"/>
    </row>
    <row r="2011" spans="3:3">
      <c r="C2011" s="13"/>
    </row>
    <row r="2012" spans="3:3">
      <c r="C2012" s="13"/>
    </row>
    <row r="2013" spans="3:3">
      <c r="C2013" s="13"/>
    </row>
    <row r="2014" spans="3:3">
      <c r="C2014" s="13"/>
    </row>
    <row r="2015" spans="3:3">
      <c r="C2015" s="13"/>
    </row>
    <row r="2016" spans="3:3">
      <c r="C2016" s="13"/>
    </row>
    <row r="2017" spans="3:3">
      <c r="C2017" s="13"/>
    </row>
    <row r="2018" spans="3:3">
      <c r="C2018" s="13"/>
    </row>
    <row r="2019" spans="3:3">
      <c r="C2019" s="13"/>
    </row>
    <row r="2020" spans="3:3">
      <c r="C2020" s="13"/>
    </row>
    <row r="2021" spans="3:3">
      <c r="C2021" s="13"/>
    </row>
    <row r="2022" spans="3:3">
      <c r="C2022" s="13"/>
    </row>
    <row r="2023" spans="3:3">
      <c r="C2023" s="13"/>
    </row>
    <row r="2024" spans="3:3">
      <c r="C2024" s="13"/>
    </row>
    <row r="2025" spans="3:3">
      <c r="C2025" s="13"/>
    </row>
    <row r="2026" spans="3:3">
      <c r="C2026" s="13"/>
    </row>
    <row r="2027" spans="3:3">
      <c r="C2027" s="13"/>
    </row>
    <row r="2028" spans="3:3">
      <c r="C2028" s="13"/>
    </row>
    <row r="2029" spans="3:3">
      <c r="C2029" s="13"/>
    </row>
    <row r="2030" spans="3:3">
      <c r="C2030" s="13"/>
    </row>
    <row r="2031" spans="3:3">
      <c r="C2031" s="13"/>
    </row>
    <row r="2032" spans="3:3">
      <c r="C2032" s="13"/>
    </row>
    <row r="2033" spans="3:3">
      <c r="C2033" s="13"/>
    </row>
    <row r="2034" spans="3:3">
      <c r="C2034" s="13"/>
    </row>
    <row r="2035" spans="3:3">
      <c r="C2035" s="13"/>
    </row>
    <row r="2036" spans="3:3">
      <c r="C2036" s="13"/>
    </row>
    <row r="2037" spans="3:3">
      <c r="C2037" s="13"/>
    </row>
    <row r="2038" spans="3:3">
      <c r="C2038" s="13"/>
    </row>
    <row r="2039" spans="3:3">
      <c r="C2039" s="13"/>
    </row>
    <row r="2040" spans="3:3">
      <c r="C2040" s="13"/>
    </row>
    <row r="2041" spans="3:3">
      <c r="C2041" s="13"/>
    </row>
    <row r="2042" spans="3:3">
      <c r="C2042" s="13"/>
    </row>
    <row r="2043" spans="3:3">
      <c r="C2043" s="13"/>
    </row>
    <row r="2044" spans="3:3">
      <c r="C2044" s="13"/>
    </row>
    <row r="2045" spans="3:3">
      <c r="C2045" s="13"/>
    </row>
    <row r="2046" spans="3:3">
      <c r="C2046" s="13"/>
    </row>
    <row r="2047" spans="3:3">
      <c r="C2047" s="13"/>
    </row>
    <row r="2048" spans="3:3">
      <c r="C2048" s="13"/>
    </row>
    <row r="2049" spans="3:3">
      <c r="C2049" s="13"/>
    </row>
    <row r="2050" spans="3:3">
      <c r="C2050" s="13"/>
    </row>
    <row r="2051" spans="3:3">
      <c r="C2051" s="13"/>
    </row>
    <row r="2052" spans="3:3">
      <c r="C2052" s="13"/>
    </row>
    <row r="2053" spans="3:3">
      <c r="C2053" s="13"/>
    </row>
    <row r="2054" spans="3:3">
      <c r="C2054" s="13"/>
    </row>
    <row r="2055" spans="3:3">
      <c r="C2055" s="13"/>
    </row>
    <row r="2056" spans="3:3">
      <c r="C2056" s="13"/>
    </row>
    <row r="2057" spans="3:3">
      <c r="C2057" s="13"/>
    </row>
    <row r="2058" spans="3:3">
      <c r="C2058" s="13"/>
    </row>
    <row r="2059" spans="3:3">
      <c r="C2059" s="13"/>
    </row>
    <row r="2060" spans="3:3">
      <c r="C2060" s="13"/>
    </row>
    <row r="2061" spans="3:3">
      <c r="C2061" s="13"/>
    </row>
    <row r="2062" spans="3:3">
      <c r="C2062" s="13"/>
    </row>
    <row r="2063" spans="3:3">
      <c r="C2063" s="13"/>
    </row>
    <row r="2064" spans="3:3">
      <c r="C2064" s="13"/>
    </row>
    <row r="2065" spans="3:3">
      <c r="C2065" s="13"/>
    </row>
    <row r="2066" spans="3:3">
      <c r="C2066" s="13"/>
    </row>
    <row r="2067" spans="3:3">
      <c r="C2067" s="13"/>
    </row>
    <row r="2068" spans="3:3">
      <c r="C2068" s="13"/>
    </row>
    <row r="2069" spans="3:3">
      <c r="C2069" s="13"/>
    </row>
    <row r="2070" spans="3:3">
      <c r="C2070" s="13"/>
    </row>
    <row r="2071" spans="3:3">
      <c r="C2071" s="13"/>
    </row>
    <row r="2072" spans="3:3">
      <c r="C2072" s="13"/>
    </row>
    <row r="2073" spans="3:3">
      <c r="C2073" s="13"/>
    </row>
    <row r="2074" spans="3:3">
      <c r="C2074" s="13"/>
    </row>
    <row r="2075" spans="3:3">
      <c r="C2075" s="13"/>
    </row>
    <row r="2076" spans="3:3">
      <c r="C2076" s="13"/>
    </row>
    <row r="2077" spans="3:3">
      <c r="C2077" s="13"/>
    </row>
    <row r="2078" spans="3:3">
      <c r="C2078" s="13"/>
    </row>
    <row r="2079" spans="3:3">
      <c r="C2079" s="13"/>
    </row>
    <row r="2080" spans="3:3">
      <c r="C2080" s="13"/>
    </row>
    <row r="2081" spans="3:3">
      <c r="C2081" s="13"/>
    </row>
    <row r="2082" spans="3:3">
      <c r="C2082" s="13"/>
    </row>
    <row r="2083" spans="3:3">
      <c r="C2083" s="13"/>
    </row>
    <row r="2084" spans="3:3">
      <c r="C2084" s="13"/>
    </row>
    <row r="2085" spans="3:3">
      <c r="C2085" s="13"/>
    </row>
    <row r="2086" spans="3:3">
      <c r="C2086" s="13"/>
    </row>
    <row r="2087" spans="3:3">
      <c r="C2087" s="13"/>
    </row>
    <row r="2088" spans="3:3">
      <c r="C2088" s="13"/>
    </row>
    <row r="2089" spans="3:3">
      <c r="C2089" s="13"/>
    </row>
    <row r="2090" spans="3:3">
      <c r="C2090" s="13"/>
    </row>
    <row r="2091" spans="3:3">
      <c r="C2091" s="13"/>
    </row>
    <row r="2092" spans="3:3">
      <c r="C2092" s="13"/>
    </row>
    <row r="2093" spans="3:3">
      <c r="C2093" s="13"/>
    </row>
    <row r="2094" spans="3:3">
      <c r="C2094" s="13"/>
    </row>
    <row r="2095" spans="3:3">
      <c r="C2095" s="13"/>
    </row>
    <row r="2096" spans="3:3">
      <c r="C2096" s="13"/>
    </row>
    <row r="2097" spans="3:3">
      <c r="C2097" s="13"/>
    </row>
    <row r="2098" spans="3:3">
      <c r="C2098" s="13"/>
    </row>
    <row r="2099" spans="3:3">
      <c r="C2099" s="13"/>
    </row>
    <row r="2100" spans="3:3">
      <c r="C2100" s="13"/>
    </row>
    <row r="2101" spans="3:3">
      <c r="C2101" s="13"/>
    </row>
    <row r="2102" spans="3:3">
      <c r="C2102" s="13"/>
    </row>
    <row r="2103" spans="3:3">
      <c r="C2103" s="13"/>
    </row>
    <row r="2104" spans="3:3">
      <c r="C2104" s="13"/>
    </row>
    <row r="2105" spans="3:3">
      <c r="C2105" s="13"/>
    </row>
    <row r="2106" spans="3:3">
      <c r="C2106" s="13"/>
    </row>
    <row r="2107" spans="3:3">
      <c r="C2107" s="13"/>
    </row>
    <row r="2108" spans="3:3">
      <c r="C2108" s="13"/>
    </row>
    <row r="2109" spans="3:3">
      <c r="C2109" s="13"/>
    </row>
    <row r="2110" spans="3:3">
      <c r="C2110" s="13"/>
    </row>
    <row r="2111" spans="3:3">
      <c r="C2111" s="13"/>
    </row>
    <row r="2112" spans="3:3">
      <c r="C2112" s="13"/>
    </row>
    <row r="2113" spans="3:3">
      <c r="C2113" s="13"/>
    </row>
    <row r="2114" spans="3:3">
      <c r="C2114" s="13"/>
    </row>
    <row r="2115" spans="3:3">
      <c r="C2115" s="13"/>
    </row>
    <row r="2116" spans="3:3">
      <c r="C2116" s="13"/>
    </row>
    <row r="2117" spans="3:3">
      <c r="C2117" s="13"/>
    </row>
    <row r="2118" spans="3:3">
      <c r="C2118" s="13"/>
    </row>
    <row r="2119" spans="3:3">
      <c r="C2119" s="13"/>
    </row>
    <row r="2120" spans="3:3">
      <c r="C2120" s="13"/>
    </row>
    <row r="2121" spans="3:3">
      <c r="C2121" s="13"/>
    </row>
    <row r="2122" spans="3:3">
      <c r="C2122" s="13"/>
    </row>
    <row r="2123" spans="3:3">
      <c r="C2123" s="13"/>
    </row>
    <row r="2124" spans="3:3">
      <c r="C2124" s="13"/>
    </row>
    <row r="2125" spans="3:3">
      <c r="C2125" s="13"/>
    </row>
    <row r="2126" spans="3:3">
      <c r="C2126" s="13"/>
    </row>
    <row r="2127" spans="3:3">
      <c r="C2127" s="13"/>
    </row>
    <row r="2128" spans="3:3">
      <c r="C2128" s="13"/>
    </row>
    <row r="2129" spans="3:3">
      <c r="C2129" s="13"/>
    </row>
    <row r="2130" spans="3:3">
      <c r="C2130" s="13"/>
    </row>
    <row r="2131" spans="3:3">
      <c r="C2131" s="13"/>
    </row>
    <row r="2132" spans="3:3">
      <c r="C2132" s="13"/>
    </row>
    <row r="2133" spans="3:3">
      <c r="C2133" s="13"/>
    </row>
    <row r="2134" spans="3:3">
      <c r="C2134" s="13"/>
    </row>
    <row r="2135" spans="3:3">
      <c r="C2135" s="13"/>
    </row>
    <row r="2136" spans="3:3">
      <c r="C2136" s="13"/>
    </row>
    <row r="2137" spans="3:3">
      <c r="C2137" s="13"/>
    </row>
    <row r="2138" spans="3:3">
      <c r="C2138" s="13"/>
    </row>
    <row r="2139" spans="3:3">
      <c r="C2139" s="13"/>
    </row>
    <row r="2140" spans="3:3">
      <c r="C2140" s="13"/>
    </row>
    <row r="2141" spans="3:3">
      <c r="C2141" s="13"/>
    </row>
    <row r="2142" spans="3:3">
      <c r="C2142" s="13"/>
    </row>
    <row r="2143" spans="3:3">
      <c r="C2143" s="13"/>
    </row>
    <row r="2144" spans="3:3">
      <c r="C2144" s="13"/>
    </row>
    <row r="2145" spans="3:3">
      <c r="C2145" s="13"/>
    </row>
    <row r="2146" spans="3:3">
      <c r="C2146" s="13"/>
    </row>
    <row r="2147" spans="3:3">
      <c r="C2147" s="13"/>
    </row>
    <row r="2148" spans="3:3">
      <c r="C2148" s="13"/>
    </row>
    <row r="2149" spans="3:3">
      <c r="C2149" s="13"/>
    </row>
    <row r="2150" spans="3:3">
      <c r="C2150" s="13"/>
    </row>
    <row r="2151" spans="3:3">
      <c r="C2151" s="13"/>
    </row>
    <row r="2152" spans="3:3">
      <c r="C2152" s="13"/>
    </row>
    <row r="2153" spans="3:3">
      <c r="C2153" s="13"/>
    </row>
    <row r="2154" spans="3:3">
      <c r="C2154" s="13"/>
    </row>
    <row r="2155" spans="3:3">
      <c r="C2155" s="13"/>
    </row>
    <row r="2156" spans="3:3">
      <c r="C2156" s="13"/>
    </row>
    <row r="2157" spans="3:3">
      <c r="C2157" s="13"/>
    </row>
    <row r="2158" spans="3:3">
      <c r="C2158" s="13"/>
    </row>
    <row r="2159" spans="3:3">
      <c r="C2159" s="13"/>
    </row>
    <row r="2160" spans="3:3">
      <c r="C2160" s="13"/>
    </row>
    <row r="2161" spans="3:3">
      <c r="C2161" s="13"/>
    </row>
    <row r="2162" spans="3:3">
      <c r="C2162" s="13"/>
    </row>
    <row r="2163" spans="3:3">
      <c r="C2163" s="13"/>
    </row>
    <row r="2164" spans="3:3">
      <c r="C2164" s="13"/>
    </row>
    <row r="2165" spans="3:3">
      <c r="C2165" s="13"/>
    </row>
    <row r="2166" spans="3:3">
      <c r="C2166" s="13"/>
    </row>
    <row r="2167" spans="3:3">
      <c r="C2167" s="13"/>
    </row>
    <row r="2168" spans="3:3">
      <c r="C2168" s="13"/>
    </row>
    <row r="2169" spans="3:3">
      <c r="C2169" s="13"/>
    </row>
    <row r="2170" spans="3:3">
      <c r="C2170" s="13"/>
    </row>
    <row r="2171" spans="3:3">
      <c r="C2171" s="13"/>
    </row>
    <row r="2172" spans="3:3">
      <c r="C2172" s="13"/>
    </row>
    <row r="2173" spans="3:3">
      <c r="C2173" s="13"/>
    </row>
    <row r="2174" spans="3:3">
      <c r="C2174" s="13"/>
    </row>
    <row r="2175" spans="3:3">
      <c r="C2175" s="13"/>
    </row>
    <row r="2176" spans="3:3">
      <c r="C2176" s="13"/>
    </row>
    <row r="2177" spans="3:3">
      <c r="C2177" s="13"/>
    </row>
    <row r="2178" spans="3:3">
      <c r="C2178" s="13"/>
    </row>
    <row r="2179" spans="3:3">
      <c r="C2179" s="13"/>
    </row>
    <row r="2180" spans="3:3">
      <c r="C2180" s="13"/>
    </row>
    <row r="2181" spans="3:3">
      <c r="C2181" s="13"/>
    </row>
    <row r="2182" spans="3:3">
      <c r="C2182" s="13"/>
    </row>
    <row r="2183" spans="3:3">
      <c r="C2183" s="13"/>
    </row>
    <row r="2184" spans="3:3">
      <c r="C2184" s="13"/>
    </row>
    <row r="2185" spans="3:3">
      <c r="C2185" s="13"/>
    </row>
    <row r="2186" spans="3:3">
      <c r="C2186" s="13"/>
    </row>
    <row r="2187" spans="3:3">
      <c r="C2187" s="13"/>
    </row>
    <row r="2188" spans="3:3">
      <c r="C2188" s="13"/>
    </row>
    <row r="2189" spans="3:3">
      <c r="C2189" s="13"/>
    </row>
    <row r="2190" spans="3:3">
      <c r="C2190" s="13"/>
    </row>
    <row r="2191" spans="3:3">
      <c r="C2191" s="13"/>
    </row>
    <row r="2192" spans="3:3">
      <c r="C2192" s="13"/>
    </row>
    <row r="2193" spans="3:3">
      <c r="C2193" s="13"/>
    </row>
    <row r="2194" spans="3:3">
      <c r="C2194" s="13"/>
    </row>
    <row r="2195" spans="3:3">
      <c r="C2195" s="13"/>
    </row>
    <row r="2196" spans="3:3">
      <c r="C2196" s="13"/>
    </row>
    <row r="2197" spans="3:3">
      <c r="C2197" s="13"/>
    </row>
    <row r="2198" spans="3:3">
      <c r="C2198" s="13"/>
    </row>
    <row r="2199" spans="3:3">
      <c r="C2199" s="13"/>
    </row>
    <row r="2200" spans="3:3">
      <c r="C2200" s="13"/>
    </row>
    <row r="2201" spans="3:3">
      <c r="C2201" s="13"/>
    </row>
    <row r="2202" spans="3:3">
      <c r="C2202" s="13"/>
    </row>
    <row r="2203" spans="3:3">
      <c r="C2203" s="13"/>
    </row>
    <row r="2204" spans="3:3">
      <c r="C2204" s="13"/>
    </row>
    <row r="2205" spans="3:3">
      <c r="C2205" s="13"/>
    </row>
    <row r="2206" spans="3:3">
      <c r="C2206" s="13"/>
    </row>
    <row r="2207" spans="3:3">
      <c r="C2207" s="13"/>
    </row>
    <row r="2208" spans="3:3">
      <c r="C2208" s="13"/>
    </row>
    <row r="2209" spans="3:3">
      <c r="C2209" s="13"/>
    </row>
    <row r="2210" spans="3:3">
      <c r="C2210" s="13"/>
    </row>
    <row r="2211" spans="3:3">
      <c r="C2211" s="13"/>
    </row>
    <row r="2212" spans="3:3">
      <c r="C2212" s="13"/>
    </row>
    <row r="2213" spans="3:3">
      <c r="C2213" s="13"/>
    </row>
    <row r="2214" spans="3:3">
      <c r="C2214" s="13"/>
    </row>
    <row r="2215" spans="3:3">
      <c r="C2215" s="13"/>
    </row>
    <row r="2216" spans="3:3">
      <c r="C2216" s="13"/>
    </row>
    <row r="2217" spans="3:3">
      <c r="C2217" s="13"/>
    </row>
    <row r="2218" spans="3:3">
      <c r="C2218" s="13"/>
    </row>
    <row r="2219" spans="3:3">
      <c r="C2219" s="13"/>
    </row>
    <row r="2220" spans="3:3">
      <c r="C2220" s="13"/>
    </row>
    <row r="2221" spans="3:3">
      <c r="C2221" s="13"/>
    </row>
    <row r="2222" spans="3:3">
      <c r="C2222" s="13"/>
    </row>
    <row r="2223" spans="3:3">
      <c r="C2223" s="13"/>
    </row>
    <row r="2224" spans="3:3">
      <c r="C2224" s="13"/>
    </row>
    <row r="2225" spans="3:3">
      <c r="C2225" s="13"/>
    </row>
    <row r="2226" spans="3:3">
      <c r="C2226" s="13"/>
    </row>
    <row r="2227" spans="3:3">
      <c r="C2227" s="13"/>
    </row>
    <row r="2228" spans="3:3">
      <c r="C2228" s="13"/>
    </row>
    <row r="2229" spans="3:3">
      <c r="C2229" s="13"/>
    </row>
    <row r="2230" spans="3:3">
      <c r="C2230" s="13"/>
    </row>
    <row r="2231" spans="3:3">
      <c r="C2231" s="13"/>
    </row>
    <row r="2232" spans="3:3">
      <c r="C2232" s="13"/>
    </row>
    <row r="2233" spans="3:3">
      <c r="C2233" s="13"/>
    </row>
    <row r="2234" spans="3:3">
      <c r="C2234" s="13"/>
    </row>
    <row r="2235" spans="3:3">
      <c r="C2235" s="13"/>
    </row>
    <row r="2236" spans="3:3">
      <c r="C2236" s="13"/>
    </row>
    <row r="2237" spans="3:3">
      <c r="C2237" s="13"/>
    </row>
    <row r="2238" spans="3:3">
      <c r="C2238" s="13"/>
    </row>
    <row r="2239" spans="3:3">
      <c r="C2239" s="13"/>
    </row>
    <row r="2240" spans="3:3">
      <c r="C2240" s="13"/>
    </row>
    <row r="2241" spans="3:3">
      <c r="C2241" s="13"/>
    </row>
    <row r="2242" spans="3:3">
      <c r="C2242" s="13"/>
    </row>
    <row r="2243" spans="3:3">
      <c r="C2243" s="13"/>
    </row>
    <row r="2244" spans="3:3">
      <c r="C2244" s="13"/>
    </row>
    <row r="2245" spans="3:3">
      <c r="C2245" s="13"/>
    </row>
    <row r="2246" spans="3:3">
      <c r="C2246" s="13"/>
    </row>
    <row r="2247" spans="3:3">
      <c r="C2247" s="13"/>
    </row>
    <row r="2248" spans="3:3">
      <c r="C2248" s="13"/>
    </row>
    <row r="2249" spans="3:3">
      <c r="C2249" s="13"/>
    </row>
    <row r="2250" spans="3:3">
      <c r="C2250" s="13"/>
    </row>
    <row r="2251" spans="3:3">
      <c r="C2251" s="13"/>
    </row>
    <row r="2252" spans="3:3">
      <c r="C2252" s="13"/>
    </row>
    <row r="2253" spans="3:3">
      <c r="C2253" s="13"/>
    </row>
    <row r="2254" spans="3:3">
      <c r="C2254" s="13"/>
    </row>
    <row r="2255" spans="3:3">
      <c r="C2255" s="13"/>
    </row>
    <row r="2256" spans="3:3">
      <c r="C2256" s="13"/>
    </row>
    <row r="2257" spans="3:3">
      <c r="C2257" s="13"/>
    </row>
    <row r="2258" spans="3:3">
      <c r="C2258" s="13"/>
    </row>
    <row r="2259" spans="3:3">
      <c r="C2259" s="13"/>
    </row>
    <row r="2260" spans="3:3">
      <c r="C2260" s="13"/>
    </row>
    <row r="2261" spans="3:3">
      <c r="C2261" s="13"/>
    </row>
    <row r="2262" spans="3:3">
      <c r="C2262" s="13"/>
    </row>
    <row r="2263" spans="3:3">
      <c r="C2263" s="13"/>
    </row>
    <row r="2264" spans="3:3">
      <c r="C2264" s="13"/>
    </row>
    <row r="2265" spans="3:3">
      <c r="C2265" s="13"/>
    </row>
    <row r="2266" spans="3:3">
      <c r="C2266" s="13"/>
    </row>
    <row r="2267" spans="3:3">
      <c r="C2267" s="13"/>
    </row>
    <row r="2268" spans="3:3">
      <c r="C2268" s="13"/>
    </row>
    <row r="2269" spans="3:3">
      <c r="C2269" s="13"/>
    </row>
    <row r="2270" spans="3:3">
      <c r="C2270" s="13"/>
    </row>
    <row r="2271" spans="3:3">
      <c r="C2271" s="13"/>
    </row>
    <row r="2272" spans="3:3">
      <c r="C2272" s="13"/>
    </row>
    <row r="2273" spans="3:3">
      <c r="C2273" s="13"/>
    </row>
    <row r="2274" spans="3:3">
      <c r="C2274" s="13"/>
    </row>
    <row r="2275" spans="3:3">
      <c r="C2275" s="13"/>
    </row>
    <row r="2276" spans="3:3">
      <c r="C2276" s="13"/>
    </row>
    <row r="2277" spans="3:3">
      <c r="C2277" s="13"/>
    </row>
    <row r="2278" spans="3:3">
      <c r="C2278" s="13"/>
    </row>
    <row r="2279" spans="3:3">
      <c r="C2279" s="13"/>
    </row>
    <row r="2280" spans="3:3">
      <c r="C2280" s="13"/>
    </row>
    <row r="2281" spans="3:3">
      <c r="C2281" s="13"/>
    </row>
    <row r="2282" spans="3:3">
      <c r="C2282" s="13"/>
    </row>
    <row r="2283" spans="3:3">
      <c r="C2283" s="13"/>
    </row>
    <row r="2284" spans="3:3">
      <c r="C2284" s="13"/>
    </row>
    <row r="2285" spans="3:3">
      <c r="C2285" s="13"/>
    </row>
    <row r="2286" spans="3:3">
      <c r="C2286" s="13"/>
    </row>
    <row r="2287" spans="3:3">
      <c r="C2287" s="13"/>
    </row>
    <row r="2288" spans="3:3">
      <c r="C2288" s="13"/>
    </row>
    <row r="2289" spans="3:3">
      <c r="C2289" s="13"/>
    </row>
    <row r="2290" spans="3:3">
      <c r="C2290" s="13"/>
    </row>
    <row r="2291" spans="3:3">
      <c r="C2291" s="13"/>
    </row>
    <row r="2292" spans="3:3">
      <c r="C2292" s="13"/>
    </row>
    <row r="2293" spans="3:3">
      <c r="C2293" s="13"/>
    </row>
    <row r="2294" spans="3:3">
      <c r="C2294" s="13"/>
    </row>
    <row r="2295" spans="3:3">
      <c r="C2295" s="13"/>
    </row>
    <row r="2296" spans="3:3">
      <c r="C2296" s="13"/>
    </row>
    <row r="2297" spans="3:3">
      <c r="C2297" s="13"/>
    </row>
    <row r="2298" spans="3:3">
      <c r="C2298" s="13"/>
    </row>
    <row r="2299" spans="3:3">
      <c r="C2299" s="13"/>
    </row>
    <row r="2300" spans="3:3">
      <c r="C2300" s="13"/>
    </row>
    <row r="2301" spans="3:3">
      <c r="C2301" s="13"/>
    </row>
    <row r="2302" spans="3:3">
      <c r="C2302" s="13"/>
    </row>
    <row r="2303" spans="3:3">
      <c r="C2303" s="13"/>
    </row>
    <row r="2304" spans="3:3">
      <c r="C2304" s="13"/>
    </row>
    <row r="2305" spans="3:3">
      <c r="C2305" s="13"/>
    </row>
    <row r="2306" spans="3:3">
      <c r="C2306" s="13"/>
    </row>
    <row r="2307" spans="3:3">
      <c r="C2307" s="13"/>
    </row>
    <row r="2308" spans="3:3">
      <c r="C2308" s="13"/>
    </row>
    <row r="2309" spans="3:3">
      <c r="C2309" s="13"/>
    </row>
    <row r="2310" spans="3:3">
      <c r="C2310" s="13"/>
    </row>
    <row r="2311" spans="3:3">
      <c r="C2311" s="13"/>
    </row>
    <row r="2312" spans="3:3">
      <c r="C2312" s="13"/>
    </row>
    <row r="2313" spans="3:3">
      <c r="C2313" s="13"/>
    </row>
    <row r="2314" spans="3:3">
      <c r="C2314" s="13"/>
    </row>
    <row r="2315" spans="3:3">
      <c r="C2315" s="13"/>
    </row>
    <row r="2316" spans="3:3">
      <c r="C2316" s="13"/>
    </row>
    <row r="2317" spans="3:3">
      <c r="C2317" s="13"/>
    </row>
    <row r="2318" spans="3:3">
      <c r="C2318" s="13"/>
    </row>
    <row r="2319" spans="3:3">
      <c r="C2319" s="13"/>
    </row>
    <row r="2320" spans="3:3">
      <c r="C2320" s="13"/>
    </row>
    <row r="2321" spans="3:3">
      <c r="C2321" s="13"/>
    </row>
    <row r="2322" spans="3:3">
      <c r="C2322" s="13"/>
    </row>
    <row r="2323" spans="3:3">
      <c r="C2323" s="13"/>
    </row>
    <row r="2324" spans="3:3">
      <c r="C2324" s="13"/>
    </row>
    <row r="2325" spans="3:3">
      <c r="C2325" s="13"/>
    </row>
    <row r="2326" spans="3:3">
      <c r="C2326" s="13"/>
    </row>
    <row r="2327" spans="3:3">
      <c r="C2327" s="13"/>
    </row>
    <row r="2328" spans="3:3">
      <c r="C2328" s="13"/>
    </row>
    <row r="2329" spans="3:3">
      <c r="C2329" s="13"/>
    </row>
    <row r="2330" spans="3:3">
      <c r="C2330" s="13"/>
    </row>
    <row r="2331" spans="3:3">
      <c r="C2331" s="13"/>
    </row>
    <row r="2332" spans="3:3">
      <c r="C2332" s="13"/>
    </row>
    <row r="2333" spans="3:3">
      <c r="C2333" s="13"/>
    </row>
    <row r="2334" spans="3:3">
      <c r="C2334" s="13"/>
    </row>
    <row r="2335" spans="3:3">
      <c r="C2335" s="13"/>
    </row>
    <row r="2336" spans="3:3">
      <c r="C2336" s="13"/>
    </row>
    <row r="2337" spans="3:3">
      <c r="C2337" s="13"/>
    </row>
    <row r="2338" spans="3:3">
      <c r="C2338" s="13"/>
    </row>
    <row r="2339" spans="3:3">
      <c r="C2339" s="13"/>
    </row>
    <row r="2340" spans="3:3">
      <c r="C2340" s="13"/>
    </row>
    <row r="2341" spans="3:3">
      <c r="C2341" s="13"/>
    </row>
    <row r="2342" spans="3:3">
      <c r="C2342" s="13"/>
    </row>
    <row r="2343" spans="3:3">
      <c r="C2343" s="13"/>
    </row>
    <row r="2344" spans="3:3">
      <c r="C2344" s="13"/>
    </row>
    <row r="2345" spans="3:3">
      <c r="C2345" s="13"/>
    </row>
    <row r="2346" spans="3:3">
      <c r="C2346" s="13"/>
    </row>
    <row r="2347" spans="3:3">
      <c r="C2347" s="13"/>
    </row>
    <row r="2348" spans="3:3">
      <c r="C2348" s="13"/>
    </row>
    <row r="2349" spans="3:3">
      <c r="C2349" s="13"/>
    </row>
    <row r="2350" spans="3:3">
      <c r="C2350" s="13"/>
    </row>
    <row r="2351" spans="3:3">
      <c r="C2351" s="13"/>
    </row>
    <row r="2352" spans="3:3">
      <c r="C2352" s="13"/>
    </row>
    <row r="2353" spans="3:3">
      <c r="C2353" s="13"/>
    </row>
    <row r="2354" spans="3:3">
      <c r="C2354" s="13"/>
    </row>
    <row r="2355" spans="3:3">
      <c r="C2355" s="13"/>
    </row>
    <row r="2356" spans="3:3">
      <c r="C2356" s="13"/>
    </row>
    <row r="2357" spans="3:3">
      <c r="C2357" s="13"/>
    </row>
    <row r="2358" spans="3:3">
      <c r="C2358" s="13"/>
    </row>
    <row r="2359" spans="3:3">
      <c r="C2359" s="13"/>
    </row>
    <row r="2360" spans="3:3">
      <c r="C2360" s="13"/>
    </row>
    <row r="2361" spans="3:3">
      <c r="C2361" s="13"/>
    </row>
    <row r="2362" spans="3:3">
      <c r="C2362" s="13"/>
    </row>
    <row r="2363" spans="3:3">
      <c r="C2363" s="13"/>
    </row>
    <row r="2364" spans="3:3">
      <c r="C2364" s="13"/>
    </row>
    <row r="2365" spans="3:3">
      <c r="C2365" s="13"/>
    </row>
    <row r="2366" spans="3:3">
      <c r="C2366" s="13"/>
    </row>
    <row r="2367" spans="3:3">
      <c r="C2367" s="13"/>
    </row>
    <row r="2368" spans="3:3">
      <c r="C2368" s="13"/>
    </row>
    <row r="2369" spans="3:3">
      <c r="C2369" s="13"/>
    </row>
    <row r="2370" spans="3:3">
      <c r="C2370" s="13"/>
    </row>
    <row r="2371" spans="3:3">
      <c r="C2371" s="13"/>
    </row>
    <row r="2372" spans="3:3">
      <c r="C2372" s="13"/>
    </row>
    <row r="2373" spans="3:3">
      <c r="C2373" s="13"/>
    </row>
    <row r="2374" spans="3:3">
      <c r="C2374" s="13"/>
    </row>
    <row r="2375" spans="3:3">
      <c r="C2375" s="13"/>
    </row>
    <row r="2376" spans="3:3">
      <c r="C2376" s="13"/>
    </row>
    <row r="2377" spans="3:3">
      <c r="C2377" s="13"/>
    </row>
    <row r="2378" spans="3:3">
      <c r="C2378" s="13"/>
    </row>
    <row r="2379" spans="3:3">
      <c r="C2379" s="13"/>
    </row>
    <row r="2380" spans="3:3">
      <c r="C2380" s="13"/>
    </row>
    <row r="2381" spans="3:3">
      <c r="C2381" s="13"/>
    </row>
    <row r="2382" spans="3:3">
      <c r="C2382" s="13"/>
    </row>
    <row r="2383" spans="3:3">
      <c r="C2383" s="13"/>
    </row>
    <row r="2384" spans="3:3">
      <c r="C2384" s="13"/>
    </row>
    <row r="2385" spans="3:3">
      <c r="C2385" s="13"/>
    </row>
    <row r="2386" spans="3:3">
      <c r="C2386" s="13"/>
    </row>
    <row r="2387" spans="3:3">
      <c r="C2387" s="13"/>
    </row>
    <row r="2388" spans="3:3">
      <c r="C2388" s="13"/>
    </row>
    <row r="2389" spans="3:3">
      <c r="C2389" s="13"/>
    </row>
    <row r="2390" spans="3:3">
      <c r="C2390" s="13"/>
    </row>
    <row r="2391" spans="3:3">
      <c r="C2391" s="13"/>
    </row>
    <row r="2392" spans="3:3">
      <c r="C2392" s="13"/>
    </row>
    <row r="2393" spans="3:3">
      <c r="C2393" s="13"/>
    </row>
    <row r="2394" spans="3:3">
      <c r="C2394" s="13"/>
    </row>
    <row r="2395" spans="3:3">
      <c r="C2395" s="13"/>
    </row>
    <row r="2396" spans="3:3">
      <c r="C2396" s="13"/>
    </row>
    <row r="2397" spans="3:3">
      <c r="C2397" s="13"/>
    </row>
    <row r="2398" spans="3:3">
      <c r="C2398" s="13"/>
    </row>
    <row r="2399" spans="3:3">
      <c r="C2399" s="13"/>
    </row>
    <row r="2400" spans="3:3">
      <c r="C2400" s="13"/>
    </row>
    <row r="2401" spans="3:3">
      <c r="C2401" s="13"/>
    </row>
    <row r="2402" spans="3:3">
      <c r="C2402" s="13"/>
    </row>
    <row r="2403" spans="3:3">
      <c r="C2403" s="13"/>
    </row>
    <row r="2404" spans="3:3">
      <c r="C2404" s="13"/>
    </row>
    <row r="2405" spans="3:3">
      <c r="C2405" s="13"/>
    </row>
    <row r="2406" spans="3:3">
      <c r="C2406" s="13"/>
    </row>
    <row r="2407" spans="3:3">
      <c r="C2407" s="13"/>
    </row>
    <row r="2408" spans="3:3">
      <c r="C2408" s="13"/>
    </row>
    <row r="2409" spans="3:3">
      <c r="C2409" s="13"/>
    </row>
    <row r="2410" spans="3:3">
      <c r="C2410" s="13"/>
    </row>
    <row r="2411" spans="3:3">
      <c r="C2411" s="13"/>
    </row>
    <row r="2412" spans="3:3">
      <c r="C2412" s="13"/>
    </row>
    <row r="2413" spans="3:3">
      <c r="C2413" s="13"/>
    </row>
    <row r="2414" spans="3:3">
      <c r="C2414" s="13"/>
    </row>
    <row r="2415" spans="3:3">
      <c r="C2415" s="13"/>
    </row>
    <row r="2416" spans="3:3">
      <c r="C2416" s="13"/>
    </row>
    <row r="2417" spans="3:3">
      <c r="C2417" s="13"/>
    </row>
    <row r="2418" spans="3:3">
      <c r="C2418" s="13"/>
    </row>
    <row r="2419" spans="3:3">
      <c r="C2419" s="13"/>
    </row>
    <row r="2420" spans="3:3">
      <c r="C2420" s="13"/>
    </row>
    <row r="2421" spans="3:3">
      <c r="C2421" s="13"/>
    </row>
    <row r="2422" spans="3:3">
      <c r="C2422" s="13"/>
    </row>
    <row r="2423" spans="3:3">
      <c r="C2423" s="13"/>
    </row>
    <row r="2424" spans="3:3">
      <c r="C2424" s="13"/>
    </row>
    <row r="2425" spans="3:3">
      <c r="C2425" s="13"/>
    </row>
    <row r="2426" spans="3:3">
      <c r="C2426" s="13"/>
    </row>
    <row r="2427" spans="3:3">
      <c r="C2427" s="13"/>
    </row>
    <row r="2428" spans="3:3">
      <c r="C2428" s="13"/>
    </row>
    <row r="2429" spans="3:3">
      <c r="C2429" s="13"/>
    </row>
    <row r="2430" spans="3:3">
      <c r="C2430" s="13"/>
    </row>
    <row r="2431" spans="3:3">
      <c r="C2431" s="13"/>
    </row>
    <row r="2432" spans="3:3">
      <c r="C2432" s="13"/>
    </row>
    <row r="2433" spans="3:3">
      <c r="C2433" s="13"/>
    </row>
    <row r="2434" spans="3:3">
      <c r="C2434" s="13"/>
    </row>
    <row r="2435" spans="3:3">
      <c r="C2435" s="13"/>
    </row>
    <row r="2436" spans="3:3">
      <c r="C2436" s="13"/>
    </row>
    <row r="2437" spans="3:3">
      <c r="C2437" s="13"/>
    </row>
    <row r="2438" spans="3:3">
      <c r="C2438" s="13"/>
    </row>
    <row r="2439" spans="3:3">
      <c r="C2439" s="13"/>
    </row>
    <row r="2440" spans="3:3">
      <c r="C2440" s="13"/>
    </row>
    <row r="2441" spans="3:3">
      <c r="C2441" s="13"/>
    </row>
    <row r="2442" spans="3:3">
      <c r="C2442" s="13"/>
    </row>
    <row r="2443" spans="3:3">
      <c r="C2443" s="13"/>
    </row>
    <row r="2444" spans="3:3">
      <c r="C2444" s="13"/>
    </row>
    <row r="2445" spans="3:3">
      <c r="C2445" s="13"/>
    </row>
    <row r="2446" spans="3:3">
      <c r="C2446" s="13"/>
    </row>
    <row r="2447" spans="3:3">
      <c r="C2447" s="13"/>
    </row>
    <row r="2448" spans="3:3">
      <c r="C2448" s="13"/>
    </row>
    <row r="2449" spans="3:3">
      <c r="C2449" s="13"/>
    </row>
    <row r="2450" spans="3:3">
      <c r="C2450" s="13"/>
    </row>
    <row r="2451" spans="3:3">
      <c r="C2451" s="13"/>
    </row>
    <row r="2452" spans="3:3">
      <c r="C2452" s="13"/>
    </row>
    <row r="2453" spans="3:3">
      <c r="C2453" s="13"/>
    </row>
    <row r="2454" spans="3:3">
      <c r="C2454" s="13"/>
    </row>
    <row r="2455" spans="3:3">
      <c r="C2455" s="13"/>
    </row>
    <row r="2456" spans="3:3">
      <c r="C2456" s="13"/>
    </row>
    <row r="2457" spans="3:3">
      <c r="C2457" s="13"/>
    </row>
    <row r="2458" spans="3:3">
      <c r="C2458" s="13"/>
    </row>
    <row r="2459" spans="3:3">
      <c r="C2459" s="13"/>
    </row>
    <row r="2460" spans="3:3">
      <c r="C2460" s="13"/>
    </row>
    <row r="2461" spans="3:3">
      <c r="C2461" s="13"/>
    </row>
    <row r="2462" spans="3:3">
      <c r="C2462" s="13"/>
    </row>
    <row r="2463" spans="3:3">
      <c r="C2463" s="13"/>
    </row>
    <row r="2464" spans="3:3">
      <c r="C2464" s="13"/>
    </row>
    <row r="2465" spans="3:3">
      <c r="C2465" s="13"/>
    </row>
    <row r="2466" spans="3:3">
      <c r="C2466" s="13"/>
    </row>
    <row r="2467" spans="3:3">
      <c r="C2467" s="13"/>
    </row>
    <row r="2468" spans="3:3">
      <c r="C2468" s="13"/>
    </row>
    <row r="2469" spans="3:3">
      <c r="C2469" s="13"/>
    </row>
    <row r="2470" spans="3:3">
      <c r="C2470" s="13"/>
    </row>
    <row r="2471" spans="3:3">
      <c r="C2471" s="13"/>
    </row>
    <row r="2472" spans="3:3">
      <c r="C2472" s="13"/>
    </row>
    <row r="2473" spans="3:3">
      <c r="C2473" s="13"/>
    </row>
    <row r="2474" spans="3:3">
      <c r="C2474" s="13"/>
    </row>
    <row r="2475" spans="3:3">
      <c r="C2475" s="13"/>
    </row>
    <row r="2476" spans="3:3">
      <c r="C2476" s="13"/>
    </row>
    <row r="2477" spans="3:3">
      <c r="C2477" s="13"/>
    </row>
    <row r="2478" spans="3:3">
      <c r="C2478" s="13"/>
    </row>
    <row r="2479" spans="3:3">
      <c r="C2479" s="13"/>
    </row>
    <row r="2480" spans="3:3">
      <c r="C2480" s="13"/>
    </row>
    <row r="2481" spans="3:3">
      <c r="C2481" s="13"/>
    </row>
    <row r="2482" spans="3:3">
      <c r="C2482" s="13"/>
    </row>
    <row r="2483" spans="3:3">
      <c r="C2483" s="13"/>
    </row>
    <row r="2484" spans="3:3">
      <c r="C2484" s="13"/>
    </row>
    <row r="2485" spans="3:3">
      <c r="C2485" s="13"/>
    </row>
    <row r="2486" spans="3:3">
      <c r="C2486" s="13"/>
    </row>
    <row r="2487" spans="3:3">
      <c r="C2487" s="13"/>
    </row>
    <row r="2488" spans="3:3">
      <c r="C2488" s="13"/>
    </row>
    <row r="2489" spans="3:3">
      <c r="C2489" s="13"/>
    </row>
    <row r="2490" spans="3:3">
      <c r="C2490" s="13"/>
    </row>
    <row r="2491" spans="3:3">
      <c r="C2491" s="13"/>
    </row>
    <row r="2492" spans="3:3">
      <c r="C2492" s="13"/>
    </row>
    <row r="2493" spans="3:3">
      <c r="C2493" s="13"/>
    </row>
    <row r="2494" spans="3:3">
      <c r="C2494" s="13"/>
    </row>
    <row r="2495" spans="3:3">
      <c r="C2495" s="13"/>
    </row>
    <row r="2496" spans="3:3">
      <c r="C2496" s="13"/>
    </row>
    <row r="2497" spans="3:3">
      <c r="C2497" s="13"/>
    </row>
    <row r="2498" spans="3:3">
      <c r="C2498" s="13"/>
    </row>
    <row r="2499" spans="3:3">
      <c r="C2499" s="13"/>
    </row>
    <row r="2500" spans="3:3">
      <c r="C2500" s="13"/>
    </row>
    <row r="2501" spans="3:3">
      <c r="C2501" s="13"/>
    </row>
    <row r="2502" spans="3:3">
      <c r="C2502" s="13"/>
    </row>
    <row r="2503" spans="3:3">
      <c r="C2503" s="13"/>
    </row>
    <row r="2504" spans="3:3">
      <c r="C2504" s="13"/>
    </row>
    <row r="2505" spans="3:3">
      <c r="C2505" s="13"/>
    </row>
    <row r="2506" spans="3:3">
      <c r="C2506" s="13"/>
    </row>
    <row r="2507" spans="3:3">
      <c r="C2507" s="13"/>
    </row>
    <row r="2508" spans="3:3">
      <c r="C2508" s="13"/>
    </row>
    <row r="2509" spans="3:3">
      <c r="C2509" s="13"/>
    </row>
    <row r="2510" spans="3:3">
      <c r="C2510" s="13"/>
    </row>
    <row r="2511" spans="3:3">
      <c r="C2511" s="13"/>
    </row>
    <row r="2512" spans="3:3">
      <c r="C2512" s="13"/>
    </row>
    <row r="2513" spans="3:3">
      <c r="C2513" s="13"/>
    </row>
    <row r="2514" spans="3:3">
      <c r="C2514" s="13"/>
    </row>
    <row r="2515" spans="3:3">
      <c r="C2515" s="13"/>
    </row>
    <row r="2516" spans="3:3">
      <c r="C2516" s="13"/>
    </row>
    <row r="2517" spans="3:3">
      <c r="C2517" s="13"/>
    </row>
    <row r="2518" spans="3:3">
      <c r="C2518" s="13"/>
    </row>
    <row r="2519" spans="3:3">
      <c r="C2519" s="13"/>
    </row>
    <row r="2520" spans="3:3">
      <c r="C2520" s="13"/>
    </row>
    <row r="2521" spans="3:3">
      <c r="C2521" s="13"/>
    </row>
    <row r="2522" spans="3:3">
      <c r="C2522" s="13"/>
    </row>
    <row r="2523" spans="3:3">
      <c r="C2523" s="13"/>
    </row>
    <row r="2524" spans="3:3">
      <c r="C2524" s="13"/>
    </row>
    <row r="2525" spans="3:3">
      <c r="C2525" s="13"/>
    </row>
    <row r="2526" spans="3:3">
      <c r="C2526" s="13"/>
    </row>
    <row r="2527" spans="3:3">
      <c r="C2527" s="13"/>
    </row>
    <row r="2528" spans="3:3">
      <c r="C2528" s="13"/>
    </row>
    <row r="2529" spans="3:3">
      <c r="C2529" s="13"/>
    </row>
    <row r="2530" spans="3:3">
      <c r="C2530" s="13"/>
    </row>
    <row r="2531" spans="3:3">
      <c r="C2531" s="13"/>
    </row>
    <row r="2532" spans="3:3">
      <c r="C2532" s="13"/>
    </row>
    <row r="2533" spans="3:3">
      <c r="C2533" s="13"/>
    </row>
    <row r="2534" spans="3:3">
      <c r="C2534" s="13"/>
    </row>
    <row r="2535" spans="3:3">
      <c r="C2535" s="13"/>
    </row>
    <row r="2536" spans="3:3">
      <c r="C2536" s="13"/>
    </row>
    <row r="2537" spans="3:3">
      <c r="C2537" s="13"/>
    </row>
    <row r="2538" spans="3:3">
      <c r="C2538" s="13"/>
    </row>
    <row r="2539" spans="3:3">
      <c r="C2539" s="13"/>
    </row>
    <row r="2540" spans="3:3">
      <c r="C2540" s="13"/>
    </row>
    <row r="2541" spans="3:3">
      <c r="C2541" s="13"/>
    </row>
    <row r="2542" spans="3:3">
      <c r="C2542" s="13"/>
    </row>
    <row r="2543" spans="3:3">
      <c r="C2543" s="13"/>
    </row>
    <row r="2544" spans="3:3">
      <c r="C2544" s="13"/>
    </row>
    <row r="2545" spans="3:3">
      <c r="C2545" s="13"/>
    </row>
    <row r="2546" spans="3:3">
      <c r="C2546" s="13"/>
    </row>
    <row r="2547" spans="3:3">
      <c r="C2547" s="13"/>
    </row>
    <row r="2548" spans="3:3">
      <c r="C2548" s="13"/>
    </row>
    <row r="2549" spans="3:3">
      <c r="C2549" s="13"/>
    </row>
    <row r="2550" spans="3:3">
      <c r="C2550" s="13"/>
    </row>
    <row r="2551" spans="3:3">
      <c r="C2551" s="13"/>
    </row>
    <row r="2552" spans="3:3">
      <c r="C2552" s="13"/>
    </row>
    <row r="2553" spans="3:3">
      <c r="C2553" s="13"/>
    </row>
    <row r="2554" spans="3:3">
      <c r="C2554" s="13"/>
    </row>
    <row r="2555" spans="3:3">
      <c r="C2555" s="13"/>
    </row>
    <row r="2556" spans="3:3">
      <c r="C2556" s="13"/>
    </row>
    <row r="2557" spans="3:3">
      <c r="C2557" s="13"/>
    </row>
    <row r="2558" spans="3:3">
      <c r="C2558" s="13"/>
    </row>
    <row r="2559" spans="3:3">
      <c r="C2559" s="13"/>
    </row>
    <row r="2560" spans="3:3">
      <c r="C2560" s="13"/>
    </row>
    <row r="2561" spans="3:3">
      <c r="C2561" s="13"/>
    </row>
    <row r="2562" spans="3:3">
      <c r="C2562" s="13"/>
    </row>
    <row r="2563" spans="3:3">
      <c r="C2563" s="13"/>
    </row>
    <row r="2564" spans="3:3">
      <c r="C2564" s="13"/>
    </row>
    <row r="2565" spans="3:3">
      <c r="C2565" s="13"/>
    </row>
    <row r="2566" spans="3:3">
      <c r="C2566" s="13"/>
    </row>
    <row r="2567" spans="3:3">
      <c r="C2567" s="13"/>
    </row>
    <row r="2568" spans="3:3">
      <c r="C2568" s="13"/>
    </row>
    <row r="2569" spans="3:3">
      <c r="C2569" s="13"/>
    </row>
    <row r="2570" spans="3:3">
      <c r="C2570" s="13"/>
    </row>
    <row r="2571" spans="3:3">
      <c r="C2571" s="13"/>
    </row>
    <row r="2572" spans="3:3">
      <c r="C2572" s="13"/>
    </row>
    <row r="2573" spans="3:3">
      <c r="C2573" s="13"/>
    </row>
    <row r="2574" spans="3:3">
      <c r="C2574" s="13"/>
    </row>
    <row r="2575" spans="3:3">
      <c r="C2575" s="13"/>
    </row>
    <row r="2576" spans="3:3">
      <c r="C2576" s="13"/>
    </row>
    <row r="2577" spans="3:3">
      <c r="C2577" s="13"/>
    </row>
    <row r="2578" spans="3:3">
      <c r="C2578" s="13"/>
    </row>
    <row r="2579" spans="3:3">
      <c r="C2579" s="13"/>
    </row>
    <row r="2580" spans="3:3">
      <c r="C2580" s="13"/>
    </row>
    <row r="2581" spans="3:3">
      <c r="C2581" s="13"/>
    </row>
    <row r="2582" spans="3:3">
      <c r="C2582" s="13"/>
    </row>
    <row r="2583" spans="3:3">
      <c r="C2583" s="13"/>
    </row>
    <row r="2584" spans="3:3">
      <c r="C2584" s="13"/>
    </row>
    <row r="2585" spans="3:3">
      <c r="C2585" s="13"/>
    </row>
    <row r="2586" spans="3:3">
      <c r="C2586" s="13"/>
    </row>
    <row r="2587" spans="3:3">
      <c r="C2587" s="13"/>
    </row>
    <row r="2588" spans="3:3">
      <c r="C2588" s="13"/>
    </row>
    <row r="2589" spans="3:3">
      <c r="C2589" s="13"/>
    </row>
    <row r="2590" spans="3:3">
      <c r="C2590" s="13"/>
    </row>
    <row r="2591" spans="3:3">
      <c r="C2591" s="13"/>
    </row>
    <row r="2592" spans="3:3">
      <c r="C2592" s="13"/>
    </row>
    <row r="2593" spans="3:3">
      <c r="C2593" s="13"/>
    </row>
    <row r="2594" spans="3:3">
      <c r="C2594" s="13"/>
    </row>
    <row r="2595" spans="3:3">
      <c r="C2595" s="13"/>
    </row>
    <row r="2596" spans="3:3">
      <c r="C2596" s="13"/>
    </row>
    <row r="2597" spans="3:3">
      <c r="C2597" s="13"/>
    </row>
    <row r="2598" spans="3:3">
      <c r="C2598" s="13"/>
    </row>
    <row r="2599" spans="3:3">
      <c r="C2599" s="13"/>
    </row>
    <row r="2600" spans="3:3">
      <c r="C2600" s="13"/>
    </row>
    <row r="2601" spans="3:3">
      <c r="C2601" s="13"/>
    </row>
    <row r="2602" spans="3:3">
      <c r="C2602" s="13"/>
    </row>
    <row r="2603" spans="3:3">
      <c r="C2603" s="13"/>
    </row>
    <row r="2604" spans="3:3">
      <c r="C2604" s="13"/>
    </row>
    <row r="2605" spans="3:3">
      <c r="C2605" s="13"/>
    </row>
    <row r="2606" spans="3:3">
      <c r="C2606" s="13"/>
    </row>
    <row r="2607" spans="3:3">
      <c r="C2607" s="13"/>
    </row>
    <row r="2608" spans="3:3">
      <c r="C2608" s="13"/>
    </row>
    <row r="2609" spans="3:3">
      <c r="C2609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C97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4" width="7.44140625" customWidth="1"/>
    <col min="5" max="7" width="11.88671875" customWidth="1"/>
    <col min="8" max="8" width="1.77734375" customWidth="1"/>
    <col min="9" max="9" width="7.6640625" customWidth="1"/>
    <col min="10" max="10" width="9" customWidth="1"/>
    <col min="11" max="11" width="6.88671875" customWidth="1"/>
    <col min="12" max="12" width="4.33203125" customWidth="1"/>
    <col min="13" max="13" width="9.33203125" customWidth="1"/>
    <col min="14" max="14" width="6.21875" customWidth="1"/>
    <col min="15" max="15" width="6.44140625" customWidth="1"/>
    <col min="16" max="16" width="4.44140625" customWidth="1"/>
    <col min="17" max="17" width="6.6640625" customWidth="1"/>
    <col min="18" max="18" width="8.6640625" customWidth="1"/>
    <col min="19" max="19" width="14.88671875" customWidth="1"/>
    <col min="20" max="20" width="5.77734375" customWidth="1"/>
    <col min="21" max="21" width="13.33203125" customWidth="1"/>
    <col min="22" max="22" width="10.6640625" customWidth="1"/>
    <col min="23" max="23" width="11.44140625" customWidth="1"/>
    <col min="24" max="24" width="10.77734375" customWidth="1"/>
    <col min="25" max="25" width="7.88671875" customWidth="1"/>
    <col min="26" max="26" width="11.109375" customWidth="1"/>
    <col min="27" max="28" width="8.6640625" customWidth="1"/>
    <col min="29" max="29" width="6.77734375" customWidth="1"/>
    <col min="30" max="31" width="9" customWidth="1"/>
    <col min="32" max="32" width="6.77734375" customWidth="1"/>
    <col min="33" max="33" width="9" customWidth="1"/>
    <col min="34" max="34" width="6.77734375" customWidth="1"/>
    <col min="35" max="35" width="8.21875" customWidth="1"/>
    <col min="36" max="36" width="8.33203125" customWidth="1"/>
    <col min="37" max="37" width="8.88671875" customWidth="1"/>
    <col min="38" max="38" width="4.44140625" customWidth="1"/>
    <col min="39" max="39" width="8.109375" customWidth="1"/>
    <col min="40" max="40" width="5.109375" customWidth="1"/>
    <col min="41" max="41" width="8.88671875" customWidth="1"/>
    <col min="42" max="42" width="8.77734375" customWidth="1"/>
    <col min="43" max="43" width="6.77734375" customWidth="1"/>
    <col min="44" max="46" width="8.88671875" customWidth="1"/>
    <col min="47" max="48" width="39.33203125" customWidth="1"/>
    <col min="49" max="55" width="8.88671875" customWidth="1"/>
  </cols>
  <sheetData>
    <row r="1" spans="1:55">
      <c r="A1" s="101" t="s">
        <v>1493</v>
      </c>
      <c r="B1" s="101" t="s">
        <v>1494</v>
      </c>
      <c r="C1" s="101" t="s">
        <v>1495</v>
      </c>
      <c r="D1" s="101" t="s">
        <v>1496</v>
      </c>
      <c r="E1" s="101" t="s">
        <v>1494</v>
      </c>
      <c r="F1" s="101" t="s">
        <v>1495</v>
      </c>
      <c r="G1" s="101" t="s">
        <v>1496</v>
      </c>
      <c r="H1" s="102"/>
      <c r="I1" s="101" t="s">
        <v>1497</v>
      </c>
      <c r="J1" s="101" t="s">
        <v>24</v>
      </c>
      <c r="K1" s="101" t="s">
        <v>10</v>
      </c>
      <c r="L1" s="101" t="s">
        <v>8</v>
      </c>
      <c r="M1" s="101" t="s">
        <v>16</v>
      </c>
      <c r="N1" s="101" t="s">
        <v>21</v>
      </c>
      <c r="O1" s="101" t="s">
        <v>1498</v>
      </c>
      <c r="P1" s="101" t="s">
        <v>1499</v>
      </c>
      <c r="Q1" s="101" t="s">
        <v>1500</v>
      </c>
      <c r="R1" s="101" t="s">
        <v>1501</v>
      </c>
      <c r="S1" s="101" t="s">
        <v>1502</v>
      </c>
      <c r="T1" s="101" t="s">
        <v>1503</v>
      </c>
      <c r="U1" s="101" t="s">
        <v>1504</v>
      </c>
      <c r="V1" s="101" t="s">
        <v>1505</v>
      </c>
      <c r="W1" s="101" t="s">
        <v>1506</v>
      </c>
      <c r="X1" s="101" t="s">
        <v>1507</v>
      </c>
      <c r="Y1" s="101" t="s">
        <v>1508</v>
      </c>
      <c r="Z1" s="101" t="s">
        <v>1509</v>
      </c>
      <c r="AA1" s="101" t="s">
        <v>1510</v>
      </c>
      <c r="AB1" s="101" t="s">
        <v>1511</v>
      </c>
      <c r="AC1" s="101" t="s">
        <v>1512</v>
      </c>
      <c r="AD1" s="101" t="s">
        <v>1513</v>
      </c>
      <c r="AE1" s="101" t="s">
        <v>1514</v>
      </c>
      <c r="AF1" s="101" t="s">
        <v>1515</v>
      </c>
      <c r="AG1" s="101" t="s">
        <v>1516</v>
      </c>
      <c r="AH1" s="101" t="s">
        <v>1517</v>
      </c>
      <c r="AI1" s="101" t="s">
        <v>1518</v>
      </c>
      <c r="AJ1" s="101" t="s">
        <v>1519</v>
      </c>
      <c r="AK1" s="101" t="s">
        <v>1520</v>
      </c>
      <c r="AL1" s="101" t="s">
        <v>1521</v>
      </c>
      <c r="AM1" s="101" t="s">
        <v>1522</v>
      </c>
      <c r="AN1" s="101" t="s">
        <v>1523</v>
      </c>
      <c r="AO1" s="101" t="s">
        <v>1524</v>
      </c>
      <c r="AP1" s="101" t="s">
        <v>1525</v>
      </c>
      <c r="AQ1" s="101" t="s">
        <v>1526</v>
      </c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</row>
    <row r="2" spans="1:55">
      <c r="A2" s="104"/>
      <c r="B2" s="104"/>
      <c r="C2" s="104"/>
      <c r="D2" s="104"/>
      <c r="E2" s="105" t="s">
        <v>1527</v>
      </c>
      <c r="F2" s="105"/>
      <c r="G2" s="105"/>
      <c r="H2" s="106"/>
      <c r="I2" s="104" t="s">
        <v>1491</v>
      </c>
      <c r="J2" s="104" t="s">
        <v>13</v>
      </c>
      <c r="K2" s="104">
        <v>4</v>
      </c>
      <c r="L2" s="104" t="s">
        <v>1528</v>
      </c>
      <c r="M2" s="104" t="s">
        <v>1529</v>
      </c>
      <c r="N2" s="104"/>
      <c r="O2" s="104"/>
      <c r="P2" s="104" t="s">
        <v>1530</v>
      </c>
      <c r="Q2" s="107">
        <v>3.039E-2</v>
      </c>
      <c r="R2" s="104"/>
      <c r="S2" s="104"/>
      <c r="T2" s="104">
        <v>6521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8"/>
      <c r="AS2" s="108"/>
      <c r="AT2" s="108"/>
      <c r="AU2" s="109" t="s">
        <v>1531</v>
      </c>
      <c r="AV2" s="109" t="s">
        <v>1532</v>
      </c>
      <c r="AW2" s="110"/>
      <c r="AX2" s="108"/>
      <c r="AY2" s="108"/>
      <c r="AZ2" s="108"/>
      <c r="BA2" s="108"/>
      <c r="BB2" s="108"/>
      <c r="BC2" s="108"/>
    </row>
    <row r="3" spans="1:55">
      <c r="A3" s="104"/>
      <c r="B3" s="104"/>
      <c r="C3" s="104"/>
      <c r="D3" s="104"/>
      <c r="E3" s="105" t="s">
        <v>1527</v>
      </c>
      <c r="F3" s="105" t="s">
        <v>1533</v>
      </c>
      <c r="G3" s="105" t="s">
        <v>1534</v>
      </c>
      <c r="H3" s="106"/>
      <c r="I3" s="104" t="s">
        <v>1491</v>
      </c>
      <c r="J3" s="104" t="s">
        <v>13</v>
      </c>
      <c r="K3" s="104">
        <v>4</v>
      </c>
      <c r="L3" s="104" t="s">
        <v>1528</v>
      </c>
      <c r="M3" s="104" t="s">
        <v>1529</v>
      </c>
      <c r="N3" s="111"/>
      <c r="O3" s="111"/>
      <c r="P3" s="111" t="s">
        <v>1535</v>
      </c>
      <c r="Q3" s="104"/>
      <c r="R3" s="104"/>
      <c r="S3" s="104"/>
      <c r="T3" s="104">
        <v>6521</v>
      </c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8"/>
      <c r="AS3" s="108"/>
      <c r="AT3" s="108"/>
      <c r="AU3" s="112" t="s">
        <v>1536</v>
      </c>
      <c r="AV3" s="112" t="s">
        <v>1536</v>
      </c>
      <c r="AW3" s="110"/>
      <c r="AX3" s="108"/>
      <c r="AY3" s="108"/>
      <c r="AZ3" s="108"/>
      <c r="BA3" s="108"/>
      <c r="BB3" s="108"/>
      <c r="BC3" s="108"/>
    </row>
    <row r="4" spans="1:55">
      <c r="A4" s="104">
        <v>999900</v>
      </c>
      <c r="B4" s="104">
        <f t="shared" ref="B4:B6" si="0">A4*95%</f>
        <v>949905</v>
      </c>
      <c r="C4" s="104"/>
      <c r="D4" s="104"/>
      <c r="E4" s="105" t="s">
        <v>1527</v>
      </c>
      <c r="F4" s="105"/>
      <c r="G4" s="105"/>
      <c r="H4" s="106"/>
      <c r="I4" s="104" t="s">
        <v>1491</v>
      </c>
      <c r="J4" s="104" t="s">
        <v>13</v>
      </c>
      <c r="K4" s="104">
        <v>4</v>
      </c>
      <c r="L4" s="104" t="s">
        <v>1528</v>
      </c>
      <c r="M4" s="104" t="s">
        <v>1537</v>
      </c>
      <c r="N4" s="104"/>
      <c r="O4" s="104"/>
      <c r="P4" s="104" t="s">
        <v>1530</v>
      </c>
      <c r="Q4" s="107">
        <v>3.1910000000000001E-2</v>
      </c>
      <c r="R4" s="104"/>
      <c r="S4" s="104"/>
      <c r="T4" s="104">
        <v>10640</v>
      </c>
      <c r="U4" s="104"/>
      <c r="V4" s="107"/>
      <c r="W4" s="104">
        <v>632</v>
      </c>
      <c r="X4" s="104" t="s">
        <v>1538</v>
      </c>
      <c r="Y4" s="107"/>
      <c r="Z4" s="107"/>
      <c r="AA4" s="107">
        <f>3325/$B4</f>
        <v>3.5003500350035003E-3</v>
      </c>
      <c r="AB4" s="107">
        <f>950/$B4</f>
        <v>1.0001000100010001E-3</v>
      </c>
      <c r="AC4" s="107">
        <f>1900/$B4</f>
        <v>2.0002000200020002E-3</v>
      </c>
      <c r="AD4" s="107"/>
      <c r="AE4" s="107"/>
      <c r="AF4" s="107"/>
      <c r="AG4" s="107"/>
      <c r="AH4" s="107"/>
      <c r="AI4" s="107">
        <f>2850/$B4</f>
        <v>3.0003000300030001E-3</v>
      </c>
      <c r="AJ4" s="107">
        <f>1425/$B4</f>
        <v>1.5001500150015E-3</v>
      </c>
      <c r="AK4" s="104">
        <v>300</v>
      </c>
      <c r="AL4" s="104">
        <v>750</v>
      </c>
      <c r="AM4" s="104">
        <v>250</v>
      </c>
      <c r="AN4" s="104">
        <v>250</v>
      </c>
      <c r="AO4" s="104">
        <v>950</v>
      </c>
      <c r="AP4" s="104">
        <v>750</v>
      </c>
      <c r="AQ4" s="104">
        <v>300</v>
      </c>
      <c r="AR4" s="108"/>
      <c r="AS4" s="108"/>
      <c r="AT4" s="108"/>
      <c r="AU4" s="112" t="s">
        <v>1539</v>
      </c>
      <c r="AV4" s="112" t="s">
        <v>1539</v>
      </c>
      <c r="AW4" s="110"/>
      <c r="AX4" s="108"/>
      <c r="AY4" s="108"/>
      <c r="AZ4" s="108"/>
      <c r="BA4" s="108"/>
      <c r="BB4" s="108"/>
      <c r="BC4" s="108"/>
    </row>
    <row r="5" spans="1:55">
      <c r="A5" s="104">
        <v>999900</v>
      </c>
      <c r="B5" s="104">
        <f t="shared" si="0"/>
        <v>949905</v>
      </c>
      <c r="C5" s="104">
        <f>A5*80%</f>
        <v>799920</v>
      </c>
      <c r="D5" s="104">
        <f>A5*70%</f>
        <v>699930</v>
      </c>
      <c r="E5" s="105" t="s">
        <v>1527</v>
      </c>
      <c r="F5" s="105" t="s">
        <v>1533</v>
      </c>
      <c r="G5" s="105" t="s">
        <v>1534</v>
      </c>
      <c r="H5" s="106"/>
      <c r="I5" s="104" t="s">
        <v>1491</v>
      </c>
      <c r="J5" s="104" t="s">
        <v>13</v>
      </c>
      <c r="K5" s="104">
        <v>4</v>
      </c>
      <c r="L5" s="104" t="s">
        <v>1528</v>
      </c>
      <c r="M5" s="104" t="s">
        <v>1537</v>
      </c>
      <c r="N5" s="111"/>
      <c r="O5" s="111"/>
      <c r="P5" s="111" t="s">
        <v>1535</v>
      </c>
      <c r="Q5" s="104"/>
      <c r="R5" s="104"/>
      <c r="S5" s="104"/>
      <c r="T5" s="104">
        <v>10640</v>
      </c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8"/>
      <c r="AS5" s="108"/>
      <c r="AT5" s="108"/>
      <c r="AU5" s="113" t="s">
        <v>1540</v>
      </c>
      <c r="AV5" s="113" t="s">
        <v>1540</v>
      </c>
      <c r="AW5" s="110"/>
      <c r="AX5" s="108"/>
      <c r="AY5" s="108"/>
      <c r="AZ5" s="108"/>
      <c r="BA5" s="108"/>
      <c r="BB5" s="108"/>
      <c r="BC5" s="108"/>
    </row>
    <row r="6" spans="1:55">
      <c r="A6" s="104">
        <v>1699900</v>
      </c>
      <c r="B6" s="104">
        <f t="shared" si="0"/>
        <v>1614905</v>
      </c>
      <c r="C6" s="104"/>
      <c r="D6" s="104"/>
      <c r="E6" s="105" t="s">
        <v>1527</v>
      </c>
      <c r="F6" s="105"/>
      <c r="G6" s="105"/>
      <c r="H6" s="106"/>
      <c r="I6" s="104" t="s">
        <v>1491</v>
      </c>
      <c r="J6" s="104" t="s">
        <v>13</v>
      </c>
      <c r="K6" s="104">
        <v>4</v>
      </c>
      <c r="L6" s="104" t="s">
        <v>1528</v>
      </c>
      <c r="M6" s="104" t="s">
        <v>1541</v>
      </c>
      <c r="N6" s="104"/>
      <c r="O6" s="104"/>
      <c r="P6" s="104" t="s">
        <v>1530</v>
      </c>
      <c r="Q6" s="107">
        <v>3.3430000000000001E-2</v>
      </c>
      <c r="R6" s="104"/>
      <c r="S6" s="104"/>
      <c r="T6" s="104">
        <v>24596</v>
      </c>
      <c r="U6" s="104"/>
      <c r="V6" s="107"/>
      <c r="W6" s="104">
        <v>632</v>
      </c>
      <c r="X6" s="104" t="s">
        <v>1538</v>
      </c>
      <c r="Y6" s="107"/>
      <c r="Z6" s="107"/>
      <c r="AA6" s="107">
        <f>5653/$B6</f>
        <v>3.5005155102002905E-3</v>
      </c>
      <c r="AB6" s="107">
        <f>1615/$B6</f>
        <v>1.0000588269898228E-3</v>
      </c>
      <c r="AC6" s="107">
        <f>3230/$B6</f>
        <v>2.0001176539796457E-3</v>
      </c>
      <c r="AD6" s="104"/>
      <c r="AE6" s="104"/>
      <c r="AF6" s="104"/>
      <c r="AG6" s="104"/>
      <c r="AH6" s="104"/>
      <c r="AI6" s="107">
        <f>4845/$B6</f>
        <v>3.0001764809694689E-3</v>
      </c>
      <c r="AJ6" s="107">
        <f>2423/$B6</f>
        <v>1.5003978562206446E-3</v>
      </c>
      <c r="AK6" s="104">
        <v>300</v>
      </c>
      <c r="AL6" s="104">
        <v>750</v>
      </c>
      <c r="AM6" s="104">
        <v>250</v>
      </c>
      <c r="AN6" s="104">
        <v>250</v>
      </c>
      <c r="AO6" s="104">
        <v>950</v>
      </c>
      <c r="AP6" s="104">
        <v>750</v>
      </c>
      <c r="AQ6" s="104">
        <v>300</v>
      </c>
      <c r="AR6" s="108"/>
      <c r="AS6" s="108"/>
      <c r="AT6" s="108"/>
      <c r="AU6" s="113" t="s">
        <v>1542</v>
      </c>
      <c r="AV6" s="113" t="s">
        <v>1542</v>
      </c>
      <c r="AW6" s="110"/>
      <c r="AX6" s="108"/>
      <c r="AY6" s="108"/>
      <c r="AZ6" s="108"/>
      <c r="BA6" s="108"/>
      <c r="BB6" s="108"/>
      <c r="BC6" s="108"/>
    </row>
    <row r="7" spans="1:55">
      <c r="A7" s="104"/>
      <c r="B7" s="104"/>
      <c r="C7" s="104"/>
      <c r="D7" s="104"/>
      <c r="E7" s="105" t="s">
        <v>1527</v>
      </c>
      <c r="F7" s="105" t="s">
        <v>1533</v>
      </c>
      <c r="G7" s="105" t="s">
        <v>1534</v>
      </c>
      <c r="H7" s="106"/>
      <c r="I7" s="104" t="s">
        <v>1491</v>
      </c>
      <c r="J7" s="104" t="s">
        <v>13</v>
      </c>
      <c r="K7" s="104">
        <v>4</v>
      </c>
      <c r="L7" s="104" t="s">
        <v>1528</v>
      </c>
      <c r="M7" s="104" t="s">
        <v>1541</v>
      </c>
      <c r="N7" s="111"/>
      <c r="O7" s="111"/>
      <c r="P7" s="111" t="s">
        <v>1535</v>
      </c>
      <c r="Q7" s="104"/>
      <c r="R7" s="104"/>
      <c r="S7" s="104"/>
      <c r="T7" s="104">
        <v>24596</v>
      </c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8"/>
      <c r="AS7" s="108"/>
      <c r="AT7" s="108"/>
      <c r="AU7" s="112" t="s">
        <v>1543</v>
      </c>
      <c r="AV7" s="112" t="s">
        <v>1543</v>
      </c>
      <c r="AW7" s="110"/>
      <c r="AX7" s="108"/>
      <c r="AY7" s="108"/>
      <c r="AZ7" s="108"/>
      <c r="BA7" s="108"/>
      <c r="BB7" s="108"/>
      <c r="BC7" s="108"/>
    </row>
    <row r="8" spans="1:55">
      <c r="A8" s="114"/>
      <c r="B8" s="114"/>
      <c r="C8" s="114"/>
      <c r="D8" s="114"/>
      <c r="E8" s="115" t="s">
        <v>1527</v>
      </c>
      <c r="F8" s="115"/>
      <c r="G8" s="115"/>
      <c r="H8" s="106"/>
      <c r="I8" s="114" t="s">
        <v>1491</v>
      </c>
      <c r="J8" s="114" t="s">
        <v>13</v>
      </c>
      <c r="K8" s="114">
        <v>4</v>
      </c>
      <c r="L8" s="114" t="s">
        <v>1544</v>
      </c>
      <c r="M8" s="114" t="s">
        <v>1545</v>
      </c>
      <c r="N8" s="114"/>
      <c r="O8" s="114"/>
      <c r="P8" s="114" t="s">
        <v>1530</v>
      </c>
      <c r="Q8" s="116">
        <v>3.039E-2</v>
      </c>
      <c r="R8" s="114"/>
      <c r="S8" s="114"/>
      <c r="T8" s="114">
        <v>5543</v>
      </c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08"/>
      <c r="AS8" s="108"/>
      <c r="AT8" s="108"/>
      <c r="AU8" s="112" t="s">
        <v>1546</v>
      </c>
      <c r="AV8" s="112" t="s">
        <v>1546</v>
      </c>
      <c r="AW8" s="110"/>
      <c r="AX8" s="108"/>
      <c r="AY8" s="108"/>
      <c r="AZ8" s="108"/>
      <c r="BA8" s="108"/>
      <c r="BB8" s="108"/>
      <c r="BC8" s="108"/>
    </row>
    <row r="9" spans="1:55">
      <c r="A9" s="114"/>
      <c r="B9" s="114"/>
      <c r="C9" s="114"/>
      <c r="D9" s="114"/>
      <c r="E9" s="115" t="s">
        <v>1527</v>
      </c>
      <c r="F9" s="115" t="s">
        <v>1533</v>
      </c>
      <c r="G9" s="115" t="s">
        <v>1534</v>
      </c>
      <c r="H9" s="106"/>
      <c r="I9" s="114" t="s">
        <v>1491</v>
      </c>
      <c r="J9" s="114" t="s">
        <v>13</v>
      </c>
      <c r="K9" s="114">
        <v>4</v>
      </c>
      <c r="L9" s="114" t="s">
        <v>1544</v>
      </c>
      <c r="M9" s="114" t="s">
        <v>1545</v>
      </c>
      <c r="N9" s="117"/>
      <c r="O9" s="117"/>
      <c r="P9" s="117" t="s">
        <v>1535</v>
      </c>
      <c r="Q9" s="114"/>
      <c r="R9" s="114"/>
      <c r="S9" s="114"/>
      <c r="T9" s="114">
        <v>5543</v>
      </c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08"/>
      <c r="AS9" s="108"/>
      <c r="AT9" s="108"/>
      <c r="AU9" s="112" t="s">
        <v>1547</v>
      </c>
      <c r="AV9" s="112" t="s">
        <v>1547</v>
      </c>
      <c r="AW9" s="110"/>
      <c r="AX9" s="108"/>
      <c r="AY9" s="108"/>
      <c r="AZ9" s="108"/>
      <c r="BA9" s="108"/>
      <c r="BB9" s="108"/>
      <c r="BC9" s="108"/>
    </row>
    <row r="10" spans="1:55">
      <c r="A10" s="114"/>
      <c r="B10" s="114"/>
      <c r="C10" s="114"/>
      <c r="D10" s="114"/>
      <c r="E10" s="115" t="s">
        <v>1527</v>
      </c>
      <c r="F10" s="115"/>
      <c r="G10" s="115"/>
      <c r="H10" s="106"/>
      <c r="I10" s="114" t="s">
        <v>1491</v>
      </c>
      <c r="J10" s="114" t="s">
        <v>13</v>
      </c>
      <c r="K10" s="114">
        <v>4</v>
      </c>
      <c r="L10" s="114" t="s">
        <v>1544</v>
      </c>
      <c r="M10" s="114" t="s">
        <v>1548</v>
      </c>
      <c r="N10" s="114"/>
      <c r="O10" s="114"/>
      <c r="P10" s="114" t="s">
        <v>1530</v>
      </c>
      <c r="Q10" s="116">
        <v>3.1910000000000001E-2</v>
      </c>
      <c r="R10" s="114"/>
      <c r="S10" s="114"/>
      <c r="T10" s="114">
        <v>9044</v>
      </c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08"/>
      <c r="AS10" s="108"/>
      <c r="AT10" s="108"/>
      <c r="AU10" s="118"/>
      <c r="AV10" s="118"/>
      <c r="AW10" s="110"/>
      <c r="AX10" s="108"/>
      <c r="AY10" s="108"/>
      <c r="AZ10" s="108"/>
      <c r="BA10" s="108"/>
      <c r="BB10" s="108"/>
      <c r="BC10" s="108"/>
    </row>
    <row r="11" spans="1:55">
      <c r="A11" s="114"/>
      <c r="B11" s="114"/>
      <c r="C11" s="114"/>
      <c r="D11" s="114"/>
      <c r="E11" s="115" t="s">
        <v>1527</v>
      </c>
      <c r="F11" s="115" t="s">
        <v>1533</v>
      </c>
      <c r="G11" s="115" t="s">
        <v>1534</v>
      </c>
      <c r="H11" s="106"/>
      <c r="I11" s="114" t="s">
        <v>1491</v>
      </c>
      <c r="J11" s="114" t="s">
        <v>13</v>
      </c>
      <c r="K11" s="114">
        <v>4</v>
      </c>
      <c r="L11" s="114" t="s">
        <v>1544</v>
      </c>
      <c r="M11" s="114" t="s">
        <v>1548</v>
      </c>
      <c r="N11" s="117"/>
      <c r="O11" s="117"/>
      <c r="P11" s="117" t="s">
        <v>1535</v>
      </c>
      <c r="Q11" s="114"/>
      <c r="R11" s="114"/>
      <c r="S11" s="114"/>
      <c r="T11" s="114">
        <v>9044</v>
      </c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08"/>
      <c r="AS11" s="108"/>
      <c r="AT11" s="108"/>
      <c r="AU11" s="112" t="s">
        <v>1549</v>
      </c>
      <c r="AV11" s="112" t="s">
        <v>1549</v>
      </c>
      <c r="AW11" s="110"/>
      <c r="AX11" s="108"/>
      <c r="AY11" s="108"/>
      <c r="AZ11" s="108"/>
      <c r="BA11" s="108"/>
      <c r="BB11" s="108"/>
      <c r="BC11" s="108"/>
    </row>
    <row r="12" spans="1:55">
      <c r="A12" s="114">
        <v>1749000</v>
      </c>
      <c r="B12" s="114">
        <f>A12*95%</f>
        <v>1661550</v>
      </c>
      <c r="C12" s="114">
        <f>A12*80%</f>
        <v>1399200</v>
      </c>
      <c r="D12" s="114">
        <f>A12*70%</f>
        <v>1224300</v>
      </c>
      <c r="E12" s="115" t="s">
        <v>1527</v>
      </c>
      <c r="F12" s="115"/>
      <c r="G12" s="115"/>
      <c r="H12" s="106"/>
      <c r="I12" s="114" t="s">
        <v>1491</v>
      </c>
      <c r="J12" s="114" t="s">
        <v>13</v>
      </c>
      <c r="K12" s="114">
        <v>4</v>
      </c>
      <c r="L12" s="114" t="s">
        <v>1544</v>
      </c>
      <c r="M12" s="114" t="s">
        <v>1550</v>
      </c>
      <c r="N12" s="114"/>
      <c r="O12" s="114"/>
      <c r="P12" s="114" t="s">
        <v>1530</v>
      </c>
      <c r="Q12" s="116">
        <v>3.3430000000000001E-2</v>
      </c>
      <c r="R12" s="114"/>
      <c r="S12" s="114"/>
      <c r="T12" s="114">
        <v>20907</v>
      </c>
      <c r="U12" s="114"/>
      <c r="V12" s="119"/>
      <c r="W12" s="114">
        <v>632</v>
      </c>
      <c r="X12" s="114" t="s">
        <v>1538</v>
      </c>
      <c r="Y12" s="119"/>
      <c r="Z12" s="119"/>
      <c r="AA12" s="119">
        <f>4985/$B12</f>
        <v>3.0002106466853239E-3</v>
      </c>
      <c r="AB12" s="119">
        <f>1662/$B12</f>
        <v>1.0002708314525593E-3</v>
      </c>
      <c r="AC12" s="119"/>
      <c r="AD12" s="119"/>
      <c r="AE12" s="119"/>
      <c r="AF12" s="119">
        <f t="shared" ref="AF12:AH12" si="1">1662/$B12</f>
        <v>1.0002708314525593E-3</v>
      </c>
      <c r="AG12" s="119">
        <f t="shared" si="1"/>
        <v>1.0002708314525593E-3</v>
      </c>
      <c r="AH12" s="119">
        <f t="shared" si="1"/>
        <v>1.0002708314525593E-3</v>
      </c>
      <c r="AI12" s="119">
        <f t="shared" ref="AI12:AJ12" si="2">2493/$B12</f>
        <v>1.5004062471788389E-3</v>
      </c>
      <c r="AJ12" s="119">
        <f t="shared" si="2"/>
        <v>1.5004062471788389E-3</v>
      </c>
      <c r="AK12" s="114">
        <v>500</v>
      </c>
      <c r="AL12" s="114">
        <v>750</v>
      </c>
      <c r="AM12" s="114">
        <v>500</v>
      </c>
      <c r="AN12" s="114">
        <v>500</v>
      </c>
      <c r="AO12" s="114">
        <v>950</v>
      </c>
      <c r="AP12" s="114">
        <v>750</v>
      </c>
      <c r="AQ12" s="114">
        <v>500</v>
      </c>
      <c r="AR12" s="108"/>
      <c r="AS12" s="108"/>
      <c r="AT12" s="108"/>
      <c r="AU12" s="112" t="s">
        <v>1551</v>
      </c>
      <c r="AV12" s="112" t="s">
        <v>1551</v>
      </c>
      <c r="AW12" s="110"/>
      <c r="AX12" s="108"/>
      <c r="AY12" s="108"/>
      <c r="AZ12" s="108"/>
      <c r="BA12" s="108"/>
      <c r="BB12" s="108"/>
      <c r="BC12" s="108"/>
    </row>
    <row r="13" spans="1:55">
      <c r="A13" s="114"/>
      <c r="B13" s="114"/>
      <c r="C13" s="114"/>
      <c r="D13" s="114"/>
      <c r="E13" s="115" t="s">
        <v>1527</v>
      </c>
      <c r="F13" s="115" t="s">
        <v>1533</v>
      </c>
      <c r="G13" s="115" t="s">
        <v>1534</v>
      </c>
      <c r="H13" s="106"/>
      <c r="I13" s="114" t="s">
        <v>1491</v>
      </c>
      <c r="J13" s="114" t="s">
        <v>13</v>
      </c>
      <c r="K13" s="114">
        <v>4</v>
      </c>
      <c r="L13" s="114" t="s">
        <v>1544</v>
      </c>
      <c r="M13" s="114" t="s">
        <v>1550</v>
      </c>
      <c r="N13" s="117"/>
      <c r="O13" s="117"/>
      <c r="P13" s="117" t="s">
        <v>1535</v>
      </c>
      <c r="Q13" s="116"/>
      <c r="R13" s="114"/>
      <c r="S13" s="114"/>
      <c r="T13" s="114">
        <v>20907</v>
      </c>
      <c r="U13" s="114"/>
      <c r="V13" s="119"/>
      <c r="W13" s="114"/>
      <c r="X13" s="114"/>
      <c r="Y13" s="119"/>
      <c r="Z13" s="119"/>
      <c r="AA13" s="119"/>
      <c r="AB13" s="119"/>
      <c r="AC13" s="114"/>
      <c r="AD13" s="114"/>
      <c r="AE13" s="114"/>
      <c r="AF13" s="119"/>
      <c r="AG13" s="119"/>
      <c r="AH13" s="119"/>
      <c r="AI13" s="119"/>
      <c r="AJ13" s="119"/>
      <c r="AK13" s="114"/>
      <c r="AL13" s="114"/>
      <c r="AM13" s="114"/>
      <c r="AN13" s="114"/>
      <c r="AO13" s="114"/>
      <c r="AP13" s="114"/>
      <c r="AQ13" s="114"/>
      <c r="AR13" s="108"/>
      <c r="AS13" s="108"/>
      <c r="AT13" s="108"/>
      <c r="AU13" s="110"/>
      <c r="AV13" s="110"/>
      <c r="AW13" s="110"/>
      <c r="AX13" s="108"/>
      <c r="AY13" s="108"/>
      <c r="AZ13" s="108"/>
      <c r="BA13" s="108"/>
      <c r="BB13" s="108"/>
      <c r="BC13" s="108"/>
    </row>
    <row r="14" spans="1:55">
      <c r="A14" s="104"/>
      <c r="B14" s="104"/>
      <c r="C14" s="104"/>
      <c r="D14" s="104"/>
      <c r="E14" s="105" t="s">
        <v>1527</v>
      </c>
      <c r="F14" s="105"/>
      <c r="G14" s="105"/>
      <c r="H14" s="106"/>
      <c r="I14" s="104" t="s">
        <v>1491</v>
      </c>
      <c r="J14" s="104" t="s">
        <v>44</v>
      </c>
      <c r="K14" s="104">
        <v>4</v>
      </c>
      <c r="L14" s="104" t="s">
        <v>1528</v>
      </c>
      <c r="M14" s="104" t="s">
        <v>1529</v>
      </c>
      <c r="N14" s="120"/>
      <c r="O14" s="104" t="s">
        <v>1552</v>
      </c>
      <c r="P14" s="104" t="s">
        <v>1553</v>
      </c>
      <c r="Q14" s="107">
        <v>3.1910000000000001E-2</v>
      </c>
      <c r="R14" s="104"/>
      <c r="S14" s="104"/>
      <c r="T14" s="104">
        <v>6040</v>
      </c>
      <c r="U14" s="104" t="s">
        <v>1554</v>
      </c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8"/>
      <c r="AS14" s="108"/>
      <c r="AT14" s="108"/>
      <c r="AU14" s="112" t="s">
        <v>1555</v>
      </c>
      <c r="AV14" s="112" t="s">
        <v>1555</v>
      </c>
      <c r="AW14" s="110"/>
      <c r="AX14" s="108"/>
      <c r="AY14" s="108"/>
      <c r="AZ14" s="108"/>
      <c r="BA14" s="108"/>
      <c r="BB14" s="108"/>
      <c r="BC14" s="108"/>
    </row>
    <row r="15" spans="1:55">
      <c r="A15" s="104">
        <v>895600</v>
      </c>
      <c r="B15" s="104">
        <f t="shared" ref="B15:B16" si="3">A15*95%</f>
        <v>850820</v>
      </c>
      <c r="C15" s="104"/>
      <c r="D15" s="104"/>
      <c r="E15" s="105" t="s">
        <v>1527</v>
      </c>
      <c r="F15" s="105"/>
      <c r="G15" s="105"/>
      <c r="H15" s="106"/>
      <c r="I15" s="104" t="s">
        <v>1491</v>
      </c>
      <c r="J15" s="104" t="s">
        <v>44</v>
      </c>
      <c r="K15" s="104">
        <v>4</v>
      </c>
      <c r="L15" s="104" t="s">
        <v>1528</v>
      </c>
      <c r="M15" s="104" t="s">
        <v>1537</v>
      </c>
      <c r="N15" s="120"/>
      <c r="O15" s="104" t="s">
        <v>1552</v>
      </c>
      <c r="P15" s="104" t="s">
        <v>1553</v>
      </c>
      <c r="Q15" s="107">
        <v>3.3509999999999998E-2</v>
      </c>
      <c r="R15" s="104"/>
      <c r="S15" s="104"/>
      <c r="T15" s="104">
        <v>7940</v>
      </c>
      <c r="U15" s="104" t="s">
        <v>1556</v>
      </c>
      <c r="V15" s="107"/>
      <c r="W15" s="104">
        <v>225</v>
      </c>
      <c r="X15" s="104"/>
      <c r="Y15" s="104">
        <v>50</v>
      </c>
      <c r="Z15" s="107"/>
      <c r="AA15" s="107">
        <f>2978/$B15</f>
        <v>3.5001527937754168E-3</v>
      </c>
      <c r="AB15" s="107">
        <f>851/$B15</f>
        <v>1.0002115606121153E-3</v>
      </c>
      <c r="AC15" s="107">
        <f>1702/$B15</f>
        <v>2.0004231212242306E-3</v>
      </c>
      <c r="AD15" s="104"/>
      <c r="AE15" s="104"/>
      <c r="AF15" s="104"/>
      <c r="AG15" s="104"/>
      <c r="AH15" s="104"/>
      <c r="AI15" s="107">
        <f>2553/$B15</f>
        <v>3.0006346818363459E-3</v>
      </c>
      <c r="AJ15" s="107">
        <f>1277/$B15</f>
        <v>1.5009050092851602E-3</v>
      </c>
      <c r="AK15" s="104">
        <v>500</v>
      </c>
      <c r="AL15" s="104">
        <v>999</v>
      </c>
      <c r="AM15" s="104"/>
      <c r="AN15" s="104"/>
      <c r="AO15" s="104"/>
      <c r="AP15" s="104"/>
      <c r="AQ15" s="104"/>
      <c r="AR15" s="108"/>
      <c r="AS15" s="108"/>
      <c r="AT15" s="108"/>
      <c r="AU15" s="112" t="s">
        <v>1557</v>
      </c>
      <c r="AV15" s="112" t="s">
        <v>1557</v>
      </c>
      <c r="AW15" s="110"/>
      <c r="AX15" s="108"/>
      <c r="AY15" s="108"/>
      <c r="AZ15" s="108"/>
      <c r="BA15" s="108"/>
      <c r="BB15" s="108"/>
      <c r="BC15" s="108"/>
    </row>
    <row r="16" spans="1:55">
      <c r="A16" s="104">
        <v>1699900</v>
      </c>
      <c r="B16" s="104">
        <f t="shared" si="3"/>
        <v>1614905</v>
      </c>
      <c r="C16" s="104"/>
      <c r="D16" s="104"/>
      <c r="E16" s="105" t="s">
        <v>1527</v>
      </c>
      <c r="F16" s="105"/>
      <c r="G16" s="105"/>
      <c r="H16" s="106"/>
      <c r="I16" s="104" t="s">
        <v>1491</v>
      </c>
      <c r="J16" s="104" t="s">
        <v>44</v>
      </c>
      <c r="K16" s="104">
        <v>4</v>
      </c>
      <c r="L16" s="104" t="s">
        <v>1528</v>
      </c>
      <c r="M16" s="104" t="s">
        <v>1541</v>
      </c>
      <c r="N16" s="120"/>
      <c r="O16" s="104" t="s">
        <v>1552</v>
      </c>
      <c r="P16" s="104" t="s">
        <v>1553</v>
      </c>
      <c r="Q16" s="107">
        <v>3.5099999999999999E-2</v>
      </c>
      <c r="R16" s="104"/>
      <c r="S16" s="104"/>
      <c r="T16" s="104">
        <v>10523</v>
      </c>
      <c r="U16" s="104" t="s">
        <v>1558</v>
      </c>
      <c r="V16" s="107"/>
      <c r="W16" s="104">
        <v>225</v>
      </c>
      <c r="X16" s="104"/>
      <c r="Y16" s="104">
        <v>50</v>
      </c>
      <c r="Z16" s="107"/>
      <c r="AA16" s="107">
        <f>5653/$B16</f>
        <v>3.5005155102002905E-3</v>
      </c>
      <c r="AB16" s="107">
        <f>1615/$B16</f>
        <v>1.0000588269898228E-3</v>
      </c>
      <c r="AC16" s="107">
        <f>3230/$B16</f>
        <v>2.0001176539796457E-3</v>
      </c>
      <c r="AD16" s="104"/>
      <c r="AE16" s="104"/>
      <c r="AF16" s="104"/>
      <c r="AG16" s="104"/>
      <c r="AH16" s="104"/>
      <c r="AI16" s="107">
        <f>4845/$B16</f>
        <v>3.0001764809694689E-3</v>
      </c>
      <c r="AJ16" s="107">
        <f>2423/$B16</f>
        <v>1.5003978562206446E-3</v>
      </c>
      <c r="AK16" s="104">
        <v>500</v>
      </c>
      <c r="AL16" s="104">
        <v>999</v>
      </c>
      <c r="AM16" s="104"/>
      <c r="AN16" s="104"/>
      <c r="AO16" s="104"/>
      <c r="AP16" s="104"/>
      <c r="AQ16" s="104"/>
      <c r="AR16" s="108"/>
      <c r="AS16" s="108"/>
      <c r="AT16" s="108"/>
      <c r="AU16" s="112" t="s">
        <v>1559</v>
      </c>
      <c r="AV16" s="112" t="s">
        <v>1559</v>
      </c>
      <c r="AW16" s="110"/>
      <c r="AX16" s="108"/>
      <c r="AY16" s="108"/>
      <c r="AZ16" s="108"/>
      <c r="BA16" s="108"/>
      <c r="BB16" s="108"/>
      <c r="BC16" s="108"/>
    </row>
    <row r="17" spans="1:55">
      <c r="A17" s="104"/>
      <c r="B17" s="104"/>
      <c r="C17" s="104"/>
      <c r="D17" s="104"/>
      <c r="E17" s="105" t="s">
        <v>1527</v>
      </c>
      <c r="F17" s="105"/>
      <c r="G17" s="105"/>
      <c r="H17" s="106"/>
      <c r="I17" s="104" t="s">
        <v>1491</v>
      </c>
      <c r="J17" s="104" t="s">
        <v>44</v>
      </c>
      <c r="K17" s="104">
        <v>4</v>
      </c>
      <c r="L17" s="104" t="s">
        <v>1544</v>
      </c>
      <c r="M17" s="104" t="s">
        <v>1545</v>
      </c>
      <c r="N17" s="120"/>
      <c r="O17" s="104" t="s">
        <v>1552</v>
      </c>
      <c r="P17" s="104" t="s">
        <v>1553</v>
      </c>
      <c r="Q17" s="107">
        <v>3.1910000000000001E-2</v>
      </c>
      <c r="R17" s="104"/>
      <c r="S17" s="104"/>
      <c r="T17" s="104">
        <v>5134</v>
      </c>
      <c r="U17" s="104" t="s">
        <v>1560</v>
      </c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8"/>
      <c r="AS17" s="108"/>
      <c r="AT17" s="108"/>
      <c r="AU17" s="112" t="s">
        <v>1561</v>
      </c>
      <c r="AV17" s="112" t="s">
        <v>1561</v>
      </c>
      <c r="AW17" s="110"/>
      <c r="AX17" s="108"/>
      <c r="AY17" s="108"/>
      <c r="AZ17" s="108"/>
      <c r="BA17" s="108"/>
      <c r="BB17" s="108"/>
      <c r="BC17" s="108"/>
    </row>
    <row r="18" spans="1:55">
      <c r="A18" s="104"/>
      <c r="B18" s="104"/>
      <c r="C18" s="104"/>
      <c r="D18" s="104"/>
      <c r="E18" s="105" t="s">
        <v>1527</v>
      </c>
      <c r="F18" s="105"/>
      <c r="G18" s="105"/>
      <c r="H18" s="106"/>
      <c r="I18" s="104" t="s">
        <v>1491</v>
      </c>
      <c r="J18" s="104" t="s">
        <v>44</v>
      </c>
      <c r="K18" s="104">
        <v>4</v>
      </c>
      <c r="L18" s="104" t="s">
        <v>1544</v>
      </c>
      <c r="M18" s="104" t="s">
        <v>1548</v>
      </c>
      <c r="N18" s="120"/>
      <c r="O18" s="104" t="s">
        <v>1552</v>
      </c>
      <c r="P18" s="104" t="s">
        <v>1553</v>
      </c>
      <c r="Q18" s="107">
        <v>3.3509999999999998E-2</v>
      </c>
      <c r="R18" s="104"/>
      <c r="S18" s="104"/>
      <c r="T18" s="104">
        <v>6749</v>
      </c>
      <c r="U18" s="104" t="s">
        <v>1562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8"/>
      <c r="AS18" s="108"/>
      <c r="AT18" s="108"/>
      <c r="AU18" s="112" t="s">
        <v>1507</v>
      </c>
      <c r="AV18" s="112" t="s">
        <v>1507</v>
      </c>
      <c r="AW18" s="110"/>
      <c r="AX18" s="108"/>
      <c r="AY18" s="108"/>
      <c r="AZ18" s="108"/>
      <c r="BA18" s="108"/>
      <c r="BB18" s="108"/>
      <c r="BC18" s="108"/>
    </row>
    <row r="19" spans="1:55">
      <c r="A19" s="104">
        <v>1749000</v>
      </c>
      <c r="B19" s="104">
        <f t="shared" ref="B19:B20" si="4">A19*95%</f>
        <v>1661550</v>
      </c>
      <c r="C19" s="104"/>
      <c r="D19" s="104"/>
      <c r="E19" s="105" t="s">
        <v>1527</v>
      </c>
      <c r="F19" s="105"/>
      <c r="G19" s="105"/>
      <c r="H19" s="106"/>
      <c r="I19" s="104" t="s">
        <v>1491</v>
      </c>
      <c r="J19" s="104" t="s">
        <v>44</v>
      </c>
      <c r="K19" s="104">
        <v>4</v>
      </c>
      <c r="L19" s="104" t="s">
        <v>1544</v>
      </c>
      <c r="M19" s="104" t="s">
        <v>1550</v>
      </c>
      <c r="N19" s="120"/>
      <c r="O19" s="104" t="s">
        <v>1552</v>
      </c>
      <c r="P19" s="104" t="s">
        <v>1553</v>
      </c>
      <c r="Q19" s="107">
        <v>3.5099999999999999E-2</v>
      </c>
      <c r="R19" s="104"/>
      <c r="S19" s="105"/>
      <c r="T19" s="104">
        <v>8945</v>
      </c>
      <c r="U19" s="104" t="s">
        <v>1563</v>
      </c>
      <c r="V19" s="107"/>
      <c r="W19" s="104">
        <v>225</v>
      </c>
      <c r="X19" s="104"/>
      <c r="Y19" s="104">
        <v>50</v>
      </c>
      <c r="Z19" s="107"/>
      <c r="AA19" s="107">
        <f>5816/$B19</f>
        <v>3.5003460624116038E-3</v>
      </c>
      <c r="AB19" s="121">
        <f>1662/$B19</f>
        <v>1.0002708314525593E-3</v>
      </c>
      <c r="AC19" s="107"/>
      <c r="AD19" s="104"/>
      <c r="AE19" s="104"/>
      <c r="AF19" s="121">
        <f>4154/$B19</f>
        <v>2.5000752309590445E-3</v>
      </c>
      <c r="AG19" s="121">
        <f t="shared" ref="AG19:AH19" si="5">1662/$B19</f>
        <v>1.0002708314525593E-3</v>
      </c>
      <c r="AH19" s="121">
        <f t="shared" si="5"/>
        <v>1.0002708314525593E-3</v>
      </c>
      <c r="AI19" s="107">
        <f>4985/$B19</f>
        <v>3.0002106466853239E-3</v>
      </c>
      <c r="AJ19" s="107">
        <f>2493/$B19</f>
        <v>1.5004062471788389E-3</v>
      </c>
      <c r="AK19" s="121">
        <f>4154/$B19</f>
        <v>2.5000752309590445E-3</v>
      </c>
      <c r="AL19" s="104">
        <v>999</v>
      </c>
      <c r="AM19" s="104"/>
      <c r="AN19" s="104"/>
      <c r="AO19" s="104"/>
      <c r="AP19" s="104"/>
      <c r="AQ19" s="104"/>
      <c r="AR19" s="108"/>
      <c r="AS19" s="108"/>
      <c r="AT19" s="108"/>
      <c r="AU19" s="112" t="s">
        <v>1508</v>
      </c>
      <c r="AV19" s="112" t="s">
        <v>1508</v>
      </c>
      <c r="AW19" s="110"/>
      <c r="AX19" s="108"/>
      <c r="AY19" s="108"/>
      <c r="AZ19" s="108"/>
      <c r="BA19" s="108"/>
      <c r="BB19" s="108"/>
      <c r="BC19" s="108"/>
    </row>
    <row r="20" spans="1:55">
      <c r="A20" s="114">
        <v>310039</v>
      </c>
      <c r="B20" s="115">
        <f t="shared" si="4"/>
        <v>294537.05</v>
      </c>
      <c r="C20" s="114"/>
      <c r="D20" s="114"/>
      <c r="E20" s="115" t="s">
        <v>1527</v>
      </c>
      <c r="F20" s="115"/>
      <c r="G20" s="115"/>
      <c r="H20" s="106"/>
      <c r="I20" s="114" t="s">
        <v>1491</v>
      </c>
      <c r="J20" s="114" t="s">
        <v>44</v>
      </c>
      <c r="K20" s="114">
        <v>3</v>
      </c>
      <c r="L20" s="114" t="s">
        <v>1528</v>
      </c>
      <c r="M20" s="114"/>
      <c r="N20" s="119"/>
      <c r="O20" s="114" t="s">
        <v>1552</v>
      </c>
      <c r="P20" s="114" t="s">
        <v>1553</v>
      </c>
      <c r="Q20" s="116">
        <v>1.26E-2</v>
      </c>
      <c r="R20" s="114" t="s">
        <v>1564</v>
      </c>
      <c r="S20" s="115" t="s">
        <v>1565</v>
      </c>
      <c r="T20" s="122">
        <v>2539</v>
      </c>
      <c r="U20" s="122" t="s">
        <v>1566</v>
      </c>
      <c r="V20" s="114">
        <v>60</v>
      </c>
      <c r="W20" s="115">
        <v>225</v>
      </c>
      <c r="X20" s="114"/>
      <c r="Y20" s="114">
        <v>50</v>
      </c>
      <c r="Z20" s="116"/>
      <c r="AA20" s="116">
        <f>1031/$B20</f>
        <v>3.5004085224592291E-3</v>
      </c>
      <c r="AB20" s="119">
        <f>295/$B20</f>
        <v>1.001571788676501E-3</v>
      </c>
      <c r="AC20" s="116">
        <f>590/$B20</f>
        <v>2.003143577353002E-3</v>
      </c>
      <c r="AD20" s="114"/>
      <c r="AE20" s="114"/>
      <c r="AF20" s="114"/>
      <c r="AG20" s="114"/>
      <c r="AH20" s="114"/>
      <c r="AI20" s="116">
        <f>884/$B20</f>
        <v>3.0013202074238199E-3</v>
      </c>
      <c r="AJ20" s="116">
        <f>442/$B20</f>
        <v>1.50066010371191E-3</v>
      </c>
      <c r="AK20" s="114">
        <v>500</v>
      </c>
      <c r="AL20" s="114">
        <v>999</v>
      </c>
      <c r="AM20" s="114"/>
      <c r="AN20" s="114"/>
      <c r="AO20" s="114"/>
      <c r="AP20" s="114"/>
      <c r="AQ20" s="114"/>
      <c r="AR20" s="108"/>
      <c r="AS20" s="108"/>
      <c r="AT20" s="108"/>
      <c r="AU20" s="112" t="s">
        <v>1509</v>
      </c>
      <c r="AV20" s="112" t="s">
        <v>1509</v>
      </c>
      <c r="AW20" s="110"/>
      <c r="AX20" s="108"/>
      <c r="AY20" s="108"/>
      <c r="AZ20" s="108"/>
      <c r="BA20" s="108"/>
      <c r="BB20" s="108"/>
      <c r="BC20" s="108"/>
    </row>
    <row r="21" spans="1:55">
      <c r="A21" s="114"/>
      <c r="B21" s="115"/>
      <c r="C21" s="114"/>
      <c r="D21" s="114"/>
      <c r="E21" s="115" t="s">
        <v>1527</v>
      </c>
      <c r="F21" s="115"/>
      <c r="G21" s="115"/>
      <c r="H21" s="106"/>
      <c r="I21" s="114" t="s">
        <v>1491</v>
      </c>
      <c r="J21" s="114" t="s">
        <v>44</v>
      </c>
      <c r="K21" s="114">
        <v>3</v>
      </c>
      <c r="L21" s="114" t="s">
        <v>1528</v>
      </c>
      <c r="M21" s="114"/>
      <c r="N21" s="114"/>
      <c r="O21" s="114" t="s">
        <v>1567</v>
      </c>
      <c r="P21" s="114" t="s">
        <v>1553</v>
      </c>
      <c r="Q21" s="116">
        <v>1.7590000000000001E-2</v>
      </c>
      <c r="R21" s="114"/>
      <c r="S21" s="115"/>
      <c r="T21" s="122">
        <v>6763</v>
      </c>
      <c r="U21" s="122" t="s">
        <v>1568</v>
      </c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08"/>
      <c r="AS21" s="108"/>
      <c r="AT21" s="108"/>
      <c r="AU21" s="112" t="s">
        <v>1569</v>
      </c>
      <c r="AV21" s="112" t="s">
        <v>1569</v>
      </c>
      <c r="AW21" s="110"/>
      <c r="AX21" s="108"/>
      <c r="AY21" s="108"/>
      <c r="AZ21" s="108"/>
      <c r="BA21" s="108"/>
      <c r="BB21" s="108"/>
      <c r="BC21" s="108"/>
    </row>
    <row r="22" spans="1:55">
      <c r="A22" s="114">
        <v>393837</v>
      </c>
      <c r="B22" s="115">
        <f t="shared" ref="B22:B26" si="6">A22*95%</f>
        <v>374145.14999999997</v>
      </c>
      <c r="C22" s="114"/>
      <c r="D22" s="114"/>
      <c r="E22" s="115" t="s">
        <v>1527</v>
      </c>
      <c r="F22" s="115"/>
      <c r="G22" s="115"/>
      <c r="H22" s="106"/>
      <c r="I22" s="114" t="s">
        <v>1491</v>
      </c>
      <c r="J22" s="114" t="s">
        <v>44</v>
      </c>
      <c r="K22" s="114">
        <v>3</v>
      </c>
      <c r="L22" s="114" t="s">
        <v>1544</v>
      </c>
      <c r="M22" s="114"/>
      <c r="N22" s="117"/>
      <c r="O22" s="117" t="s">
        <v>1552</v>
      </c>
      <c r="P22" s="117" t="s">
        <v>1553</v>
      </c>
      <c r="Q22" s="116">
        <v>1.26E-2</v>
      </c>
      <c r="R22" s="114"/>
      <c r="S22" s="115" t="s">
        <v>1570</v>
      </c>
      <c r="T22" s="122">
        <v>1648</v>
      </c>
      <c r="U22" s="122" t="s">
        <v>1571</v>
      </c>
      <c r="V22" s="114"/>
      <c r="W22" s="114">
        <v>225</v>
      </c>
      <c r="X22" s="114"/>
      <c r="Y22" s="114">
        <v>50</v>
      </c>
      <c r="Z22" s="116"/>
      <c r="AA22" s="116">
        <f>1310/$B22</f>
        <v>3.5013149308496987E-3</v>
      </c>
      <c r="AB22" s="116">
        <f>375/$B22</f>
        <v>1.0022848084493413E-3</v>
      </c>
      <c r="AC22" s="114"/>
      <c r="AD22" s="114"/>
      <c r="AE22" s="114"/>
      <c r="AF22" s="114"/>
      <c r="AG22" s="114"/>
      <c r="AH22" s="114"/>
      <c r="AI22" s="116">
        <f>1123/$B22</f>
        <v>3.0015089063696273E-3</v>
      </c>
      <c r="AJ22" s="116">
        <f>562/$B22</f>
        <v>1.5020908329294127E-3</v>
      </c>
      <c r="AK22" s="114">
        <v>500</v>
      </c>
      <c r="AL22" s="114">
        <v>999</v>
      </c>
      <c r="AM22" s="114"/>
      <c r="AN22" s="114"/>
      <c r="AO22" s="114"/>
      <c r="AP22" s="114"/>
      <c r="AQ22" s="114"/>
      <c r="AR22" s="108"/>
      <c r="AS22" s="108"/>
      <c r="AT22" s="108"/>
      <c r="AU22" s="110"/>
      <c r="AV22" s="110"/>
      <c r="AW22" s="110"/>
      <c r="AX22" s="108"/>
      <c r="AY22" s="108"/>
      <c r="AZ22" s="108"/>
      <c r="BA22" s="108"/>
      <c r="BB22" s="108"/>
      <c r="BC22" s="108"/>
    </row>
    <row r="23" spans="1:55">
      <c r="A23" s="104">
        <v>1019000</v>
      </c>
      <c r="B23" s="105">
        <f t="shared" si="6"/>
        <v>968050</v>
      </c>
      <c r="C23" s="104"/>
      <c r="D23" s="104"/>
      <c r="E23" s="105" t="s">
        <v>1527</v>
      </c>
      <c r="F23" s="105"/>
      <c r="G23" s="105"/>
      <c r="H23" s="106"/>
      <c r="I23" s="104" t="s">
        <v>1491</v>
      </c>
      <c r="J23" s="104" t="s">
        <v>30</v>
      </c>
      <c r="K23" s="104">
        <v>4</v>
      </c>
      <c r="L23" s="104" t="s">
        <v>1528</v>
      </c>
      <c r="M23" s="104"/>
      <c r="N23" s="104" t="s">
        <v>1572</v>
      </c>
      <c r="O23" s="104"/>
      <c r="P23" s="104" t="s">
        <v>1553</v>
      </c>
      <c r="Q23" s="107">
        <v>1.7260000000000001E-2</v>
      </c>
      <c r="R23" s="104" t="s">
        <v>1564</v>
      </c>
      <c r="S23" s="105" t="s">
        <v>1565</v>
      </c>
      <c r="T23" s="104">
        <v>16049</v>
      </c>
      <c r="U23" s="104"/>
      <c r="V23" s="104">
        <v>60</v>
      </c>
      <c r="W23" s="104">
        <v>225</v>
      </c>
      <c r="X23" s="104"/>
      <c r="Y23" s="104">
        <v>50</v>
      </c>
      <c r="Z23" s="104" t="s">
        <v>1573</v>
      </c>
      <c r="AA23" s="107">
        <f>3679/$B23</f>
        <v>3.8004235318423634E-3</v>
      </c>
      <c r="AB23" s="107">
        <f>969/$B23</f>
        <v>1.0009813542688911E-3</v>
      </c>
      <c r="AC23" s="107">
        <f>1937/$B23</f>
        <v>2.0009297040442125E-3</v>
      </c>
      <c r="AD23" s="104"/>
      <c r="AE23" s="104"/>
      <c r="AF23" s="104"/>
      <c r="AG23" s="104"/>
      <c r="AH23" s="104"/>
      <c r="AI23" s="104"/>
      <c r="AJ23" s="107">
        <f>2421/$B23</f>
        <v>2.5009038789318735E-3</v>
      </c>
      <c r="AK23" s="104">
        <v>500</v>
      </c>
      <c r="AL23" s="104">
        <v>999</v>
      </c>
      <c r="AM23" s="104">
        <v>500</v>
      </c>
      <c r="AN23" s="104">
        <v>500</v>
      </c>
      <c r="AO23" s="104"/>
      <c r="AP23" s="104"/>
      <c r="AQ23" s="104">
        <v>500</v>
      </c>
      <c r="AR23" s="108"/>
      <c r="AS23" s="108"/>
      <c r="AT23" s="108"/>
      <c r="AU23" s="112" t="s">
        <v>1574</v>
      </c>
      <c r="AV23" s="112" t="s">
        <v>1575</v>
      </c>
      <c r="AW23" s="110"/>
      <c r="AX23" s="108"/>
      <c r="AY23" s="108"/>
      <c r="AZ23" s="108"/>
      <c r="BA23" s="108"/>
      <c r="BB23" s="108"/>
      <c r="BC23" s="108"/>
    </row>
    <row r="24" spans="1:55">
      <c r="A24" s="104">
        <v>322781</v>
      </c>
      <c r="B24" s="105">
        <f t="shared" si="6"/>
        <v>306641.95</v>
      </c>
      <c r="C24" s="104"/>
      <c r="D24" s="104"/>
      <c r="E24" s="105" t="s">
        <v>1527</v>
      </c>
      <c r="F24" s="105"/>
      <c r="G24" s="105"/>
      <c r="H24" s="106"/>
      <c r="I24" s="104" t="s">
        <v>1491</v>
      </c>
      <c r="J24" s="104" t="s">
        <v>30</v>
      </c>
      <c r="K24" s="104">
        <v>3</v>
      </c>
      <c r="L24" s="104" t="s">
        <v>1528</v>
      </c>
      <c r="M24" s="104"/>
      <c r="N24" s="111" t="s">
        <v>1572</v>
      </c>
      <c r="O24" s="111"/>
      <c r="P24" s="111" t="s">
        <v>1553</v>
      </c>
      <c r="Q24" s="107">
        <v>1.6400000000000001E-2</v>
      </c>
      <c r="R24" s="104" t="s">
        <v>1564</v>
      </c>
      <c r="S24" s="105" t="s">
        <v>1565</v>
      </c>
      <c r="T24" s="104">
        <v>4492</v>
      </c>
      <c r="U24" s="104"/>
      <c r="V24" s="104">
        <v>60</v>
      </c>
      <c r="W24" s="104">
        <v>225</v>
      </c>
      <c r="X24" s="104"/>
      <c r="Y24" s="104">
        <v>50</v>
      </c>
      <c r="Z24" s="104"/>
      <c r="AA24" s="107">
        <f>1166/$B24</f>
        <v>3.8024803846962228E-3</v>
      </c>
      <c r="AB24" s="107">
        <f>307/$B24</f>
        <v>1.0011676484577533E-3</v>
      </c>
      <c r="AC24" s="107">
        <f>614/$B24</f>
        <v>2.0023352969155066E-3</v>
      </c>
      <c r="AD24" s="104"/>
      <c r="AE24" s="104"/>
      <c r="AF24" s="104"/>
      <c r="AG24" s="104"/>
      <c r="AH24" s="104"/>
      <c r="AI24" s="104"/>
      <c r="AJ24" s="107">
        <f>767/$B24</f>
        <v>2.5012885549416837E-3</v>
      </c>
      <c r="AK24" s="104">
        <v>500</v>
      </c>
      <c r="AL24" s="104">
        <v>999</v>
      </c>
      <c r="AM24" s="104">
        <v>500</v>
      </c>
      <c r="AN24" s="104">
        <v>500</v>
      </c>
      <c r="AO24" s="104"/>
      <c r="AP24" s="104"/>
      <c r="AQ24" s="104">
        <v>500</v>
      </c>
      <c r="AR24" s="108"/>
      <c r="AS24" s="108"/>
      <c r="AT24" s="108"/>
      <c r="AU24" s="112" t="s">
        <v>1576</v>
      </c>
      <c r="AV24" s="112" t="s">
        <v>305</v>
      </c>
      <c r="AW24" s="110"/>
      <c r="AX24" s="108"/>
      <c r="AY24" s="108"/>
      <c r="AZ24" s="108"/>
      <c r="BA24" s="108"/>
      <c r="BB24" s="108"/>
      <c r="BC24" s="108"/>
    </row>
    <row r="25" spans="1:55">
      <c r="A25" s="104">
        <v>806081</v>
      </c>
      <c r="B25" s="105">
        <f t="shared" si="6"/>
        <v>765776.95</v>
      </c>
      <c r="C25" s="104"/>
      <c r="D25" s="104"/>
      <c r="E25" s="105" t="s">
        <v>1527</v>
      </c>
      <c r="F25" s="105"/>
      <c r="G25" s="105"/>
      <c r="H25" s="106"/>
      <c r="I25" s="104" t="s">
        <v>1491</v>
      </c>
      <c r="J25" s="104" t="s">
        <v>30</v>
      </c>
      <c r="K25" s="104">
        <v>4</v>
      </c>
      <c r="L25" s="104" t="s">
        <v>1544</v>
      </c>
      <c r="M25" s="104"/>
      <c r="N25" s="104" t="s">
        <v>1572</v>
      </c>
      <c r="O25" s="104"/>
      <c r="P25" s="104" t="s">
        <v>1553</v>
      </c>
      <c r="Q25" s="107">
        <v>1.7260000000000001E-2</v>
      </c>
      <c r="R25" s="104"/>
      <c r="S25" s="105" t="s">
        <v>1570</v>
      </c>
      <c r="T25" s="104">
        <v>13642</v>
      </c>
      <c r="U25" s="104"/>
      <c r="V25" s="104"/>
      <c r="W25" s="104">
        <v>225</v>
      </c>
      <c r="X25" s="104"/>
      <c r="Y25" s="104">
        <v>50</v>
      </c>
      <c r="Z25" s="104" t="s">
        <v>1573</v>
      </c>
      <c r="AA25" s="107">
        <f>2910/$B25</f>
        <v>3.8000621460335155E-3</v>
      </c>
      <c r="AB25" s="107">
        <f>766/$B25</f>
        <v>1.0002912728046987E-3</v>
      </c>
      <c r="AC25" s="104"/>
      <c r="AD25" s="104"/>
      <c r="AE25" s="104"/>
      <c r="AF25" s="104"/>
      <c r="AG25" s="104"/>
      <c r="AH25" s="104"/>
      <c r="AI25" s="104"/>
      <c r="AJ25" s="107">
        <f>1915/$B25</f>
        <v>2.5007281820117466E-3</v>
      </c>
      <c r="AK25" s="104">
        <v>500</v>
      </c>
      <c r="AL25" s="104">
        <v>999</v>
      </c>
      <c r="AM25" s="104">
        <v>500</v>
      </c>
      <c r="AN25" s="104">
        <v>500</v>
      </c>
      <c r="AO25" s="104"/>
      <c r="AP25" s="104"/>
      <c r="AQ25" s="104">
        <v>500</v>
      </c>
      <c r="AR25" s="108"/>
      <c r="AS25" s="108"/>
      <c r="AT25" s="108"/>
      <c r="AU25" s="112" t="s">
        <v>305</v>
      </c>
      <c r="AV25" s="112" t="s">
        <v>1577</v>
      </c>
      <c r="AW25" s="110"/>
      <c r="AX25" s="108"/>
      <c r="AY25" s="108"/>
      <c r="AZ25" s="108"/>
      <c r="BA25" s="108"/>
      <c r="BB25" s="108"/>
      <c r="BC25" s="108"/>
    </row>
    <row r="26" spans="1:55">
      <c r="A26" s="104">
        <v>416827</v>
      </c>
      <c r="B26" s="105">
        <f t="shared" si="6"/>
        <v>395985.64999999997</v>
      </c>
      <c r="C26" s="104"/>
      <c r="D26" s="104"/>
      <c r="E26" s="105" t="s">
        <v>1527</v>
      </c>
      <c r="F26" s="105"/>
      <c r="G26" s="105"/>
      <c r="H26" s="106"/>
      <c r="I26" s="104" t="s">
        <v>1491</v>
      </c>
      <c r="J26" s="104" t="s">
        <v>30</v>
      </c>
      <c r="K26" s="104">
        <v>3</v>
      </c>
      <c r="L26" s="104" t="s">
        <v>1544</v>
      </c>
      <c r="M26" s="104"/>
      <c r="N26" s="111" t="s">
        <v>1572</v>
      </c>
      <c r="O26" s="111"/>
      <c r="P26" s="111" t="s">
        <v>1553</v>
      </c>
      <c r="Q26" s="107">
        <v>1.6400000000000001E-2</v>
      </c>
      <c r="R26" s="104"/>
      <c r="S26" s="105" t="s">
        <v>1570</v>
      </c>
      <c r="T26" s="104">
        <v>3139</v>
      </c>
      <c r="U26" s="104"/>
      <c r="V26" s="104"/>
      <c r="W26" s="104">
        <v>225</v>
      </c>
      <c r="X26" s="104"/>
      <c r="Y26" s="104">
        <v>50</v>
      </c>
      <c r="Z26" s="104"/>
      <c r="AA26" s="107">
        <f>1505/$B26</f>
        <v>3.8006427758177602E-3</v>
      </c>
      <c r="AB26" s="107">
        <f>396/$B26</f>
        <v>1.0000362386869324E-3</v>
      </c>
      <c r="AC26" s="104"/>
      <c r="AD26" s="104"/>
      <c r="AE26" s="104"/>
      <c r="AF26" s="104"/>
      <c r="AG26" s="104"/>
      <c r="AH26" s="104"/>
      <c r="AI26" s="104"/>
      <c r="AJ26" s="107">
        <f>990/$B26</f>
        <v>2.5000905967173309E-3</v>
      </c>
      <c r="AK26" s="104">
        <v>500</v>
      </c>
      <c r="AL26" s="104">
        <v>999</v>
      </c>
      <c r="AM26" s="104">
        <v>500</v>
      </c>
      <c r="AN26" s="104">
        <v>500</v>
      </c>
      <c r="AO26" s="104"/>
      <c r="AP26" s="104"/>
      <c r="AQ26" s="104">
        <v>500</v>
      </c>
      <c r="AR26" s="108"/>
      <c r="AS26" s="108"/>
      <c r="AT26" s="108"/>
      <c r="AU26" s="112" t="s">
        <v>1577</v>
      </c>
      <c r="AV26" s="118"/>
      <c r="AW26" s="110"/>
      <c r="AX26" s="108"/>
      <c r="AY26" s="108"/>
      <c r="AZ26" s="108"/>
      <c r="BA26" s="108"/>
      <c r="BB26" s="108"/>
      <c r="BC26" s="108"/>
    </row>
    <row r="27" spans="1:55">
      <c r="A27" s="114"/>
      <c r="B27" s="114"/>
      <c r="C27" s="114"/>
      <c r="D27" s="114"/>
      <c r="E27" s="115" t="s">
        <v>1527</v>
      </c>
      <c r="F27" s="115"/>
      <c r="G27" s="115"/>
      <c r="H27" s="106"/>
      <c r="I27" s="114" t="s">
        <v>1491</v>
      </c>
      <c r="J27" s="114" t="s">
        <v>56</v>
      </c>
      <c r="K27" s="114"/>
      <c r="L27" s="114"/>
      <c r="M27" s="114"/>
      <c r="N27" s="117"/>
      <c r="O27" s="117"/>
      <c r="P27" s="117" t="s">
        <v>1553</v>
      </c>
      <c r="Q27" s="116">
        <v>1.1900000000000001E-2</v>
      </c>
      <c r="R27" s="114"/>
      <c r="S27" s="114"/>
      <c r="T27" s="122">
        <v>7267</v>
      </c>
      <c r="U27" s="114"/>
      <c r="V27" s="114"/>
      <c r="W27" s="114">
        <v>225</v>
      </c>
      <c r="X27" s="114"/>
      <c r="Y27" s="114">
        <v>50</v>
      </c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08"/>
      <c r="AS27" s="108"/>
      <c r="AT27" s="108"/>
      <c r="AX27" s="108"/>
      <c r="AY27" s="108"/>
      <c r="AZ27" s="108"/>
      <c r="BA27" s="108"/>
      <c r="BB27" s="108"/>
      <c r="BC27" s="108"/>
    </row>
    <row r="28" spans="1:55">
      <c r="AR28" s="123"/>
      <c r="AS28" s="123"/>
      <c r="AT28" s="123"/>
      <c r="AX28" s="123"/>
      <c r="AY28" s="123"/>
      <c r="AZ28" s="123"/>
      <c r="BA28" s="123"/>
      <c r="BB28" s="123"/>
      <c r="BC28" s="123"/>
    </row>
    <row r="29" spans="1:55"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</row>
    <row r="30" spans="1:55"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</row>
    <row r="31" spans="1:55"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</row>
    <row r="32" spans="1:55"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</row>
    <row r="33" spans="44:55"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</row>
    <row r="34" spans="44:55"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</row>
    <row r="35" spans="44:55"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</row>
    <row r="36" spans="44:55"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</row>
    <row r="37" spans="44:55"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</row>
    <row r="38" spans="44:55"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</row>
    <row r="39" spans="44:55"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</row>
    <row r="40" spans="44:55"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</row>
    <row r="41" spans="44:55"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</row>
    <row r="42" spans="44:55"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</row>
    <row r="43" spans="44:55"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</row>
    <row r="44" spans="44:55"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</row>
    <row r="45" spans="44:55"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</row>
    <row r="46" spans="44:55"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</row>
    <row r="47" spans="44:55"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</row>
    <row r="48" spans="44:55"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</row>
    <row r="49" spans="44:55"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</row>
    <row r="50" spans="44:55"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</row>
    <row r="51" spans="44:55"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</row>
    <row r="52" spans="44:55"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</row>
    <row r="53" spans="44:55"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</row>
    <row r="54" spans="44:55"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</row>
    <row r="55" spans="44:55"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</row>
    <row r="56" spans="44:55"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</row>
    <row r="57" spans="44:55"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</row>
    <row r="58" spans="44:55"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</row>
    <row r="59" spans="44:55"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</row>
    <row r="60" spans="44:55"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</row>
    <row r="61" spans="44:55"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</row>
    <row r="62" spans="44:55"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</row>
    <row r="63" spans="44:55"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</row>
    <row r="64" spans="44:55"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</row>
    <row r="65" spans="44:55"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</row>
    <row r="66" spans="44:55"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</row>
    <row r="67" spans="44:55"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</row>
    <row r="68" spans="44:55"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</row>
    <row r="69" spans="44:55">
      <c r="AR69" s="123"/>
      <c r="AS69" s="123"/>
      <c r="AT69" s="123"/>
      <c r="AU69" s="123"/>
      <c r="AV69" s="123"/>
      <c r="AW69" s="123"/>
      <c r="AX69" s="123"/>
      <c r="AY69" s="123"/>
      <c r="AZ69" s="123"/>
      <c r="BA69" s="123"/>
      <c r="BB69" s="123"/>
      <c r="BC69" s="123"/>
    </row>
    <row r="70" spans="44:55"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</row>
    <row r="71" spans="44:55"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</row>
    <row r="72" spans="44:55">
      <c r="AR72" s="123"/>
      <c r="AS72" s="123"/>
      <c r="AT72" s="123"/>
      <c r="AU72" s="123"/>
      <c r="AV72" s="123"/>
      <c r="AW72" s="123"/>
      <c r="AX72" s="123"/>
      <c r="AY72" s="123"/>
      <c r="AZ72" s="123"/>
      <c r="BA72" s="123"/>
      <c r="BB72" s="123"/>
      <c r="BC72" s="123"/>
    </row>
    <row r="73" spans="44:55"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</row>
    <row r="74" spans="44:55"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</row>
    <row r="75" spans="44:55"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</row>
    <row r="76" spans="44:55"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</row>
    <row r="77" spans="44:55"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</row>
    <row r="78" spans="44:55"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</row>
    <row r="79" spans="44:55"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</row>
    <row r="80" spans="44:55"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</row>
    <row r="81" spans="44:55"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</row>
    <row r="82" spans="44:55"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</row>
    <row r="83" spans="44:55"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</row>
    <row r="84" spans="44:55"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</row>
    <row r="85" spans="44:55"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</row>
    <row r="86" spans="44:55"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</row>
    <row r="87" spans="44:55"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</row>
    <row r="88" spans="44:55"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</row>
    <row r="89" spans="44:55">
      <c r="AR89" s="123"/>
      <c r="AS89" s="123"/>
      <c r="AT89" s="123"/>
      <c r="AU89" s="123"/>
      <c r="AV89" s="123"/>
      <c r="AW89" s="123"/>
      <c r="AX89" s="123"/>
      <c r="AY89" s="123"/>
      <c r="AZ89" s="123"/>
      <c r="BA89" s="123"/>
      <c r="BB89" s="123"/>
      <c r="BC89" s="123"/>
    </row>
    <row r="90" spans="44:55">
      <c r="AR90" s="123"/>
      <c r="AS90" s="123"/>
      <c r="AT90" s="123"/>
      <c r="AU90" s="123"/>
      <c r="AV90" s="123"/>
      <c r="AW90" s="123"/>
      <c r="AX90" s="123"/>
      <c r="AY90" s="123"/>
      <c r="AZ90" s="123"/>
      <c r="BA90" s="123"/>
      <c r="BB90" s="123"/>
      <c r="BC90" s="123"/>
    </row>
    <row r="91" spans="44:55">
      <c r="AR91" s="123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</row>
    <row r="92" spans="44:55"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</row>
    <row r="93" spans="44:55"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</row>
    <row r="94" spans="44:55">
      <c r="AR94" s="123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</row>
    <row r="95" spans="44:55"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</row>
    <row r="96" spans="44:55"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</row>
    <row r="97" spans="44:55"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</row>
    <row r="98" spans="44:55">
      <c r="AR98" s="123"/>
      <c r="AS98" s="123"/>
      <c r="AT98" s="123"/>
      <c r="AU98" s="123"/>
      <c r="AV98" s="123"/>
      <c r="AW98" s="123"/>
      <c r="AX98" s="123"/>
      <c r="AY98" s="123"/>
      <c r="AZ98" s="123"/>
      <c r="BA98" s="123"/>
      <c r="BB98" s="123"/>
      <c r="BC98" s="123"/>
    </row>
    <row r="99" spans="44:55"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</row>
    <row r="100" spans="44:55"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</row>
    <row r="101" spans="44:55"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</row>
    <row r="102" spans="44:55"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</row>
    <row r="103" spans="44:55"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</row>
    <row r="104" spans="44:55"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</row>
    <row r="105" spans="44:55"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</row>
    <row r="106" spans="44:55"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</row>
    <row r="107" spans="44:55"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23"/>
    </row>
    <row r="108" spans="44:55">
      <c r="AR108" s="123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/>
      <c r="BC108" s="123"/>
    </row>
    <row r="109" spans="44:55">
      <c r="AR109" s="123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</row>
    <row r="110" spans="44:55"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</row>
    <row r="111" spans="44:55">
      <c r="AR111" s="123"/>
      <c r="AS111" s="123"/>
      <c r="AT111" s="123"/>
      <c r="AU111" s="123"/>
      <c r="AV111" s="123"/>
      <c r="AW111" s="123"/>
      <c r="AX111" s="123"/>
      <c r="AY111" s="123"/>
      <c r="AZ111" s="123"/>
      <c r="BA111" s="123"/>
      <c r="BB111" s="123"/>
      <c r="BC111" s="123"/>
    </row>
    <row r="112" spans="44:55">
      <c r="AR112" s="123"/>
      <c r="AS112" s="123"/>
      <c r="AT112" s="123"/>
      <c r="AU112" s="123"/>
      <c r="AV112" s="123"/>
      <c r="AW112" s="123"/>
      <c r="AX112" s="123"/>
      <c r="AY112" s="123"/>
      <c r="AZ112" s="123"/>
      <c r="BA112" s="123"/>
      <c r="BB112" s="123"/>
      <c r="BC112" s="123"/>
    </row>
    <row r="113" spans="44:55">
      <c r="AR113" s="123"/>
      <c r="AS113" s="123"/>
      <c r="AT113" s="123"/>
      <c r="AU113" s="123"/>
      <c r="AV113" s="123"/>
      <c r="AW113" s="123"/>
      <c r="AX113" s="123"/>
      <c r="AY113" s="123"/>
      <c r="AZ113" s="123"/>
      <c r="BA113" s="123"/>
      <c r="BB113" s="123"/>
      <c r="BC113" s="123"/>
    </row>
    <row r="114" spans="44:55"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</row>
    <row r="115" spans="44:55">
      <c r="AR115" s="123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</row>
    <row r="116" spans="44:55"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</row>
    <row r="117" spans="44:55">
      <c r="AR117" s="123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</row>
    <row r="118" spans="44:55">
      <c r="AR118" s="123"/>
      <c r="AS118" s="123"/>
      <c r="AT118" s="123"/>
      <c r="AU118" s="123"/>
      <c r="AV118" s="123"/>
      <c r="AW118" s="123"/>
      <c r="AX118" s="123"/>
      <c r="AY118" s="123"/>
      <c r="AZ118" s="123"/>
      <c r="BA118" s="123"/>
      <c r="BB118" s="123"/>
      <c r="BC118" s="123"/>
    </row>
    <row r="119" spans="44:55"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</row>
    <row r="120" spans="44:55"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</row>
    <row r="121" spans="44:55">
      <c r="AR121" s="123"/>
      <c r="AS121" s="123"/>
      <c r="AT121" s="123"/>
      <c r="AU121" s="123"/>
      <c r="AV121" s="123"/>
      <c r="AW121" s="123"/>
      <c r="AX121" s="123"/>
      <c r="AY121" s="123"/>
      <c r="AZ121" s="123"/>
      <c r="BA121" s="123"/>
      <c r="BB121" s="123"/>
      <c r="BC121" s="123"/>
    </row>
    <row r="122" spans="44:55"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/>
      <c r="BB122" s="123"/>
      <c r="BC122" s="123"/>
    </row>
    <row r="123" spans="44:55">
      <c r="AR123" s="123"/>
      <c r="AS123" s="123"/>
      <c r="AT123" s="123"/>
      <c r="AU123" s="123"/>
      <c r="AV123" s="123"/>
      <c r="AW123" s="123"/>
      <c r="AX123" s="123"/>
      <c r="AY123" s="123"/>
      <c r="AZ123" s="123"/>
      <c r="BA123" s="123"/>
      <c r="BB123" s="123"/>
      <c r="BC123" s="123"/>
    </row>
    <row r="124" spans="44:55">
      <c r="AR124" s="123"/>
      <c r="AS124" s="123"/>
      <c r="AT124" s="123"/>
      <c r="AU124" s="123"/>
      <c r="AV124" s="123"/>
      <c r="AW124" s="123"/>
      <c r="AX124" s="123"/>
      <c r="AY124" s="123"/>
      <c r="AZ124" s="123"/>
      <c r="BA124" s="123"/>
      <c r="BB124" s="123"/>
      <c r="BC124" s="123"/>
    </row>
    <row r="125" spans="44:55">
      <c r="AR125" s="123"/>
      <c r="AS125" s="123"/>
      <c r="AT125" s="123"/>
      <c r="AU125" s="123"/>
      <c r="AV125" s="123"/>
      <c r="AW125" s="123"/>
      <c r="AX125" s="123"/>
      <c r="AY125" s="123"/>
      <c r="AZ125" s="123"/>
      <c r="BA125" s="123"/>
      <c r="BB125" s="123"/>
      <c r="BC125" s="123"/>
    </row>
    <row r="126" spans="44:55">
      <c r="AR126" s="123"/>
      <c r="AS126" s="123"/>
      <c r="AT126" s="123"/>
      <c r="AU126" s="123"/>
      <c r="AV126" s="123"/>
      <c r="AW126" s="123"/>
      <c r="AX126" s="123"/>
      <c r="AY126" s="123"/>
      <c r="AZ126" s="123"/>
      <c r="BA126" s="123"/>
      <c r="BB126" s="123"/>
      <c r="BC126" s="123"/>
    </row>
    <row r="127" spans="44:55">
      <c r="AR127" s="123"/>
      <c r="AS127" s="123"/>
      <c r="AT127" s="123"/>
      <c r="AU127" s="123"/>
      <c r="AV127" s="123"/>
      <c r="AW127" s="123"/>
      <c r="AX127" s="123"/>
      <c r="AY127" s="123"/>
      <c r="AZ127" s="123"/>
      <c r="BA127" s="123"/>
      <c r="BB127" s="123"/>
      <c r="BC127" s="123"/>
    </row>
    <row r="128" spans="44:55">
      <c r="AR128" s="123"/>
      <c r="AS128" s="123"/>
      <c r="AT128" s="123"/>
      <c r="AU128" s="123"/>
      <c r="AV128" s="123"/>
      <c r="AW128" s="123"/>
      <c r="AX128" s="123"/>
      <c r="AY128" s="123"/>
      <c r="AZ128" s="123"/>
      <c r="BA128" s="123"/>
      <c r="BB128" s="123"/>
      <c r="BC128" s="123"/>
    </row>
    <row r="129" spans="44:55">
      <c r="AR129" s="123"/>
      <c r="AS129" s="123"/>
      <c r="AT129" s="123"/>
      <c r="AU129" s="123"/>
      <c r="AV129" s="123"/>
      <c r="AW129" s="123"/>
      <c r="AX129" s="123"/>
      <c r="AY129" s="123"/>
      <c r="AZ129" s="123"/>
      <c r="BA129" s="123"/>
      <c r="BB129" s="123"/>
      <c r="BC129" s="123"/>
    </row>
    <row r="130" spans="44:55"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/>
      <c r="BB130" s="123"/>
      <c r="BC130" s="123"/>
    </row>
    <row r="131" spans="44:55"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/>
      <c r="BB131" s="123"/>
      <c r="BC131" s="123"/>
    </row>
    <row r="132" spans="44:55"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</row>
    <row r="133" spans="44:55"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</row>
    <row r="134" spans="44:55"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123"/>
      <c r="BB134" s="123"/>
      <c r="BC134" s="123"/>
    </row>
    <row r="135" spans="44:55"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</row>
    <row r="136" spans="44:55"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123"/>
      <c r="BB136" s="123"/>
      <c r="BC136" s="123"/>
    </row>
    <row r="137" spans="44:55">
      <c r="AR137" s="123"/>
      <c r="AS137" s="123"/>
      <c r="AT137" s="123"/>
      <c r="AU137" s="123"/>
      <c r="AV137" s="123"/>
      <c r="AW137" s="123"/>
      <c r="AX137" s="123"/>
      <c r="AY137" s="123"/>
      <c r="AZ137" s="123"/>
      <c r="BA137" s="123"/>
      <c r="BB137" s="123"/>
      <c r="BC137" s="123"/>
    </row>
    <row r="138" spans="44:55"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</row>
    <row r="139" spans="44:55"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</row>
    <row r="140" spans="44:55">
      <c r="AR140" s="123"/>
      <c r="AS140" s="123"/>
      <c r="AT140" s="123"/>
      <c r="AU140" s="123"/>
      <c r="AV140" s="123"/>
      <c r="AW140" s="123"/>
      <c r="AX140" s="123"/>
      <c r="AY140" s="123"/>
      <c r="AZ140" s="123"/>
      <c r="BA140" s="123"/>
      <c r="BB140" s="123"/>
      <c r="BC140" s="123"/>
    </row>
    <row r="141" spans="44:55"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</row>
    <row r="142" spans="44:55"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</row>
    <row r="143" spans="44:55"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</row>
    <row r="144" spans="44:55"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123"/>
      <c r="BB144" s="123"/>
      <c r="BC144" s="123"/>
    </row>
    <row r="145" spans="44:55"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</row>
    <row r="146" spans="44:55"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123"/>
      <c r="BB146" s="123"/>
      <c r="BC146" s="123"/>
    </row>
    <row r="147" spans="44:55">
      <c r="AR147" s="123"/>
      <c r="AS147" s="123"/>
      <c r="AT147" s="123"/>
      <c r="AU147" s="123"/>
      <c r="AV147" s="123"/>
      <c r="AW147" s="123"/>
      <c r="AX147" s="123"/>
      <c r="AY147" s="123"/>
      <c r="AZ147" s="123"/>
      <c r="BA147" s="123"/>
      <c r="BB147" s="123"/>
      <c r="BC147" s="123"/>
    </row>
    <row r="148" spans="44:55">
      <c r="AR148" s="123"/>
      <c r="AS148" s="123"/>
      <c r="AT148" s="123"/>
      <c r="AU148" s="123"/>
      <c r="AV148" s="123"/>
      <c r="AW148" s="123"/>
      <c r="AX148" s="123"/>
      <c r="AY148" s="123"/>
      <c r="AZ148" s="123"/>
      <c r="BA148" s="123"/>
      <c r="BB148" s="123"/>
      <c r="BC148" s="123"/>
    </row>
    <row r="149" spans="44:55">
      <c r="AR149" s="123"/>
      <c r="AS149" s="123"/>
      <c r="AT149" s="123"/>
      <c r="AU149" s="123"/>
      <c r="AV149" s="123"/>
      <c r="AW149" s="123"/>
      <c r="AX149" s="123"/>
      <c r="AY149" s="123"/>
      <c r="AZ149" s="123"/>
      <c r="BA149" s="123"/>
      <c r="BB149" s="123"/>
      <c r="BC149" s="123"/>
    </row>
    <row r="150" spans="44:55"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</row>
    <row r="151" spans="44:55">
      <c r="AR151" s="123"/>
      <c r="AS151" s="123"/>
      <c r="AT151" s="123"/>
      <c r="AU151" s="123"/>
      <c r="AV151" s="123"/>
      <c r="AW151" s="123"/>
      <c r="AX151" s="123"/>
      <c r="AY151" s="123"/>
      <c r="AZ151" s="123"/>
      <c r="BA151" s="123"/>
      <c r="BB151" s="123"/>
      <c r="BC151" s="123"/>
    </row>
    <row r="152" spans="44:55">
      <c r="AR152" s="123"/>
      <c r="AS152" s="123"/>
      <c r="AT152" s="123"/>
      <c r="AU152" s="123"/>
      <c r="AV152" s="123"/>
      <c r="AW152" s="123"/>
      <c r="AX152" s="123"/>
      <c r="AY152" s="123"/>
      <c r="AZ152" s="123"/>
      <c r="BA152" s="123"/>
      <c r="BB152" s="123"/>
      <c r="BC152" s="123"/>
    </row>
    <row r="153" spans="44:55">
      <c r="AR153" s="123"/>
      <c r="AS153" s="123"/>
      <c r="AT153" s="123"/>
      <c r="AU153" s="123"/>
      <c r="AV153" s="123"/>
      <c r="AW153" s="123"/>
      <c r="AX153" s="123"/>
      <c r="AY153" s="123"/>
      <c r="AZ153" s="123"/>
      <c r="BA153" s="123"/>
      <c r="BB153" s="123"/>
      <c r="BC153" s="123"/>
    </row>
    <row r="154" spans="44:55">
      <c r="AR154" s="123"/>
      <c r="AS154" s="123"/>
      <c r="AT154" s="123"/>
      <c r="AU154" s="123"/>
      <c r="AV154" s="123"/>
      <c r="AW154" s="123"/>
      <c r="AX154" s="123"/>
      <c r="AY154" s="123"/>
      <c r="AZ154" s="123"/>
      <c r="BA154" s="123"/>
      <c r="BB154" s="123"/>
      <c r="BC154" s="123"/>
    </row>
    <row r="155" spans="44:55">
      <c r="AR155" s="123"/>
      <c r="AS155" s="123"/>
      <c r="AT155" s="123"/>
      <c r="AU155" s="123"/>
      <c r="AV155" s="123"/>
      <c r="AW155" s="123"/>
      <c r="AX155" s="123"/>
      <c r="AY155" s="123"/>
      <c r="AZ155" s="123"/>
      <c r="BA155" s="123"/>
      <c r="BB155" s="123"/>
      <c r="BC155" s="123"/>
    </row>
    <row r="156" spans="44:55">
      <c r="AR156" s="123"/>
      <c r="AS156" s="123"/>
      <c r="AT156" s="123"/>
      <c r="AU156" s="123"/>
      <c r="AV156" s="123"/>
      <c r="AW156" s="123"/>
      <c r="AX156" s="123"/>
      <c r="AY156" s="123"/>
      <c r="AZ156" s="123"/>
      <c r="BA156" s="123"/>
      <c r="BB156" s="123"/>
      <c r="BC156" s="123"/>
    </row>
    <row r="157" spans="44:55">
      <c r="AR157" s="123"/>
      <c r="AS157" s="123"/>
      <c r="AT157" s="123"/>
      <c r="AU157" s="123"/>
      <c r="AV157" s="123"/>
      <c r="AW157" s="123"/>
      <c r="AX157" s="123"/>
      <c r="AY157" s="123"/>
      <c r="AZ157" s="123"/>
      <c r="BA157" s="123"/>
      <c r="BB157" s="123"/>
      <c r="BC157" s="123"/>
    </row>
    <row r="158" spans="44:55">
      <c r="AR158" s="123"/>
      <c r="AS158" s="123"/>
      <c r="AT158" s="123"/>
      <c r="AU158" s="123"/>
      <c r="AV158" s="123"/>
      <c r="AW158" s="123"/>
      <c r="AX158" s="123"/>
      <c r="AY158" s="123"/>
      <c r="AZ158" s="123"/>
      <c r="BA158" s="123"/>
      <c r="BB158" s="123"/>
      <c r="BC158" s="123"/>
    </row>
    <row r="159" spans="44:55">
      <c r="AR159" s="123"/>
      <c r="AS159" s="123"/>
      <c r="AT159" s="123"/>
      <c r="AU159" s="123"/>
      <c r="AV159" s="123"/>
      <c r="AW159" s="123"/>
      <c r="AX159" s="123"/>
      <c r="AY159" s="123"/>
      <c r="AZ159" s="123"/>
      <c r="BA159" s="123"/>
      <c r="BB159" s="123"/>
      <c r="BC159" s="123"/>
    </row>
    <row r="160" spans="44:55">
      <c r="AR160" s="123"/>
      <c r="AS160" s="123"/>
      <c r="AT160" s="123"/>
      <c r="AU160" s="123"/>
      <c r="AV160" s="123"/>
      <c r="AW160" s="123"/>
      <c r="AX160" s="123"/>
      <c r="AY160" s="123"/>
      <c r="AZ160" s="123"/>
      <c r="BA160" s="123"/>
      <c r="BB160" s="123"/>
      <c r="BC160" s="123"/>
    </row>
    <row r="161" spans="44:55">
      <c r="AR161" s="123"/>
      <c r="AS161" s="123"/>
      <c r="AT161" s="123"/>
      <c r="AU161" s="123"/>
      <c r="AV161" s="123"/>
      <c r="AW161" s="123"/>
      <c r="AX161" s="123"/>
      <c r="AY161" s="123"/>
      <c r="AZ161" s="123"/>
      <c r="BA161" s="123"/>
      <c r="BB161" s="123"/>
      <c r="BC161" s="123"/>
    </row>
    <row r="162" spans="44:55"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</row>
    <row r="163" spans="44:55"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</row>
    <row r="164" spans="44:55"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</row>
    <row r="165" spans="44:55">
      <c r="AR165" s="123"/>
      <c r="AS165" s="123"/>
      <c r="AT165" s="123"/>
      <c r="AU165" s="123"/>
      <c r="AV165" s="123"/>
      <c r="AW165" s="123"/>
      <c r="AX165" s="123"/>
      <c r="AY165" s="123"/>
      <c r="AZ165" s="123"/>
      <c r="BA165" s="123"/>
      <c r="BB165" s="123"/>
      <c r="BC165" s="123"/>
    </row>
    <row r="166" spans="44:55">
      <c r="AR166" s="123"/>
      <c r="AS166" s="123"/>
      <c r="AT166" s="123"/>
      <c r="AU166" s="123"/>
      <c r="AV166" s="123"/>
      <c r="AW166" s="123"/>
      <c r="AX166" s="123"/>
      <c r="AY166" s="123"/>
      <c r="AZ166" s="123"/>
      <c r="BA166" s="123"/>
      <c r="BB166" s="123"/>
      <c r="BC166" s="123"/>
    </row>
    <row r="167" spans="44:55">
      <c r="AR167" s="123"/>
      <c r="AS167" s="123"/>
      <c r="AT167" s="123"/>
      <c r="AU167" s="123"/>
      <c r="AV167" s="123"/>
      <c r="AW167" s="123"/>
      <c r="AX167" s="123"/>
      <c r="AY167" s="123"/>
      <c r="AZ167" s="123"/>
      <c r="BA167" s="123"/>
      <c r="BB167" s="123"/>
      <c r="BC167" s="123"/>
    </row>
    <row r="168" spans="44:55">
      <c r="AR168" s="123"/>
      <c r="AS168" s="123"/>
      <c r="AT168" s="123"/>
      <c r="AU168" s="123"/>
      <c r="AV168" s="123"/>
      <c r="AW168" s="123"/>
      <c r="AX168" s="123"/>
      <c r="AY168" s="123"/>
      <c r="AZ168" s="123"/>
      <c r="BA168" s="123"/>
      <c r="BB168" s="123"/>
      <c r="BC168" s="123"/>
    </row>
    <row r="169" spans="44:55">
      <c r="AR169" s="123"/>
      <c r="AS169" s="123"/>
      <c r="AT169" s="123"/>
      <c r="AU169" s="123"/>
      <c r="AV169" s="123"/>
      <c r="AW169" s="123"/>
      <c r="AX169" s="123"/>
      <c r="AY169" s="123"/>
      <c r="AZ169" s="123"/>
      <c r="BA169" s="123"/>
      <c r="BB169" s="123"/>
      <c r="BC169" s="123"/>
    </row>
    <row r="170" spans="44:55"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/>
      <c r="BB170" s="123"/>
      <c r="BC170" s="123"/>
    </row>
    <row r="171" spans="44:55">
      <c r="AR171" s="123"/>
      <c r="AS171" s="123"/>
      <c r="AT171" s="123"/>
      <c r="AU171" s="123"/>
      <c r="AV171" s="123"/>
      <c r="AW171" s="123"/>
      <c r="AX171" s="123"/>
      <c r="AY171" s="123"/>
      <c r="AZ171" s="123"/>
      <c r="BA171" s="123"/>
      <c r="BB171" s="123"/>
      <c r="BC171" s="123"/>
    </row>
    <row r="172" spans="44:55"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</row>
    <row r="173" spans="44:55">
      <c r="AR173" s="123"/>
      <c r="AS173" s="123"/>
      <c r="AT173" s="123"/>
      <c r="AU173" s="123"/>
      <c r="AV173" s="123"/>
      <c r="AW173" s="123"/>
      <c r="AX173" s="123"/>
      <c r="AY173" s="123"/>
      <c r="AZ173" s="123"/>
      <c r="BA173" s="123"/>
      <c r="BB173" s="123"/>
      <c r="BC173" s="123"/>
    </row>
    <row r="174" spans="44:55"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</row>
    <row r="175" spans="44:55">
      <c r="AR175" s="123"/>
      <c r="AS175" s="123"/>
      <c r="AT175" s="123"/>
      <c r="AU175" s="123"/>
      <c r="AV175" s="123"/>
      <c r="AW175" s="123"/>
      <c r="AX175" s="123"/>
      <c r="AY175" s="123"/>
      <c r="AZ175" s="123"/>
      <c r="BA175" s="123"/>
      <c r="BB175" s="123"/>
      <c r="BC175" s="123"/>
    </row>
    <row r="176" spans="44:55">
      <c r="AR176" s="123"/>
      <c r="AS176" s="123"/>
      <c r="AT176" s="123"/>
      <c r="AU176" s="123"/>
      <c r="AV176" s="123"/>
      <c r="AW176" s="123"/>
      <c r="AX176" s="123"/>
      <c r="AY176" s="123"/>
      <c r="AZ176" s="123"/>
      <c r="BA176" s="123"/>
      <c r="BB176" s="123"/>
      <c r="BC176" s="123"/>
    </row>
    <row r="177" spans="44:55">
      <c r="AR177" s="123"/>
      <c r="AS177" s="123"/>
      <c r="AT177" s="123"/>
      <c r="AU177" s="123"/>
      <c r="AV177" s="123"/>
      <c r="AW177" s="123"/>
      <c r="AX177" s="123"/>
      <c r="AY177" s="123"/>
      <c r="AZ177" s="123"/>
      <c r="BA177" s="123"/>
      <c r="BB177" s="123"/>
      <c r="BC177" s="123"/>
    </row>
    <row r="178" spans="44:55">
      <c r="AR178" s="123"/>
      <c r="AS178" s="123"/>
      <c r="AT178" s="123"/>
      <c r="AU178" s="123"/>
      <c r="AV178" s="123"/>
      <c r="AW178" s="123"/>
      <c r="AX178" s="123"/>
      <c r="AY178" s="123"/>
      <c r="AZ178" s="123"/>
      <c r="BA178" s="123"/>
      <c r="BB178" s="123"/>
      <c r="BC178" s="123"/>
    </row>
    <row r="179" spans="44:55">
      <c r="AR179" s="123"/>
      <c r="AS179" s="123"/>
      <c r="AT179" s="123"/>
      <c r="AU179" s="123"/>
      <c r="AV179" s="123"/>
      <c r="AW179" s="123"/>
      <c r="AX179" s="123"/>
      <c r="AY179" s="123"/>
      <c r="AZ179" s="123"/>
      <c r="BA179" s="123"/>
      <c r="BB179" s="123"/>
      <c r="BC179" s="123"/>
    </row>
    <row r="180" spans="44:55">
      <c r="AR180" s="123"/>
      <c r="AS180" s="123"/>
      <c r="AT180" s="123"/>
      <c r="AU180" s="123"/>
      <c r="AV180" s="123"/>
      <c r="AW180" s="123"/>
      <c r="AX180" s="123"/>
      <c r="AY180" s="123"/>
      <c r="AZ180" s="123"/>
      <c r="BA180" s="123"/>
      <c r="BB180" s="123"/>
      <c r="BC180" s="123"/>
    </row>
    <row r="181" spans="44:55">
      <c r="AR181" s="123"/>
      <c r="AS181" s="123"/>
      <c r="AT181" s="123"/>
      <c r="AU181" s="123"/>
      <c r="AV181" s="123"/>
      <c r="AW181" s="123"/>
      <c r="AX181" s="123"/>
      <c r="AY181" s="123"/>
      <c r="AZ181" s="123"/>
      <c r="BA181" s="123"/>
      <c r="BB181" s="123"/>
      <c r="BC181" s="123"/>
    </row>
    <row r="182" spans="44:55">
      <c r="AR182" s="123"/>
      <c r="AS182" s="123"/>
      <c r="AT182" s="123"/>
      <c r="AU182" s="123"/>
      <c r="AV182" s="123"/>
      <c r="AW182" s="123"/>
      <c r="AX182" s="123"/>
      <c r="AY182" s="123"/>
      <c r="AZ182" s="123"/>
      <c r="BA182" s="123"/>
      <c r="BB182" s="123"/>
      <c r="BC182" s="123"/>
    </row>
    <row r="183" spans="44:55">
      <c r="AR183" s="123"/>
      <c r="AS183" s="123"/>
      <c r="AT183" s="123"/>
      <c r="AU183" s="123"/>
      <c r="AV183" s="123"/>
      <c r="AW183" s="123"/>
      <c r="AX183" s="123"/>
      <c r="AY183" s="123"/>
      <c r="AZ183" s="123"/>
      <c r="BA183" s="123"/>
      <c r="BB183" s="123"/>
      <c r="BC183" s="123"/>
    </row>
    <row r="184" spans="44:55">
      <c r="AR184" s="123"/>
      <c r="AS184" s="123"/>
      <c r="AT184" s="123"/>
      <c r="AU184" s="123"/>
      <c r="AV184" s="123"/>
      <c r="AW184" s="123"/>
      <c r="AX184" s="123"/>
      <c r="AY184" s="123"/>
      <c r="AZ184" s="123"/>
      <c r="BA184" s="123"/>
      <c r="BB184" s="123"/>
      <c r="BC184" s="123"/>
    </row>
    <row r="185" spans="44:55">
      <c r="AR185" s="123"/>
      <c r="AS185" s="123"/>
      <c r="AT185" s="123"/>
      <c r="AU185" s="123"/>
      <c r="AV185" s="123"/>
      <c r="AW185" s="123"/>
      <c r="AX185" s="123"/>
      <c r="AY185" s="123"/>
      <c r="AZ185" s="123"/>
      <c r="BA185" s="123"/>
      <c r="BB185" s="123"/>
      <c r="BC185" s="123"/>
    </row>
    <row r="186" spans="44:55">
      <c r="AR186" s="123"/>
      <c r="AS186" s="123"/>
      <c r="AT186" s="123"/>
      <c r="AU186" s="123"/>
      <c r="AV186" s="123"/>
      <c r="AW186" s="123"/>
      <c r="AX186" s="123"/>
      <c r="AY186" s="123"/>
      <c r="AZ186" s="123"/>
      <c r="BA186" s="123"/>
      <c r="BB186" s="123"/>
      <c r="BC186" s="123"/>
    </row>
    <row r="187" spans="44:55">
      <c r="AR187" s="123"/>
      <c r="AS187" s="123"/>
      <c r="AT187" s="123"/>
      <c r="AU187" s="123"/>
      <c r="AV187" s="123"/>
      <c r="AW187" s="123"/>
      <c r="AX187" s="123"/>
      <c r="AY187" s="123"/>
      <c r="AZ187" s="123"/>
      <c r="BA187" s="123"/>
      <c r="BB187" s="123"/>
      <c r="BC187" s="123"/>
    </row>
    <row r="188" spans="44:55"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/>
      <c r="BB188" s="123"/>
      <c r="BC188" s="123"/>
    </row>
    <row r="189" spans="44:55">
      <c r="AR189" s="123"/>
      <c r="AS189" s="123"/>
      <c r="AT189" s="123"/>
      <c r="AU189" s="123"/>
      <c r="AV189" s="123"/>
      <c r="AW189" s="123"/>
      <c r="AX189" s="123"/>
      <c r="AY189" s="123"/>
      <c r="AZ189" s="123"/>
      <c r="BA189" s="123"/>
      <c r="BB189" s="123"/>
      <c r="BC189" s="123"/>
    </row>
    <row r="190" spans="44:55">
      <c r="AR190" s="123"/>
      <c r="AS190" s="123"/>
      <c r="AT190" s="123"/>
      <c r="AU190" s="123"/>
      <c r="AV190" s="123"/>
      <c r="AW190" s="123"/>
      <c r="AX190" s="123"/>
      <c r="AY190" s="123"/>
      <c r="AZ190" s="123"/>
      <c r="BA190" s="123"/>
      <c r="BB190" s="123"/>
      <c r="BC190" s="123"/>
    </row>
    <row r="191" spans="44:55">
      <c r="AR191" s="123"/>
      <c r="AS191" s="123"/>
      <c r="AT191" s="123"/>
      <c r="AU191" s="123"/>
      <c r="AV191" s="123"/>
      <c r="AW191" s="123"/>
      <c r="AX191" s="123"/>
      <c r="AY191" s="123"/>
      <c r="AZ191" s="123"/>
      <c r="BA191" s="123"/>
      <c r="BB191" s="123"/>
      <c r="BC191" s="123"/>
    </row>
    <row r="192" spans="44:55"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</row>
    <row r="193" spans="44:55">
      <c r="AR193" s="123"/>
      <c r="AS193" s="123"/>
      <c r="AT193" s="123"/>
      <c r="AU193" s="123"/>
      <c r="AV193" s="123"/>
      <c r="AW193" s="123"/>
      <c r="AX193" s="123"/>
      <c r="AY193" s="123"/>
      <c r="AZ193" s="123"/>
      <c r="BA193" s="123"/>
      <c r="BB193" s="123"/>
      <c r="BC193" s="123"/>
    </row>
    <row r="194" spans="44:55">
      <c r="AR194" s="123"/>
      <c r="AS194" s="123"/>
      <c r="AT194" s="123"/>
      <c r="AU194" s="123"/>
      <c r="AV194" s="123"/>
      <c r="AW194" s="123"/>
      <c r="AX194" s="123"/>
      <c r="AY194" s="123"/>
      <c r="AZ194" s="123"/>
      <c r="BA194" s="123"/>
      <c r="BB194" s="123"/>
      <c r="BC194" s="123"/>
    </row>
    <row r="195" spans="44:55">
      <c r="AR195" s="123"/>
      <c r="AS195" s="123"/>
      <c r="AT195" s="123"/>
      <c r="AU195" s="123"/>
      <c r="AV195" s="123"/>
      <c r="AW195" s="123"/>
      <c r="AX195" s="123"/>
      <c r="AY195" s="123"/>
      <c r="AZ195" s="123"/>
      <c r="BA195" s="123"/>
      <c r="BB195" s="123"/>
      <c r="BC195" s="123"/>
    </row>
    <row r="196" spans="44:55">
      <c r="AR196" s="123"/>
      <c r="AS196" s="123"/>
      <c r="AT196" s="123"/>
      <c r="AU196" s="123"/>
      <c r="AV196" s="123"/>
      <c r="AW196" s="123"/>
      <c r="AX196" s="123"/>
      <c r="AY196" s="123"/>
      <c r="AZ196" s="123"/>
      <c r="BA196" s="123"/>
      <c r="BB196" s="123"/>
      <c r="BC196" s="123"/>
    </row>
    <row r="197" spans="44:55">
      <c r="AR197" s="123"/>
      <c r="AS197" s="123"/>
      <c r="AT197" s="123"/>
      <c r="AU197" s="123"/>
      <c r="AV197" s="123"/>
      <c r="AW197" s="123"/>
      <c r="AX197" s="123"/>
      <c r="AY197" s="123"/>
      <c r="AZ197" s="123"/>
      <c r="BA197" s="123"/>
      <c r="BB197" s="123"/>
      <c r="BC197" s="123"/>
    </row>
    <row r="198" spans="44:55">
      <c r="AR198" s="123"/>
      <c r="AS198" s="123"/>
      <c r="AT198" s="123"/>
      <c r="AU198" s="123"/>
      <c r="AV198" s="123"/>
      <c r="AW198" s="123"/>
      <c r="AX198" s="123"/>
      <c r="AY198" s="123"/>
      <c r="AZ198" s="123"/>
      <c r="BA198" s="123"/>
      <c r="BB198" s="123"/>
      <c r="BC198" s="123"/>
    </row>
    <row r="199" spans="44:55">
      <c r="AR199" s="123"/>
      <c r="AS199" s="123"/>
      <c r="AT199" s="123"/>
      <c r="AU199" s="123"/>
      <c r="AV199" s="123"/>
      <c r="AW199" s="123"/>
      <c r="AX199" s="123"/>
      <c r="AY199" s="123"/>
      <c r="AZ199" s="123"/>
      <c r="BA199" s="123"/>
      <c r="BB199" s="123"/>
      <c r="BC199" s="123"/>
    </row>
    <row r="200" spans="44:55">
      <c r="AR200" s="123"/>
      <c r="AS200" s="123"/>
      <c r="AT200" s="123"/>
      <c r="AU200" s="123"/>
      <c r="AV200" s="123"/>
      <c r="AW200" s="123"/>
      <c r="AX200" s="123"/>
      <c r="AY200" s="123"/>
      <c r="AZ200" s="123"/>
      <c r="BA200" s="123"/>
      <c r="BB200" s="123"/>
      <c r="BC200" s="123"/>
    </row>
    <row r="201" spans="44:55">
      <c r="AR201" s="123"/>
      <c r="AS201" s="123"/>
      <c r="AT201" s="123"/>
      <c r="AU201" s="123"/>
      <c r="AV201" s="123"/>
      <c r="AW201" s="123"/>
      <c r="AX201" s="123"/>
      <c r="AY201" s="123"/>
      <c r="AZ201" s="123"/>
      <c r="BA201" s="123"/>
      <c r="BB201" s="123"/>
      <c r="BC201" s="123"/>
    </row>
    <row r="202" spans="44:55">
      <c r="AR202" s="123"/>
      <c r="AS202" s="123"/>
      <c r="AT202" s="123"/>
      <c r="AU202" s="123"/>
      <c r="AV202" s="123"/>
      <c r="AW202" s="123"/>
      <c r="AX202" s="123"/>
      <c r="AY202" s="123"/>
      <c r="AZ202" s="123"/>
      <c r="BA202" s="123"/>
      <c r="BB202" s="123"/>
      <c r="BC202" s="123"/>
    </row>
    <row r="203" spans="44:55"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</row>
    <row r="204" spans="44:55">
      <c r="AR204" s="123"/>
      <c r="AS204" s="123"/>
      <c r="AT204" s="123"/>
      <c r="AU204" s="123"/>
      <c r="AV204" s="123"/>
      <c r="AW204" s="123"/>
      <c r="AX204" s="123"/>
      <c r="AY204" s="123"/>
      <c r="AZ204" s="123"/>
      <c r="BA204" s="123"/>
      <c r="BB204" s="123"/>
      <c r="BC204" s="123"/>
    </row>
    <row r="205" spans="44:55"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</row>
    <row r="206" spans="44:55"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23"/>
    </row>
    <row r="207" spans="44:55">
      <c r="AR207" s="123"/>
      <c r="AS207" s="123"/>
      <c r="AT207" s="123"/>
      <c r="AU207" s="123"/>
      <c r="AV207" s="123"/>
      <c r="AW207" s="123"/>
      <c r="AX207" s="123"/>
      <c r="AY207" s="123"/>
      <c r="AZ207" s="123"/>
      <c r="BA207" s="123"/>
      <c r="BB207" s="123"/>
      <c r="BC207" s="123"/>
    </row>
    <row r="208" spans="44:55">
      <c r="AR208" s="123"/>
      <c r="AS208" s="123"/>
      <c r="AT208" s="123"/>
      <c r="AU208" s="123"/>
      <c r="AV208" s="123"/>
      <c r="AW208" s="123"/>
      <c r="AX208" s="123"/>
      <c r="AY208" s="123"/>
      <c r="AZ208" s="123"/>
      <c r="BA208" s="123"/>
      <c r="BB208" s="123"/>
      <c r="BC208" s="123"/>
    </row>
    <row r="209" spans="44:55"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23"/>
    </row>
    <row r="210" spans="44:55">
      <c r="AR210" s="123"/>
      <c r="AS210" s="123"/>
      <c r="AT210" s="123"/>
      <c r="AU210" s="123"/>
      <c r="AV210" s="123"/>
      <c r="AW210" s="123"/>
      <c r="AX210" s="123"/>
      <c r="AY210" s="123"/>
      <c r="AZ210" s="123"/>
      <c r="BA210" s="123"/>
      <c r="BB210" s="123"/>
      <c r="BC210" s="123"/>
    </row>
    <row r="211" spans="44:55">
      <c r="AR211" s="123"/>
      <c r="AS211" s="123"/>
      <c r="AT211" s="123"/>
      <c r="AU211" s="123"/>
      <c r="AV211" s="123"/>
      <c r="AW211" s="123"/>
      <c r="AX211" s="123"/>
      <c r="AY211" s="123"/>
      <c r="AZ211" s="123"/>
      <c r="BA211" s="123"/>
      <c r="BB211" s="123"/>
      <c r="BC211" s="123"/>
    </row>
    <row r="212" spans="44:55"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</row>
    <row r="213" spans="44:55">
      <c r="AR213" s="123"/>
      <c r="AS213" s="123"/>
      <c r="AT213" s="123"/>
      <c r="AU213" s="123"/>
      <c r="AV213" s="123"/>
      <c r="AW213" s="123"/>
      <c r="AX213" s="123"/>
      <c r="AY213" s="123"/>
      <c r="AZ213" s="123"/>
      <c r="BA213" s="123"/>
      <c r="BB213" s="123"/>
      <c r="BC213" s="123"/>
    </row>
    <row r="214" spans="44:55">
      <c r="AR214" s="123"/>
      <c r="AS214" s="123"/>
      <c r="AT214" s="123"/>
      <c r="AU214" s="123"/>
      <c r="AV214" s="123"/>
      <c r="AW214" s="123"/>
      <c r="AX214" s="123"/>
      <c r="AY214" s="123"/>
      <c r="AZ214" s="123"/>
      <c r="BA214" s="123"/>
      <c r="BB214" s="123"/>
      <c r="BC214" s="123"/>
    </row>
    <row r="215" spans="44:55">
      <c r="AR215" s="123"/>
      <c r="AS215" s="123"/>
      <c r="AT215" s="123"/>
      <c r="AU215" s="123"/>
      <c r="AV215" s="123"/>
      <c r="AW215" s="123"/>
      <c r="AX215" s="123"/>
      <c r="AY215" s="123"/>
      <c r="AZ215" s="123"/>
      <c r="BA215" s="123"/>
      <c r="BB215" s="123"/>
      <c r="BC215" s="123"/>
    </row>
    <row r="216" spans="44:55">
      <c r="AR216" s="123"/>
      <c r="AS216" s="123"/>
      <c r="AT216" s="123"/>
      <c r="AU216" s="123"/>
      <c r="AV216" s="123"/>
      <c r="AW216" s="123"/>
      <c r="AX216" s="123"/>
      <c r="AY216" s="123"/>
      <c r="AZ216" s="123"/>
      <c r="BA216" s="123"/>
      <c r="BB216" s="123"/>
      <c r="BC216" s="123"/>
    </row>
    <row r="217" spans="44:55">
      <c r="AR217" s="123"/>
      <c r="AS217" s="123"/>
      <c r="AT217" s="123"/>
      <c r="AU217" s="123"/>
      <c r="AV217" s="123"/>
      <c r="AW217" s="123"/>
      <c r="AX217" s="123"/>
      <c r="AY217" s="123"/>
      <c r="AZ217" s="123"/>
      <c r="BA217" s="123"/>
      <c r="BB217" s="123"/>
      <c r="BC217" s="123"/>
    </row>
    <row r="218" spans="44:55">
      <c r="AR218" s="123"/>
      <c r="AS218" s="123"/>
      <c r="AT218" s="123"/>
      <c r="AU218" s="123"/>
      <c r="AV218" s="123"/>
      <c r="AW218" s="123"/>
      <c r="AX218" s="123"/>
      <c r="AY218" s="123"/>
      <c r="AZ218" s="123"/>
      <c r="BA218" s="123"/>
      <c r="BB218" s="123"/>
      <c r="BC218" s="123"/>
    </row>
    <row r="219" spans="44:55">
      <c r="AR219" s="123"/>
      <c r="AS219" s="123"/>
      <c r="AT219" s="123"/>
      <c r="AU219" s="123"/>
      <c r="AV219" s="123"/>
      <c r="AW219" s="123"/>
      <c r="AX219" s="123"/>
      <c r="AY219" s="123"/>
      <c r="AZ219" s="123"/>
      <c r="BA219" s="123"/>
      <c r="BB219" s="123"/>
      <c r="BC219" s="123"/>
    </row>
    <row r="220" spans="44:55">
      <c r="AR220" s="123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</row>
    <row r="221" spans="44:55">
      <c r="AR221" s="123"/>
      <c r="AS221" s="123"/>
      <c r="AT221" s="123"/>
      <c r="AU221" s="123"/>
      <c r="AV221" s="123"/>
      <c r="AW221" s="123"/>
      <c r="AX221" s="123"/>
      <c r="AY221" s="123"/>
      <c r="AZ221" s="123"/>
      <c r="BA221" s="123"/>
      <c r="BB221" s="123"/>
      <c r="BC221" s="123"/>
    </row>
    <row r="222" spans="44:55">
      <c r="AR222" s="123"/>
      <c r="AS222" s="123"/>
      <c r="AT222" s="123"/>
      <c r="AU222" s="123"/>
      <c r="AV222" s="123"/>
      <c r="AW222" s="123"/>
      <c r="AX222" s="123"/>
      <c r="AY222" s="123"/>
      <c r="AZ222" s="123"/>
      <c r="BA222" s="123"/>
      <c r="BB222" s="123"/>
      <c r="BC222" s="123"/>
    </row>
    <row r="223" spans="44:55">
      <c r="AR223" s="123"/>
      <c r="AS223" s="123"/>
      <c r="AT223" s="123"/>
      <c r="AU223" s="123"/>
      <c r="AV223" s="123"/>
      <c r="AW223" s="123"/>
      <c r="AX223" s="123"/>
      <c r="AY223" s="123"/>
      <c r="AZ223" s="123"/>
      <c r="BA223" s="123"/>
      <c r="BB223" s="123"/>
      <c r="BC223" s="123"/>
    </row>
    <row r="224" spans="44:55">
      <c r="AR224" s="123"/>
      <c r="AS224" s="123"/>
      <c r="AT224" s="123"/>
      <c r="AU224" s="123"/>
      <c r="AV224" s="123"/>
      <c r="AW224" s="123"/>
      <c r="AX224" s="123"/>
      <c r="AY224" s="123"/>
      <c r="AZ224" s="123"/>
      <c r="BA224" s="123"/>
      <c r="BB224" s="123"/>
      <c r="BC224" s="123"/>
    </row>
    <row r="225" spans="44:55">
      <c r="AR225" s="123"/>
      <c r="AS225" s="123"/>
      <c r="AT225" s="123"/>
      <c r="AU225" s="123"/>
      <c r="AV225" s="123"/>
      <c r="AW225" s="123"/>
      <c r="AX225" s="123"/>
      <c r="AY225" s="123"/>
      <c r="AZ225" s="123"/>
      <c r="BA225" s="123"/>
      <c r="BB225" s="123"/>
      <c r="BC225" s="123"/>
    </row>
    <row r="226" spans="44:55">
      <c r="AR226" s="123"/>
      <c r="AS226" s="123"/>
      <c r="AT226" s="123"/>
      <c r="AU226" s="123"/>
      <c r="AV226" s="123"/>
      <c r="AW226" s="123"/>
      <c r="AX226" s="123"/>
      <c r="AY226" s="123"/>
      <c r="AZ226" s="123"/>
      <c r="BA226" s="123"/>
      <c r="BB226" s="123"/>
      <c r="BC226" s="123"/>
    </row>
    <row r="227" spans="44:55">
      <c r="AR227" s="123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123"/>
    </row>
    <row r="228" spans="44:55">
      <c r="AR228" s="123"/>
      <c r="AS228" s="123"/>
      <c r="AT228" s="123"/>
      <c r="AU228" s="123"/>
      <c r="AV228" s="123"/>
      <c r="AW228" s="123"/>
      <c r="AX228" s="123"/>
      <c r="AY228" s="123"/>
      <c r="AZ228" s="123"/>
      <c r="BA228" s="123"/>
      <c r="BB228" s="123"/>
      <c r="BC228" s="123"/>
    </row>
    <row r="229" spans="44:55">
      <c r="AR229" s="123"/>
      <c r="AS229" s="123"/>
      <c r="AT229" s="123"/>
      <c r="AU229" s="123"/>
      <c r="AV229" s="123"/>
      <c r="AW229" s="123"/>
      <c r="AX229" s="123"/>
      <c r="AY229" s="123"/>
      <c r="AZ229" s="123"/>
      <c r="BA229" s="123"/>
      <c r="BB229" s="123"/>
      <c r="BC229" s="123"/>
    </row>
    <row r="230" spans="44:55">
      <c r="AR230" s="123"/>
      <c r="AS230" s="123"/>
      <c r="AT230" s="123"/>
      <c r="AU230" s="123"/>
      <c r="AV230" s="123"/>
      <c r="AW230" s="123"/>
      <c r="AX230" s="123"/>
      <c r="AY230" s="123"/>
      <c r="AZ230" s="123"/>
      <c r="BA230" s="123"/>
      <c r="BB230" s="123"/>
      <c r="BC230" s="123"/>
    </row>
    <row r="231" spans="44:55">
      <c r="AR231" s="123"/>
      <c r="AS231" s="123"/>
      <c r="AT231" s="123"/>
      <c r="AU231" s="123"/>
      <c r="AV231" s="123"/>
      <c r="AW231" s="123"/>
      <c r="AX231" s="123"/>
      <c r="AY231" s="123"/>
      <c r="AZ231" s="123"/>
      <c r="BA231" s="123"/>
      <c r="BB231" s="123"/>
      <c r="BC231" s="123"/>
    </row>
    <row r="232" spans="44:55">
      <c r="AR232" s="123"/>
      <c r="AS232" s="123"/>
      <c r="AT232" s="123"/>
      <c r="AU232" s="123"/>
      <c r="AV232" s="123"/>
      <c r="AW232" s="123"/>
      <c r="AX232" s="123"/>
      <c r="AY232" s="123"/>
      <c r="AZ232" s="123"/>
      <c r="BA232" s="123"/>
      <c r="BB232" s="123"/>
      <c r="BC232" s="123"/>
    </row>
    <row r="233" spans="44:55">
      <c r="AR233" s="123"/>
      <c r="AS233" s="123"/>
      <c r="AT233" s="123"/>
      <c r="AU233" s="123"/>
      <c r="AV233" s="123"/>
      <c r="AW233" s="123"/>
      <c r="AX233" s="123"/>
      <c r="AY233" s="123"/>
      <c r="AZ233" s="123"/>
      <c r="BA233" s="123"/>
      <c r="BB233" s="123"/>
      <c r="BC233" s="123"/>
    </row>
    <row r="234" spans="44:55">
      <c r="AR234" s="123"/>
      <c r="AS234" s="123"/>
      <c r="AT234" s="123"/>
      <c r="AU234" s="123"/>
      <c r="AV234" s="123"/>
      <c r="AW234" s="123"/>
      <c r="AX234" s="123"/>
      <c r="AY234" s="123"/>
      <c r="AZ234" s="123"/>
      <c r="BA234" s="123"/>
      <c r="BB234" s="123"/>
      <c r="BC234" s="123"/>
    </row>
    <row r="235" spans="44:55">
      <c r="AR235" s="123"/>
      <c r="AS235" s="123"/>
      <c r="AT235" s="123"/>
      <c r="AU235" s="123"/>
      <c r="AV235" s="123"/>
      <c r="AW235" s="123"/>
      <c r="AX235" s="123"/>
      <c r="AY235" s="123"/>
      <c r="AZ235" s="123"/>
      <c r="BA235" s="123"/>
      <c r="BB235" s="123"/>
      <c r="BC235" s="123"/>
    </row>
    <row r="236" spans="44:55">
      <c r="AR236" s="123"/>
      <c r="AS236" s="123"/>
      <c r="AT236" s="123"/>
      <c r="AU236" s="123"/>
      <c r="AV236" s="123"/>
      <c r="AW236" s="123"/>
      <c r="AX236" s="123"/>
      <c r="AY236" s="123"/>
      <c r="AZ236" s="123"/>
      <c r="BA236" s="123"/>
      <c r="BB236" s="123"/>
      <c r="BC236" s="123"/>
    </row>
    <row r="237" spans="44:55">
      <c r="AR237" s="123"/>
      <c r="AS237" s="123"/>
      <c r="AT237" s="123"/>
      <c r="AU237" s="123"/>
      <c r="AV237" s="123"/>
      <c r="AW237" s="123"/>
      <c r="AX237" s="123"/>
      <c r="AY237" s="123"/>
      <c r="AZ237" s="123"/>
      <c r="BA237" s="123"/>
      <c r="BB237" s="123"/>
      <c r="BC237" s="123"/>
    </row>
    <row r="238" spans="44:55">
      <c r="AR238" s="123"/>
      <c r="AS238" s="123"/>
      <c r="AT238" s="123"/>
      <c r="AU238" s="123"/>
      <c r="AV238" s="123"/>
      <c r="AW238" s="123"/>
      <c r="AX238" s="123"/>
      <c r="AY238" s="123"/>
      <c r="AZ238" s="123"/>
      <c r="BA238" s="123"/>
      <c r="BB238" s="123"/>
      <c r="BC238" s="123"/>
    </row>
    <row r="239" spans="44:55">
      <c r="AR239" s="123"/>
      <c r="AS239" s="123"/>
      <c r="AT239" s="123"/>
      <c r="AU239" s="123"/>
      <c r="AV239" s="123"/>
      <c r="AW239" s="123"/>
      <c r="AX239" s="123"/>
      <c r="AY239" s="123"/>
      <c r="AZ239" s="123"/>
      <c r="BA239" s="123"/>
      <c r="BB239" s="123"/>
      <c r="BC239" s="123"/>
    </row>
    <row r="240" spans="44:55">
      <c r="AR240" s="123"/>
      <c r="AS240" s="123"/>
      <c r="AT240" s="123"/>
      <c r="AU240" s="123"/>
      <c r="AV240" s="123"/>
      <c r="AW240" s="123"/>
      <c r="AX240" s="123"/>
      <c r="AY240" s="123"/>
      <c r="AZ240" s="123"/>
      <c r="BA240" s="123"/>
      <c r="BB240" s="123"/>
      <c r="BC240" s="123"/>
    </row>
    <row r="241" spans="44:55">
      <c r="AR241" s="123"/>
      <c r="AS241" s="123"/>
      <c r="AT241" s="123"/>
      <c r="AU241" s="123"/>
      <c r="AV241" s="123"/>
      <c r="AW241" s="123"/>
      <c r="AX241" s="123"/>
      <c r="AY241" s="123"/>
      <c r="AZ241" s="123"/>
      <c r="BA241" s="123"/>
      <c r="BB241" s="123"/>
      <c r="BC241" s="123"/>
    </row>
    <row r="242" spans="44:55">
      <c r="AR242" s="123"/>
      <c r="AS242" s="123"/>
      <c r="AT242" s="123"/>
      <c r="AU242" s="123"/>
      <c r="AV242" s="123"/>
      <c r="AW242" s="123"/>
      <c r="AX242" s="123"/>
      <c r="AY242" s="123"/>
      <c r="AZ242" s="123"/>
      <c r="BA242" s="123"/>
      <c r="BB242" s="123"/>
      <c r="BC242" s="123"/>
    </row>
    <row r="243" spans="44:55">
      <c r="AR243" s="123"/>
      <c r="AS243" s="123"/>
      <c r="AT243" s="123"/>
      <c r="AU243" s="123"/>
      <c r="AV243" s="123"/>
      <c r="AW243" s="123"/>
      <c r="AX243" s="123"/>
      <c r="AY243" s="123"/>
      <c r="AZ243" s="123"/>
      <c r="BA243" s="123"/>
      <c r="BB243" s="123"/>
      <c r="BC243" s="123"/>
    </row>
    <row r="244" spans="44:55">
      <c r="AR244" s="123"/>
      <c r="AS244" s="123"/>
      <c r="AT244" s="123"/>
      <c r="AU244" s="123"/>
      <c r="AV244" s="123"/>
      <c r="AW244" s="123"/>
      <c r="AX244" s="123"/>
      <c r="AY244" s="123"/>
      <c r="AZ244" s="123"/>
      <c r="BA244" s="123"/>
      <c r="BB244" s="123"/>
      <c r="BC244" s="123"/>
    </row>
    <row r="245" spans="44:55">
      <c r="AR245" s="123"/>
      <c r="AS245" s="123"/>
      <c r="AT245" s="123"/>
      <c r="AU245" s="123"/>
      <c r="AV245" s="123"/>
      <c r="AW245" s="123"/>
      <c r="AX245" s="123"/>
      <c r="AY245" s="123"/>
      <c r="AZ245" s="123"/>
      <c r="BA245" s="123"/>
      <c r="BB245" s="123"/>
      <c r="BC245" s="123"/>
    </row>
    <row r="246" spans="44:55">
      <c r="AR246" s="123"/>
      <c r="AS246" s="123"/>
      <c r="AT246" s="123"/>
      <c r="AU246" s="123"/>
      <c r="AV246" s="123"/>
      <c r="AW246" s="123"/>
      <c r="AX246" s="123"/>
      <c r="AY246" s="123"/>
      <c r="AZ246" s="123"/>
      <c r="BA246" s="123"/>
      <c r="BB246" s="123"/>
      <c r="BC246" s="123"/>
    </row>
    <row r="247" spans="44:55">
      <c r="AR247" s="123"/>
      <c r="AS247" s="123"/>
      <c r="AT247" s="123"/>
      <c r="AU247" s="123"/>
      <c r="AV247" s="123"/>
      <c r="AW247" s="123"/>
      <c r="AX247" s="123"/>
      <c r="AY247" s="123"/>
      <c r="AZ247" s="123"/>
      <c r="BA247" s="123"/>
      <c r="BB247" s="123"/>
      <c r="BC247" s="123"/>
    </row>
    <row r="248" spans="44:55">
      <c r="AR248" s="123"/>
      <c r="AS248" s="123"/>
      <c r="AT248" s="123"/>
      <c r="AU248" s="123"/>
      <c r="AV248" s="123"/>
      <c r="AW248" s="123"/>
      <c r="AX248" s="123"/>
      <c r="AY248" s="123"/>
      <c r="AZ248" s="123"/>
      <c r="BA248" s="123"/>
      <c r="BB248" s="123"/>
      <c r="BC248" s="123"/>
    </row>
    <row r="249" spans="44:55">
      <c r="AR249" s="123"/>
      <c r="AS249" s="123"/>
      <c r="AT249" s="123"/>
      <c r="AU249" s="123"/>
      <c r="AV249" s="123"/>
      <c r="AW249" s="123"/>
      <c r="AX249" s="123"/>
      <c r="AY249" s="123"/>
      <c r="AZ249" s="123"/>
      <c r="BA249" s="123"/>
      <c r="BB249" s="123"/>
      <c r="BC249" s="123"/>
    </row>
    <row r="250" spans="44:55">
      <c r="AR250" s="123"/>
      <c r="AS250" s="123"/>
      <c r="AT250" s="123"/>
      <c r="AU250" s="123"/>
      <c r="AV250" s="123"/>
      <c r="AW250" s="123"/>
      <c r="AX250" s="123"/>
      <c r="AY250" s="123"/>
      <c r="AZ250" s="123"/>
      <c r="BA250" s="123"/>
      <c r="BB250" s="123"/>
      <c r="BC250" s="123"/>
    </row>
    <row r="251" spans="44:55">
      <c r="AR251" s="123"/>
      <c r="AS251" s="123"/>
      <c r="AT251" s="123"/>
      <c r="AU251" s="123"/>
      <c r="AV251" s="123"/>
      <c r="AW251" s="123"/>
      <c r="AX251" s="123"/>
      <c r="AY251" s="123"/>
      <c r="AZ251" s="123"/>
      <c r="BA251" s="123"/>
      <c r="BB251" s="123"/>
      <c r="BC251" s="123"/>
    </row>
    <row r="252" spans="44:55">
      <c r="AR252" s="123"/>
      <c r="AS252" s="123"/>
      <c r="AT252" s="123"/>
      <c r="AU252" s="123"/>
      <c r="AV252" s="123"/>
      <c r="AW252" s="123"/>
      <c r="AX252" s="123"/>
      <c r="AY252" s="123"/>
      <c r="AZ252" s="123"/>
      <c r="BA252" s="123"/>
      <c r="BB252" s="123"/>
      <c r="BC252" s="123"/>
    </row>
    <row r="253" spans="44:55">
      <c r="AR253" s="123"/>
      <c r="AS253" s="123"/>
      <c r="AT253" s="123"/>
      <c r="AU253" s="123"/>
      <c r="AV253" s="123"/>
      <c r="AW253" s="123"/>
      <c r="AX253" s="123"/>
      <c r="AY253" s="123"/>
      <c r="AZ253" s="123"/>
      <c r="BA253" s="123"/>
      <c r="BB253" s="123"/>
      <c r="BC253" s="123"/>
    </row>
    <row r="254" spans="44:55">
      <c r="AR254" s="123"/>
      <c r="AS254" s="123"/>
      <c r="AT254" s="123"/>
      <c r="AU254" s="123"/>
      <c r="AV254" s="123"/>
      <c r="AW254" s="123"/>
      <c r="AX254" s="123"/>
      <c r="AY254" s="123"/>
      <c r="AZ254" s="123"/>
      <c r="BA254" s="123"/>
      <c r="BB254" s="123"/>
      <c r="BC254" s="123"/>
    </row>
    <row r="255" spans="44:55">
      <c r="AR255" s="123"/>
      <c r="AS255" s="123"/>
      <c r="AT255" s="123"/>
      <c r="AU255" s="123"/>
      <c r="AV255" s="123"/>
      <c r="AW255" s="123"/>
      <c r="AX255" s="123"/>
      <c r="AY255" s="123"/>
      <c r="AZ255" s="123"/>
      <c r="BA255" s="123"/>
      <c r="BB255" s="123"/>
      <c r="BC255" s="123"/>
    </row>
    <row r="256" spans="44:55">
      <c r="AR256" s="123"/>
      <c r="AS256" s="123"/>
      <c r="AT256" s="123"/>
      <c r="AU256" s="123"/>
      <c r="AV256" s="123"/>
      <c r="AW256" s="123"/>
      <c r="AX256" s="123"/>
      <c r="AY256" s="123"/>
      <c r="AZ256" s="123"/>
      <c r="BA256" s="123"/>
      <c r="BB256" s="123"/>
      <c r="BC256" s="123"/>
    </row>
    <row r="257" spans="44:55">
      <c r="AR257" s="123"/>
      <c r="AS257" s="123"/>
      <c r="AT257" s="123"/>
      <c r="AU257" s="123"/>
      <c r="AV257" s="123"/>
      <c r="AW257" s="123"/>
      <c r="AX257" s="123"/>
      <c r="AY257" s="123"/>
      <c r="AZ257" s="123"/>
      <c r="BA257" s="123"/>
      <c r="BB257" s="123"/>
      <c r="BC257" s="123"/>
    </row>
    <row r="258" spans="44:55">
      <c r="AR258" s="123"/>
      <c r="AS258" s="123"/>
      <c r="AT258" s="123"/>
      <c r="AU258" s="123"/>
      <c r="AV258" s="123"/>
      <c r="AW258" s="123"/>
      <c r="AX258" s="123"/>
      <c r="AY258" s="123"/>
      <c r="AZ258" s="123"/>
      <c r="BA258" s="123"/>
      <c r="BB258" s="123"/>
      <c r="BC258" s="123"/>
    </row>
    <row r="259" spans="44:55">
      <c r="AR259" s="123"/>
      <c r="AS259" s="123"/>
      <c r="AT259" s="123"/>
      <c r="AU259" s="123"/>
      <c r="AV259" s="123"/>
      <c r="AW259" s="123"/>
      <c r="AX259" s="123"/>
      <c r="AY259" s="123"/>
      <c r="AZ259" s="123"/>
      <c r="BA259" s="123"/>
      <c r="BB259" s="123"/>
      <c r="BC259" s="123"/>
    </row>
    <row r="260" spans="44:55">
      <c r="AR260" s="123"/>
      <c r="AS260" s="123"/>
      <c r="AT260" s="123"/>
      <c r="AU260" s="123"/>
      <c r="AV260" s="123"/>
      <c r="AW260" s="123"/>
      <c r="AX260" s="123"/>
      <c r="AY260" s="123"/>
      <c r="AZ260" s="123"/>
      <c r="BA260" s="123"/>
      <c r="BB260" s="123"/>
      <c r="BC260" s="123"/>
    </row>
    <row r="261" spans="44:55">
      <c r="AR261" s="123"/>
      <c r="AS261" s="123"/>
      <c r="AT261" s="123"/>
      <c r="AU261" s="123"/>
      <c r="AV261" s="123"/>
      <c r="AW261" s="123"/>
      <c r="AX261" s="123"/>
      <c r="AY261" s="123"/>
      <c r="AZ261" s="123"/>
      <c r="BA261" s="123"/>
      <c r="BB261" s="123"/>
      <c r="BC261" s="123"/>
    </row>
    <row r="262" spans="44:55">
      <c r="AR262" s="123"/>
      <c r="AS262" s="123"/>
      <c r="AT262" s="123"/>
      <c r="AU262" s="123"/>
      <c r="AV262" s="123"/>
      <c r="AW262" s="123"/>
      <c r="AX262" s="123"/>
      <c r="AY262" s="123"/>
      <c r="AZ262" s="123"/>
      <c r="BA262" s="123"/>
      <c r="BB262" s="123"/>
      <c r="BC262" s="123"/>
    </row>
    <row r="263" spans="44:55">
      <c r="AR263" s="123"/>
      <c r="AS263" s="123"/>
      <c r="AT263" s="123"/>
      <c r="AU263" s="123"/>
      <c r="AV263" s="123"/>
      <c r="AW263" s="123"/>
      <c r="AX263" s="123"/>
      <c r="AY263" s="123"/>
      <c r="AZ263" s="123"/>
      <c r="BA263" s="123"/>
      <c r="BB263" s="123"/>
      <c r="BC263" s="123"/>
    </row>
    <row r="264" spans="44:55">
      <c r="AR264" s="123"/>
      <c r="AS264" s="123"/>
      <c r="AT264" s="123"/>
      <c r="AU264" s="123"/>
      <c r="AV264" s="123"/>
      <c r="AW264" s="123"/>
      <c r="AX264" s="123"/>
      <c r="AY264" s="123"/>
      <c r="AZ264" s="123"/>
      <c r="BA264" s="123"/>
      <c r="BB264" s="123"/>
      <c r="BC264" s="123"/>
    </row>
    <row r="265" spans="44:55">
      <c r="AR265" s="123"/>
      <c r="AS265" s="123"/>
      <c r="AT265" s="123"/>
      <c r="AU265" s="123"/>
      <c r="AV265" s="123"/>
      <c r="AW265" s="123"/>
      <c r="AX265" s="123"/>
      <c r="AY265" s="123"/>
      <c r="AZ265" s="123"/>
      <c r="BA265" s="123"/>
      <c r="BB265" s="123"/>
      <c r="BC265" s="123"/>
    </row>
    <row r="266" spans="44:55">
      <c r="AR266" s="123"/>
      <c r="AS266" s="123"/>
      <c r="AT266" s="123"/>
      <c r="AU266" s="123"/>
      <c r="AV266" s="123"/>
      <c r="AW266" s="123"/>
      <c r="AX266" s="123"/>
      <c r="AY266" s="123"/>
      <c r="AZ266" s="123"/>
      <c r="BA266" s="123"/>
      <c r="BB266" s="123"/>
      <c r="BC266" s="123"/>
    </row>
    <row r="267" spans="44:55">
      <c r="AR267" s="123"/>
      <c r="AS267" s="123"/>
      <c r="AT267" s="123"/>
      <c r="AU267" s="123"/>
      <c r="AV267" s="123"/>
      <c r="AW267" s="123"/>
      <c r="AX267" s="123"/>
      <c r="AY267" s="123"/>
      <c r="AZ267" s="123"/>
      <c r="BA267" s="123"/>
      <c r="BB267" s="123"/>
      <c r="BC267" s="123"/>
    </row>
    <row r="268" spans="44:55">
      <c r="AR268" s="123"/>
      <c r="AS268" s="123"/>
      <c r="AT268" s="123"/>
      <c r="AU268" s="123"/>
      <c r="AV268" s="123"/>
      <c r="AW268" s="123"/>
      <c r="AX268" s="123"/>
      <c r="AY268" s="123"/>
      <c r="AZ268" s="123"/>
      <c r="BA268" s="123"/>
      <c r="BB268" s="123"/>
      <c r="BC268" s="123"/>
    </row>
    <row r="269" spans="44:55">
      <c r="AR269" s="123"/>
      <c r="AS269" s="123"/>
      <c r="AT269" s="123"/>
      <c r="AU269" s="123"/>
      <c r="AV269" s="123"/>
      <c r="AW269" s="123"/>
      <c r="AX269" s="123"/>
      <c r="AY269" s="123"/>
      <c r="AZ269" s="123"/>
      <c r="BA269" s="123"/>
      <c r="BB269" s="123"/>
      <c r="BC269" s="123"/>
    </row>
    <row r="270" spans="44:55">
      <c r="AR270" s="123"/>
      <c r="AS270" s="123"/>
      <c r="AT270" s="123"/>
      <c r="AU270" s="123"/>
      <c r="AV270" s="123"/>
      <c r="AW270" s="123"/>
      <c r="AX270" s="123"/>
      <c r="AY270" s="123"/>
      <c r="AZ270" s="123"/>
      <c r="BA270" s="123"/>
      <c r="BB270" s="123"/>
      <c r="BC270" s="123"/>
    </row>
    <row r="271" spans="44:55">
      <c r="AR271" s="123"/>
      <c r="AS271" s="123"/>
      <c r="AT271" s="123"/>
      <c r="AU271" s="123"/>
      <c r="AV271" s="123"/>
      <c r="AW271" s="123"/>
      <c r="AX271" s="123"/>
      <c r="AY271" s="123"/>
      <c r="AZ271" s="123"/>
      <c r="BA271" s="123"/>
      <c r="BB271" s="123"/>
      <c r="BC271" s="123"/>
    </row>
    <row r="272" spans="44:55">
      <c r="AR272" s="123"/>
      <c r="AS272" s="123"/>
      <c r="AT272" s="123"/>
      <c r="AU272" s="123"/>
      <c r="AV272" s="123"/>
      <c r="AW272" s="123"/>
      <c r="AX272" s="123"/>
      <c r="AY272" s="123"/>
      <c r="AZ272" s="123"/>
      <c r="BA272" s="123"/>
      <c r="BB272" s="123"/>
      <c r="BC272" s="123"/>
    </row>
    <row r="273" spans="44:55">
      <c r="AR273" s="123"/>
      <c r="AS273" s="123"/>
      <c r="AT273" s="123"/>
      <c r="AU273" s="123"/>
      <c r="AV273" s="123"/>
      <c r="AW273" s="123"/>
      <c r="AX273" s="123"/>
      <c r="AY273" s="123"/>
      <c r="AZ273" s="123"/>
      <c r="BA273" s="123"/>
      <c r="BB273" s="123"/>
      <c r="BC273" s="123"/>
    </row>
    <row r="274" spans="44:55">
      <c r="AR274" s="123"/>
      <c r="AS274" s="123"/>
      <c r="AT274" s="123"/>
      <c r="AU274" s="123"/>
      <c r="AV274" s="123"/>
      <c r="AW274" s="123"/>
      <c r="AX274" s="123"/>
      <c r="AY274" s="123"/>
      <c r="AZ274" s="123"/>
      <c r="BA274" s="123"/>
      <c r="BB274" s="123"/>
      <c r="BC274" s="123"/>
    </row>
    <row r="275" spans="44:55">
      <c r="AR275" s="123"/>
      <c r="AS275" s="123"/>
      <c r="AT275" s="123"/>
      <c r="AU275" s="123"/>
      <c r="AV275" s="123"/>
      <c r="AW275" s="123"/>
      <c r="AX275" s="123"/>
      <c r="AY275" s="123"/>
      <c r="AZ275" s="123"/>
      <c r="BA275" s="123"/>
      <c r="BB275" s="123"/>
      <c r="BC275" s="123"/>
    </row>
    <row r="276" spans="44:55">
      <c r="AR276" s="123"/>
      <c r="AS276" s="123"/>
      <c r="AT276" s="123"/>
      <c r="AU276" s="123"/>
      <c r="AV276" s="123"/>
      <c r="AW276" s="123"/>
      <c r="AX276" s="123"/>
      <c r="AY276" s="123"/>
      <c r="AZ276" s="123"/>
      <c r="BA276" s="123"/>
      <c r="BB276" s="123"/>
      <c r="BC276" s="123"/>
    </row>
    <row r="277" spans="44:55">
      <c r="AR277" s="123"/>
      <c r="AS277" s="123"/>
      <c r="AT277" s="123"/>
      <c r="AU277" s="123"/>
      <c r="AV277" s="123"/>
      <c r="AW277" s="123"/>
      <c r="AX277" s="123"/>
      <c r="AY277" s="123"/>
      <c r="AZ277" s="123"/>
      <c r="BA277" s="123"/>
      <c r="BB277" s="123"/>
      <c r="BC277" s="123"/>
    </row>
    <row r="278" spans="44:55">
      <c r="AR278" s="123"/>
      <c r="AS278" s="123"/>
      <c r="AT278" s="123"/>
      <c r="AU278" s="123"/>
      <c r="AV278" s="123"/>
      <c r="AW278" s="123"/>
      <c r="AX278" s="123"/>
      <c r="AY278" s="123"/>
      <c r="AZ278" s="123"/>
      <c r="BA278" s="123"/>
      <c r="BB278" s="123"/>
      <c r="BC278" s="123"/>
    </row>
    <row r="279" spans="44:55">
      <c r="AR279" s="123"/>
      <c r="AS279" s="123"/>
      <c r="AT279" s="123"/>
      <c r="AU279" s="123"/>
      <c r="AV279" s="123"/>
      <c r="AW279" s="123"/>
      <c r="AX279" s="123"/>
      <c r="AY279" s="123"/>
      <c r="AZ279" s="123"/>
      <c r="BA279" s="123"/>
      <c r="BB279" s="123"/>
      <c r="BC279" s="123"/>
    </row>
    <row r="280" spans="44:55">
      <c r="AR280" s="123"/>
      <c r="AS280" s="123"/>
      <c r="AT280" s="123"/>
      <c r="AU280" s="123"/>
      <c r="AV280" s="123"/>
      <c r="AW280" s="123"/>
      <c r="AX280" s="123"/>
      <c r="AY280" s="123"/>
      <c r="AZ280" s="123"/>
      <c r="BA280" s="123"/>
      <c r="BB280" s="123"/>
      <c r="BC280" s="123"/>
    </row>
    <row r="281" spans="44:55">
      <c r="AR281" s="123"/>
      <c r="AS281" s="123"/>
      <c r="AT281" s="123"/>
      <c r="AU281" s="123"/>
      <c r="AV281" s="123"/>
      <c r="AW281" s="123"/>
      <c r="AX281" s="123"/>
      <c r="AY281" s="123"/>
      <c r="AZ281" s="123"/>
      <c r="BA281" s="123"/>
      <c r="BB281" s="123"/>
      <c r="BC281" s="123"/>
    </row>
    <row r="282" spans="44:55">
      <c r="AR282" s="123"/>
      <c r="AS282" s="123"/>
      <c r="AT282" s="123"/>
      <c r="AU282" s="123"/>
      <c r="AV282" s="123"/>
      <c r="AW282" s="123"/>
      <c r="AX282" s="123"/>
      <c r="AY282" s="123"/>
      <c r="AZ282" s="123"/>
      <c r="BA282" s="123"/>
      <c r="BB282" s="123"/>
      <c r="BC282" s="123"/>
    </row>
    <row r="283" spans="44:55">
      <c r="AR283" s="123"/>
      <c r="AS283" s="123"/>
      <c r="AT283" s="123"/>
      <c r="AU283" s="123"/>
      <c r="AV283" s="123"/>
      <c r="AW283" s="123"/>
      <c r="AX283" s="123"/>
      <c r="AY283" s="123"/>
      <c r="AZ283" s="123"/>
      <c r="BA283" s="123"/>
      <c r="BB283" s="123"/>
      <c r="BC283" s="123"/>
    </row>
    <row r="284" spans="44:55">
      <c r="AR284" s="123"/>
      <c r="AS284" s="123"/>
      <c r="AT284" s="123"/>
      <c r="AU284" s="123"/>
      <c r="AV284" s="123"/>
      <c r="AW284" s="123"/>
      <c r="AX284" s="123"/>
      <c r="AY284" s="123"/>
      <c r="AZ284" s="123"/>
      <c r="BA284" s="123"/>
      <c r="BB284" s="123"/>
      <c r="BC284" s="123"/>
    </row>
    <row r="285" spans="44:55">
      <c r="AR285" s="123"/>
      <c r="AS285" s="123"/>
      <c r="AT285" s="123"/>
      <c r="AU285" s="123"/>
      <c r="AV285" s="123"/>
      <c r="AW285" s="123"/>
      <c r="AX285" s="123"/>
      <c r="AY285" s="123"/>
      <c r="AZ285" s="123"/>
      <c r="BA285" s="123"/>
      <c r="BB285" s="123"/>
      <c r="BC285" s="123"/>
    </row>
    <row r="286" spans="44:55">
      <c r="AR286" s="123"/>
      <c r="AS286" s="123"/>
      <c r="AT286" s="123"/>
      <c r="AU286" s="123"/>
      <c r="AV286" s="123"/>
      <c r="AW286" s="123"/>
      <c r="AX286" s="123"/>
      <c r="AY286" s="123"/>
      <c r="AZ286" s="123"/>
      <c r="BA286" s="123"/>
      <c r="BB286" s="123"/>
      <c r="BC286" s="123"/>
    </row>
    <row r="287" spans="44:55">
      <c r="AR287" s="123"/>
      <c r="AS287" s="123"/>
      <c r="AT287" s="123"/>
      <c r="AU287" s="123"/>
      <c r="AV287" s="123"/>
      <c r="AW287" s="123"/>
      <c r="AX287" s="123"/>
      <c r="AY287" s="123"/>
      <c r="AZ287" s="123"/>
      <c r="BA287" s="123"/>
      <c r="BB287" s="123"/>
      <c r="BC287" s="123"/>
    </row>
    <row r="288" spans="44:55">
      <c r="AR288" s="123"/>
      <c r="AS288" s="123"/>
      <c r="AT288" s="123"/>
      <c r="AU288" s="123"/>
      <c r="AV288" s="123"/>
      <c r="AW288" s="123"/>
      <c r="AX288" s="123"/>
      <c r="AY288" s="123"/>
      <c r="AZ288" s="123"/>
      <c r="BA288" s="123"/>
      <c r="BB288" s="123"/>
      <c r="BC288" s="123"/>
    </row>
    <row r="289" spans="44:55">
      <c r="AR289" s="123"/>
      <c r="AS289" s="123"/>
      <c r="AT289" s="123"/>
      <c r="AU289" s="123"/>
      <c r="AV289" s="123"/>
      <c r="AW289" s="123"/>
      <c r="AX289" s="123"/>
      <c r="AY289" s="123"/>
      <c r="AZ289" s="123"/>
      <c r="BA289" s="123"/>
      <c r="BB289" s="123"/>
      <c r="BC289" s="123"/>
    </row>
    <row r="290" spans="44:55">
      <c r="AR290" s="123"/>
      <c r="AS290" s="123"/>
      <c r="AT290" s="123"/>
      <c r="AU290" s="123"/>
      <c r="AV290" s="123"/>
      <c r="AW290" s="123"/>
      <c r="AX290" s="123"/>
      <c r="AY290" s="123"/>
      <c r="AZ290" s="123"/>
      <c r="BA290" s="123"/>
      <c r="BB290" s="123"/>
      <c r="BC290" s="123"/>
    </row>
    <row r="291" spans="44:55">
      <c r="AR291" s="123"/>
      <c r="AS291" s="123"/>
      <c r="AT291" s="123"/>
      <c r="AU291" s="123"/>
      <c r="AV291" s="123"/>
      <c r="AW291" s="123"/>
      <c r="AX291" s="123"/>
      <c r="AY291" s="123"/>
      <c r="AZ291" s="123"/>
      <c r="BA291" s="123"/>
      <c r="BB291" s="123"/>
      <c r="BC291" s="123"/>
    </row>
    <row r="292" spans="44:55">
      <c r="AR292" s="123"/>
      <c r="AS292" s="123"/>
      <c r="AT292" s="123"/>
      <c r="AU292" s="123"/>
      <c r="AV292" s="123"/>
      <c r="AW292" s="123"/>
      <c r="AX292" s="123"/>
      <c r="AY292" s="123"/>
      <c r="AZ292" s="123"/>
      <c r="BA292" s="123"/>
      <c r="BB292" s="123"/>
      <c r="BC292" s="123"/>
    </row>
    <row r="293" spans="44:55">
      <c r="AR293" s="123"/>
      <c r="AS293" s="123"/>
      <c r="AT293" s="123"/>
      <c r="AU293" s="123"/>
      <c r="AV293" s="123"/>
      <c r="AW293" s="123"/>
      <c r="AX293" s="123"/>
      <c r="AY293" s="123"/>
      <c r="AZ293" s="123"/>
      <c r="BA293" s="123"/>
      <c r="BB293" s="123"/>
      <c r="BC293" s="123"/>
    </row>
    <row r="294" spans="44:55">
      <c r="AR294" s="123"/>
      <c r="AS294" s="123"/>
      <c r="AT294" s="123"/>
      <c r="AU294" s="123"/>
      <c r="AV294" s="123"/>
      <c r="AW294" s="123"/>
      <c r="AX294" s="123"/>
      <c r="AY294" s="123"/>
      <c r="AZ294" s="123"/>
      <c r="BA294" s="123"/>
      <c r="BB294" s="123"/>
      <c r="BC294" s="123"/>
    </row>
    <row r="295" spans="44:55">
      <c r="AR295" s="123"/>
      <c r="AS295" s="123"/>
      <c r="AT295" s="123"/>
      <c r="AU295" s="123"/>
      <c r="AV295" s="123"/>
      <c r="AW295" s="123"/>
      <c r="AX295" s="123"/>
      <c r="AY295" s="123"/>
      <c r="AZ295" s="123"/>
      <c r="BA295" s="123"/>
      <c r="BB295" s="123"/>
      <c r="BC295" s="123"/>
    </row>
    <row r="296" spans="44:55">
      <c r="AR296" s="123"/>
      <c r="AS296" s="123"/>
      <c r="AT296" s="123"/>
      <c r="AU296" s="123"/>
      <c r="AV296" s="123"/>
      <c r="AW296" s="123"/>
      <c r="AX296" s="123"/>
      <c r="AY296" s="123"/>
      <c r="AZ296" s="123"/>
      <c r="BA296" s="123"/>
      <c r="BB296" s="123"/>
      <c r="BC296" s="123"/>
    </row>
    <row r="297" spans="44:55">
      <c r="AR297" s="123"/>
      <c r="AS297" s="123"/>
      <c r="AT297" s="123"/>
      <c r="AU297" s="123"/>
      <c r="AV297" s="123"/>
      <c r="AW297" s="123"/>
      <c r="AX297" s="123"/>
      <c r="AY297" s="123"/>
      <c r="AZ297" s="123"/>
      <c r="BA297" s="123"/>
      <c r="BB297" s="123"/>
      <c r="BC297" s="123"/>
    </row>
    <row r="298" spans="44:55">
      <c r="AR298" s="123"/>
      <c r="AS298" s="123"/>
      <c r="AT298" s="123"/>
      <c r="AU298" s="123"/>
      <c r="AV298" s="123"/>
      <c r="AW298" s="123"/>
      <c r="AX298" s="123"/>
      <c r="AY298" s="123"/>
      <c r="AZ298" s="123"/>
      <c r="BA298" s="123"/>
      <c r="BB298" s="123"/>
      <c r="BC298" s="123"/>
    </row>
    <row r="299" spans="44:55">
      <c r="AR299" s="123"/>
      <c r="AS299" s="123"/>
      <c r="AT299" s="123"/>
      <c r="AU299" s="123"/>
      <c r="AV299" s="123"/>
      <c r="AW299" s="123"/>
      <c r="AX299" s="123"/>
      <c r="AY299" s="123"/>
      <c r="AZ299" s="123"/>
      <c r="BA299" s="123"/>
      <c r="BB299" s="123"/>
      <c r="BC299" s="123"/>
    </row>
    <row r="300" spans="44:55">
      <c r="AR300" s="123"/>
      <c r="AS300" s="123"/>
      <c r="AT300" s="123"/>
      <c r="AU300" s="123"/>
      <c r="AV300" s="123"/>
      <c r="AW300" s="123"/>
      <c r="AX300" s="123"/>
      <c r="AY300" s="123"/>
      <c r="AZ300" s="123"/>
      <c r="BA300" s="123"/>
      <c r="BB300" s="123"/>
      <c r="BC300" s="123"/>
    </row>
    <row r="301" spans="44:55">
      <c r="AR301" s="123"/>
      <c r="AS301" s="123"/>
      <c r="AT301" s="123"/>
      <c r="AU301" s="123"/>
      <c r="AV301" s="123"/>
      <c r="AW301" s="123"/>
      <c r="AX301" s="123"/>
      <c r="AY301" s="123"/>
      <c r="AZ301" s="123"/>
      <c r="BA301" s="123"/>
      <c r="BB301" s="123"/>
      <c r="BC301" s="123"/>
    </row>
    <row r="302" spans="44:55">
      <c r="AR302" s="123"/>
      <c r="AS302" s="123"/>
      <c r="AT302" s="123"/>
      <c r="AU302" s="123"/>
      <c r="AV302" s="123"/>
      <c r="AW302" s="123"/>
      <c r="AX302" s="123"/>
      <c r="AY302" s="123"/>
      <c r="AZ302" s="123"/>
      <c r="BA302" s="123"/>
      <c r="BB302" s="123"/>
      <c r="BC302" s="123"/>
    </row>
    <row r="303" spans="44:55">
      <c r="AR303" s="123"/>
      <c r="AS303" s="123"/>
      <c r="AT303" s="123"/>
      <c r="AU303" s="123"/>
      <c r="AV303" s="123"/>
      <c r="AW303" s="123"/>
      <c r="AX303" s="123"/>
      <c r="AY303" s="123"/>
      <c r="AZ303" s="123"/>
      <c r="BA303" s="123"/>
      <c r="BB303" s="123"/>
      <c r="BC303" s="123"/>
    </row>
    <row r="304" spans="44:55">
      <c r="AR304" s="123"/>
      <c r="AS304" s="123"/>
      <c r="AT304" s="123"/>
      <c r="AU304" s="123"/>
      <c r="AV304" s="123"/>
      <c r="AW304" s="123"/>
      <c r="AX304" s="123"/>
      <c r="AY304" s="123"/>
      <c r="AZ304" s="123"/>
      <c r="BA304" s="123"/>
      <c r="BB304" s="123"/>
      <c r="BC304" s="123"/>
    </row>
    <row r="305" spans="44:55">
      <c r="AR305" s="123"/>
      <c r="AS305" s="123"/>
      <c r="AT305" s="123"/>
      <c r="AU305" s="123"/>
      <c r="AV305" s="123"/>
      <c r="AW305" s="123"/>
      <c r="AX305" s="123"/>
      <c r="AY305" s="123"/>
      <c r="AZ305" s="123"/>
      <c r="BA305" s="123"/>
      <c r="BB305" s="123"/>
      <c r="BC305" s="123"/>
    </row>
    <row r="306" spans="44:55">
      <c r="AR306" s="123"/>
      <c r="AS306" s="123"/>
      <c r="AT306" s="123"/>
      <c r="AU306" s="123"/>
      <c r="AV306" s="123"/>
      <c r="AW306" s="123"/>
      <c r="AX306" s="123"/>
      <c r="AY306" s="123"/>
      <c r="AZ306" s="123"/>
      <c r="BA306" s="123"/>
      <c r="BB306" s="123"/>
      <c r="BC306" s="123"/>
    </row>
    <row r="307" spans="44:55">
      <c r="AR307" s="123"/>
      <c r="AS307" s="123"/>
      <c r="AT307" s="123"/>
      <c r="AU307" s="123"/>
      <c r="AV307" s="123"/>
      <c r="AW307" s="123"/>
      <c r="AX307" s="123"/>
      <c r="AY307" s="123"/>
      <c r="AZ307" s="123"/>
      <c r="BA307" s="123"/>
      <c r="BB307" s="123"/>
      <c r="BC307" s="123"/>
    </row>
    <row r="308" spans="44:55">
      <c r="AR308" s="123"/>
      <c r="AS308" s="123"/>
      <c r="AT308" s="123"/>
      <c r="AU308" s="123"/>
      <c r="AV308" s="123"/>
      <c r="AW308" s="123"/>
      <c r="AX308" s="123"/>
      <c r="AY308" s="123"/>
      <c r="AZ308" s="123"/>
      <c r="BA308" s="123"/>
      <c r="BB308" s="123"/>
      <c r="BC308" s="123"/>
    </row>
    <row r="309" spans="44:55">
      <c r="AR309" s="123"/>
      <c r="AS309" s="123"/>
      <c r="AT309" s="123"/>
      <c r="AU309" s="123"/>
      <c r="AV309" s="123"/>
      <c r="AW309" s="123"/>
      <c r="AX309" s="123"/>
      <c r="AY309" s="123"/>
      <c r="AZ309" s="123"/>
      <c r="BA309" s="123"/>
      <c r="BB309" s="123"/>
      <c r="BC309" s="123"/>
    </row>
    <row r="310" spans="44:55">
      <c r="AR310" s="123"/>
      <c r="AS310" s="123"/>
      <c r="AT310" s="123"/>
      <c r="AU310" s="123"/>
      <c r="AV310" s="123"/>
      <c r="AW310" s="123"/>
      <c r="AX310" s="123"/>
      <c r="AY310" s="123"/>
      <c r="AZ310" s="123"/>
      <c r="BA310" s="123"/>
      <c r="BB310" s="123"/>
      <c r="BC310" s="123"/>
    </row>
    <row r="311" spans="44:55">
      <c r="AR311" s="123"/>
      <c r="AS311" s="123"/>
      <c r="AT311" s="123"/>
      <c r="AU311" s="123"/>
      <c r="AV311" s="123"/>
      <c r="AW311" s="123"/>
      <c r="AX311" s="123"/>
      <c r="AY311" s="123"/>
      <c r="AZ311" s="123"/>
      <c r="BA311" s="123"/>
      <c r="BB311" s="123"/>
      <c r="BC311" s="123"/>
    </row>
    <row r="312" spans="44:55">
      <c r="AR312" s="123"/>
      <c r="AS312" s="123"/>
      <c r="AT312" s="123"/>
      <c r="AU312" s="123"/>
      <c r="AV312" s="123"/>
      <c r="AW312" s="123"/>
      <c r="AX312" s="123"/>
      <c r="AY312" s="123"/>
      <c r="AZ312" s="123"/>
      <c r="BA312" s="123"/>
      <c r="BB312" s="123"/>
      <c r="BC312" s="123"/>
    </row>
    <row r="313" spans="44:55">
      <c r="AR313" s="123"/>
      <c r="AS313" s="123"/>
      <c r="AT313" s="123"/>
      <c r="AU313" s="123"/>
      <c r="AV313" s="123"/>
      <c r="AW313" s="123"/>
      <c r="AX313" s="123"/>
      <c r="AY313" s="123"/>
      <c r="AZ313" s="123"/>
      <c r="BA313" s="123"/>
      <c r="BB313" s="123"/>
      <c r="BC313" s="123"/>
    </row>
    <row r="314" spans="44:55">
      <c r="AR314" s="123"/>
      <c r="AS314" s="123"/>
      <c r="AT314" s="123"/>
      <c r="AU314" s="123"/>
      <c r="AV314" s="123"/>
      <c r="AW314" s="123"/>
      <c r="AX314" s="123"/>
      <c r="AY314" s="123"/>
      <c r="AZ314" s="123"/>
      <c r="BA314" s="123"/>
      <c r="BB314" s="123"/>
      <c r="BC314" s="123"/>
    </row>
    <row r="315" spans="44:55">
      <c r="AR315" s="123"/>
      <c r="AS315" s="123"/>
      <c r="AT315" s="123"/>
      <c r="AU315" s="123"/>
      <c r="AV315" s="123"/>
      <c r="AW315" s="123"/>
      <c r="AX315" s="123"/>
      <c r="AY315" s="123"/>
      <c r="AZ315" s="123"/>
      <c r="BA315" s="123"/>
      <c r="BB315" s="123"/>
      <c r="BC315" s="123"/>
    </row>
    <row r="316" spans="44:55">
      <c r="AR316" s="123"/>
      <c r="AS316" s="123"/>
      <c r="AT316" s="123"/>
      <c r="AU316" s="123"/>
      <c r="AV316" s="123"/>
      <c r="AW316" s="123"/>
      <c r="AX316" s="123"/>
      <c r="AY316" s="123"/>
      <c r="AZ316" s="123"/>
      <c r="BA316" s="123"/>
      <c r="BB316" s="123"/>
      <c r="BC316" s="123"/>
    </row>
    <row r="317" spans="44:55">
      <c r="AR317" s="123"/>
      <c r="AS317" s="123"/>
      <c r="AT317" s="123"/>
      <c r="AU317" s="123"/>
      <c r="AV317" s="123"/>
      <c r="AW317" s="123"/>
      <c r="AX317" s="123"/>
      <c r="AY317" s="123"/>
      <c r="AZ317" s="123"/>
      <c r="BA317" s="123"/>
      <c r="BB317" s="123"/>
      <c r="BC317" s="123"/>
    </row>
    <row r="318" spans="44:55">
      <c r="AR318" s="123"/>
      <c r="AS318" s="123"/>
      <c r="AT318" s="123"/>
      <c r="AU318" s="123"/>
      <c r="AV318" s="123"/>
      <c r="AW318" s="123"/>
      <c r="AX318" s="123"/>
      <c r="AY318" s="123"/>
      <c r="AZ318" s="123"/>
      <c r="BA318" s="123"/>
      <c r="BB318" s="123"/>
      <c r="BC318" s="123"/>
    </row>
    <row r="319" spans="44:55">
      <c r="AR319" s="123"/>
      <c r="AS319" s="123"/>
      <c r="AT319" s="123"/>
      <c r="AU319" s="123"/>
      <c r="AV319" s="123"/>
      <c r="AW319" s="123"/>
      <c r="AX319" s="123"/>
      <c r="AY319" s="123"/>
      <c r="AZ319" s="123"/>
      <c r="BA319" s="123"/>
      <c r="BB319" s="123"/>
      <c r="BC319" s="123"/>
    </row>
    <row r="320" spans="44:55">
      <c r="AR320" s="123"/>
      <c r="AS320" s="123"/>
      <c r="AT320" s="123"/>
      <c r="AU320" s="123"/>
      <c r="AV320" s="123"/>
      <c r="AW320" s="123"/>
      <c r="AX320" s="123"/>
      <c r="AY320" s="123"/>
      <c r="AZ320" s="123"/>
      <c r="BA320" s="123"/>
      <c r="BB320" s="123"/>
      <c r="BC320" s="123"/>
    </row>
    <row r="321" spans="44:55">
      <c r="AR321" s="123"/>
      <c r="AS321" s="123"/>
      <c r="AT321" s="123"/>
      <c r="AU321" s="123"/>
      <c r="AV321" s="123"/>
      <c r="AW321" s="123"/>
      <c r="AX321" s="123"/>
      <c r="AY321" s="123"/>
      <c r="AZ321" s="123"/>
      <c r="BA321" s="123"/>
      <c r="BB321" s="123"/>
      <c r="BC321" s="123"/>
    </row>
    <row r="322" spans="44:55">
      <c r="AR322" s="123"/>
      <c r="AS322" s="123"/>
      <c r="AT322" s="123"/>
      <c r="AU322" s="123"/>
      <c r="AV322" s="123"/>
      <c r="AW322" s="123"/>
      <c r="AX322" s="123"/>
      <c r="AY322" s="123"/>
      <c r="AZ322" s="123"/>
      <c r="BA322" s="123"/>
      <c r="BB322" s="123"/>
      <c r="BC322" s="123"/>
    </row>
    <row r="323" spans="44:55">
      <c r="AR323" s="123"/>
      <c r="AS323" s="123"/>
      <c r="AT323" s="123"/>
      <c r="AU323" s="123"/>
      <c r="AV323" s="123"/>
      <c r="AW323" s="123"/>
      <c r="AX323" s="123"/>
      <c r="AY323" s="123"/>
      <c r="AZ323" s="123"/>
      <c r="BA323" s="123"/>
      <c r="BB323" s="123"/>
      <c r="BC323" s="123"/>
    </row>
    <row r="324" spans="44:55">
      <c r="AR324" s="123"/>
      <c r="AS324" s="123"/>
      <c r="AT324" s="123"/>
      <c r="AU324" s="123"/>
      <c r="AV324" s="123"/>
      <c r="AW324" s="123"/>
      <c r="AX324" s="123"/>
      <c r="AY324" s="123"/>
      <c r="AZ324" s="123"/>
      <c r="BA324" s="123"/>
      <c r="BB324" s="123"/>
      <c r="BC324" s="123"/>
    </row>
    <row r="325" spans="44:55">
      <c r="AR325" s="123"/>
      <c r="AS325" s="123"/>
      <c r="AT325" s="123"/>
      <c r="AU325" s="123"/>
      <c r="AV325" s="123"/>
      <c r="AW325" s="123"/>
      <c r="AX325" s="123"/>
      <c r="AY325" s="123"/>
      <c r="AZ325" s="123"/>
      <c r="BA325" s="123"/>
      <c r="BB325" s="123"/>
      <c r="BC325" s="123"/>
    </row>
    <row r="326" spans="44:55">
      <c r="AR326" s="123"/>
      <c r="AS326" s="123"/>
      <c r="AT326" s="123"/>
      <c r="AU326" s="123"/>
      <c r="AV326" s="123"/>
      <c r="AW326" s="123"/>
      <c r="AX326" s="123"/>
      <c r="AY326" s="123"/>
      <c r="AZ326" s="123"/>
      <c r="BA326" s="123"/>
      <c r="BB326" s="123"/>
      <c r="BC326" s="123"/>
    </row>
    <row r="327" spans="44:55">
      <c r="AR327" s="123"/>
      <c r="AS327" s="123"/>
      <c r="AT327" s="123"/>
      <c r="AU327" s="123"/>
      <c r="AV327" s="123"/>
      <c r="AW327" s="123"/>
      <c r="AX327" s="123"/>
      <c r="AY327" s="123"/>
      <c r="AZ327" s="123"/>
      <c r="BA327" s="123"/>
      <c r="BB327" s="123"/>
      <c r="BC327" s="123"/>
    </row>
    <row r="328" spans="44:55">
      <c r="AR328" s="123"/>
      <c r="AS328" s="123"/>
      <c r="AT328" s="123"/>
      <c r="AU328" s="123"/>
      <c r="AV328" s="123"/>
      <c r="AW328" s="123"/>
      <c r="AX328" s="123"/>
      <c r="AY328" s="123"/>
      <c r="AZ328" s="123"/>
      <c r="BA328" s="123"/>
      <c r="BB328" s="123"/>
      <c r="BC328" s="123"/>
    </row>
    <row r="329" spans="44:55">
      <c r="AR329" s="123"/>
      <c r="AS329" s="123"/>
      <c r="AT329" s="123"/>
      <c r="AU329" s="123"/>
      <c r="AV329" s="123"/>
      <c r="AW329" s="123"/>
      <c r="AX329" s="123"/>
      <c r="AY329" s="123"/>
      <c r="AZ329" s="123"/>
      <c r="BA329" s="123"/>
      <c r="BB329" s="123"/>
      <c r="BC329" s="123"/>
    </row>
    <row r="330" spans="44:55">
      <c r="AR330" s="123"/>
      <c r="AS330" s="123"/>
      <c r="AT330" s="123"/>
      <c r="AU330" s="123"/>
      <c r="AV330" s="123"/>
      <c r="AW330" s="123"/>
      <c r="AX330" s="123"/>
      <c r="AY330" s="123"/>
      <c r="AZ330" s="123"/>
      <c r="BA330" s="123"/>
      <c r="BB330" s="123"/>
      <c r="BC330" s="123"/>
    </row>
    <row r="331" spans="44:55">
      <c r="AR331" s="123"/>
      <c r="AS331" s="123"/>
      <c r="AT331" s="123"/>
      <c r="AU331" s="123"/>
      <c r="AV331" s="123"/>
      <c r="AW331" s="123"/>
      <c r="AX331" s="123"/>
      <c r="AY331" s="123"/>
      <c r="AZ331" s="123"/>
      <c r="BA331" s="123"/>
      <c r="BB331" s="123"/>
      <c r="BC331" s="123"/>
    </row>
    <row r="332" spans="44:55">
      <c r="AR332" s="123"/>
      <c r="AS332" s="123"/>
      <c r="AT332" s="123"/>
      <c r="AU332" s="123"/>
      <c r="AV332" s="123"/>
      <c r="AW332" s="123"/>
      <c r="AX332" s="123"/>
      <c r="AY332" s="123"/>
      <c r="AZ332" s="123"/>
      <c r="BA332" s="123"/>
      <c r="BB332" s="123"/>
      <c r="BC332" s="123"/>
    </row>
    <row r="333" spans="44:55">
      <c r="AR333" s="123"/>
      <c r="AS333" s="123"/>
      <c r="AT333" s="123"/>
      <c r="AU333" s="123"/>
      <c r="AV333" s="123"/>
      <c r="AW333" s="123"/>
      <c r="AX333" s="123"/>
      <c r="AY333" s="123"/>
      <c r="AZ333" s="123"/>
      <c r="BA333" s="123"/>
      <c r="BB333" s="123"/>
      <c r="BC333" s="123"/>
    </row>
    <row r="334" spans="44:55">
      <c r="AR334" s="123"/>
      <c r="AS334" s="123"/>
      <c r="AT334" s="123"/>
      <c r="AU334" s="123"/>
      <c r="AV334" s="123"/>
      <c r="AW334" s="123"/>
      <c r="AX334" s="123"/>
      <c r="AY334" s="123"/>
      <c r="AZ334" s="123"/>
      <c r="BA334" s="123"/>
      <c r="BB334" s="123"/>
      <c r="BC334" s="123"/>
    </row>
    <row r="335" spans="44:55">
      <c r="AR335" s="123"/>
      <c r="AS335" s="123"/>
      <c r="AT335" s="123"/>
      <c r="AU335" s="123"/>
      <c r="AV335" s="123"/>
      <c r="AW335" s="123"/>
      <c r="AX335" s="123"/>
      <c r="AY335" s="123"/>
      <c r="AZ335" s="123"/>
      <c r="BA335" s="123"/>
      <c r="BB335" s="123"/>
      <c r="BC335" s="123"/>
    </row>
    <row r="336" spans="44:55">
      <c r="AR336" s="123"/>
      <c r="AS336" s="123"/>
      <c r="AT336" s="123"/>
      <c r="AU336" s="123"/>
      <c r="AV336" s="123"/>
      <c r="AW336" s="123"/>
      <c r="AX336" s="123"/>
      <c r="AY336" s="123"/>
      <c r="AZ336" s="123"/>
      <c r="BA336" s="123"/>
      <c r="BB336" s="123"/>
      <c r="BC336" s="123"/>
    </row>
    <row r="337" spans="44:55">
      <c r="AR337" s="123"/>
      <c r="AS337" s="123"/>
      <c r="AT337" s="123"/>
      <c r="AU337" s="123"/>
      <c r="AV337" s="123"/>
      <c r="AW337" s="123"/>
      <c r="AX337" s="123"/>
      <c r="AY337" s="123"/>
      <c r="AZ337" s="123"/>
      <c r="BA337" s="123"/>
      <c r="BB337" s="123"/>
      <c r="BC337" s="123"/>
    </row>
    <row r="338" spans="44:55">
      <c r="AR338" s="123"/>
      <c r="AS338" s="123"/>
      <c r="AT338" s="123"/>
      <c r="AU338" s="123"/>
      <c r="AV338" s="123"/>
      <c r="AW338" s="123"/>
      <c r="AX338" s="123"/>
      <c r="AY338" s="123"/>
      <c r="AZ338" s="123"/>
      <c r="BA338" s="123"/>
      <c r="BB338" s="123"/>
      <c r="BC338" s="123"/>
    </row>
    <row r="339" spans="44:55">
      <c r="AR339" s="123"/>
      <c r="AS339" s="123"/>
      <c r="AT339" s="123"/>
      <c r="AU339" s="123"/>
      <c r="AV339" s="123"/>
      <c r="AW339" s="123"/>
      <c r="AX339" s="123"/>
      <c r="AY339" s="123"/>
      <c r="AZ339" s="123"/>
      <c r="BA339" s="123"/>
      <c r="BB339" s="123"/>
      <c r="BC339" s="123"/>
    </row>
    <row r="340" spans="44:55">
      <c r="AR340" s="123"/>
      <c r="AS340" s="123"/>
      <c r="AT340" s="123"/>
      <c r="AU340" s="123"/>
      <c r="AV340" s="123"/>
      <c r="AW340" s="123"/>
      <c r="AX340" s="123"/>
      <c r="AY340" s="123"/>
      <c r="AZ340" s="123"/>
      <c r="BA340" s="123"/>
      <c r="BB340" s="123"/>
      <c r="BC340" s="123"/>
    </row>
    <row r="341" spans="44:55">
      <c r="AR341" s="123"/>
      <c r="AS341" s="123"/>
      <c r="AT341" s="123"/>
      <c r="AU341" s="123"/>
      <c r="AV341" s="123"/>
      <c r="AW341" s="123"/>
      <c r="AX341" s="123"/>
      <c r="AY341" s="123"/>
      <c r="AZ341" s="123"/>
      <c r="BA341" s="123"/>
      <c r="BB341" s="123"/>
      <c r="BC341" s="123"/>
    </row>
    <row r="342" spans="44:55">
      <c r="AR342" s="123"/>
      <c r="AS342" s="123"/>
      <c r="AT342" s="123"/>
      <c r="AU342" s="123"/>
      <c r="AV342" s="123"/>
      <c r="AW342" s="123"/>
      <c r="AX342" s="123"/>
      <c r="AY342" s="123"/>
      <c r="AZ342" s="123"/>
      <c r="BA342" s="123"/>
      <c r="BB342" s="123"/>
      <c r="BC342" s="123"/>
    </row>
    <row r="343" spans="44:55">
      <c r="AR343" s="123"/>
      <c r="AS343" s="123"/>
      <c r="AT343" s="123"/>
      <c r="AU343" s="123"/>
      <c r="AV343" s="123"/>
      <c r="AW343" s="123"/>
      <c r="AX343" s="123"/>
      <c r="AY343" s="123"/>
      <c r="AZ343" s="123"/>
      <c r="BA343" s="123"/>
      <c r="BB343" s="123"/>
      <c r="BC343" s="123"/>
    </row>
    <row r="344" spans="44:55">
      <c r="AR344" s="123"/>
      <c r="AS344" s="123"/>
      <c r="AT344" s="123"/>
      <c r="AU344" s="123"/>
      <c r="AV344" s="123"/>
      <c r="AW344" s="123"/>
      <c r="AX344" s="123"/>
      <c r="AY344" s="123"/>
      <c r="AZ344" s="123"/>
      <c r="BA344" s="123"/>
      <c r="BB344" s="123"/>
      <c r="BC344" s="123"/>
    </row>
    <row r="345" spans="44:55">
      <c r="AR345" s="123"/>
      <c r="AS345" s="123"/>
      <c r="AT345" s="123"/>
      <c r="AU345" s="123"/>
      <c r="AV345" s="123"/>
      <c r="AW345" s="123"/>
      <c r="AX345" s="123"/>
      <c r="AY345" s="123"/>
      <c r="AZ345" s="123"/>
      <c r="BA345" s="123"/>
      <c r="BB345" s="123"/>
      <c r="BC345" s="123"/>
    </row>
    <row r="346" spans="44:55">
      <c r="AR346" s="123"/>
      <c r="AS346" s="123"/>
      <c r="AT346" s="123"/>
      <c r="AU346" s="123"/>
      <c r="AV346" s="123"/>
      <c r="AW346" s="123"/>
      <c r="AX346" s="123"/>
      <c r="AY346" s="123"/>
      <c r="AZ346" s="123"/>
      <c r="BA346" s="123"/>
      <c r="BB346" s="123"/>
      <c r="BC346" s="123"/>
    </row>
    <row r="347" spans="44:55">
      <c r="AR347" s="123"/>
      <c r="AS347" s="123"/>
      <c r="AT347" s="123"/>
      <c r="AU347" s="123"/>
      <c r="AV347" s="123"/>
      <c r="AW347" s="123"/>
      <c r="AX347" s="123"/>
      <c r="AY347" s="123"/>
      <c r="AZ347" s="123"/>
      <c r="BA347" s="123"/>
      <c r="BB347" s="123"/>
      <c r="BC347" s="123"/>
    </row>
    <row r="348" spans="44:55">
      <c r="AR348" s="123"/>
      <c r="AS348" s="123"/>
      <c r="AT348" s="123"/>
      <c r="AU348" s="123"/>
      <c r="AV348" s="123"/>
      <c r="AW348" s="123"/>
      <c r="AX348" s="123"/>
      <c r="AY348" s="123"/>
      <c r="AZ348" s="123"/>
      <c r="BA348" s="123"/>
      <c r="BB348" s="123"/>
      <c r="BC348" s="123"/>
    </row>
    <row r="349" spans="44:55">
      <c r="AR349" s="123"/>
      <c r="AS349" s="123"/>
      <c r="AT349" s="123"/>
      <c r="AU349" s="123"/>
      <c r="AV349" s="123"/>
      <c r="AW349" s="123"/>
      <c r="AX349" s="123"/>
      <c r="AY349" s="123"/>
      <c r="AZ349" s="123"/>
      <c r="BA349" s="123"/>
      <c r="BB349" s="123"/>
      <c r="BC349" s="123"/>
    </row>
    <row r="350" spans="44:55">
      <c r="AR350" s="123"/>
      <c r="AS350" s="123"/>
      <c r="AT350" s="123"/>
      <c r="AU350" s="123"/>
      <c r="AV350" s="123"/>
      <c r="AW350" s="123"/>
      <c r="AX350" s="123"/>
      <c r="AY350" s="123"/>
      <c r="AZ350" s="123"/>
      <c r="BA350" s="123"/>
      <c r="BB350" s="123"/>
      <c r="BC350" s="123"/>
    </row>
    <row r="351" spans="44:55">
      <c r="AR351" s="123"/>
      <c r="AS351" s="123"/>
      <c r="AT351" s="123"/>
      <c r="AU351" s="123"/>
      <c r="AV351" s="123"/>
      <c r="AW351" s="123"/>
      <c r="AX351" s="123"/>
      <c r="AY351" s="123"/>
      <c r="AZ351" s="123"/>
      <c r="BA351" s="123"/>
      <c r="BB351" s="123"/>
      <c r="BC351" s="123"/>
    </row>
    <row r="352" spans="44:55">
      <c r="AR352" s="123"/>
      <c r="AS352" s="123"/>
      <c r="AT352" s="123"/>
      <c r="AU352" s="123"/>
      <c r="AV352" s="123"/>
      <c r="AW352" s="123"/>
      <c r="AX352" s="123"/>
      <c r="AY352" s="123"/>
      <c r="AZ352" s="123"/>
      <c r="BA352" s="123"/>
      <c r="BB352" s="123"/>
      <c r="BC352" s="123"/>
    </row>
    <row r="353" spans="44:55">
      <c r="AR353" s="123"/>
      <c r="AS353" s="123"/>
      <c r="AT353" s="123"/>
      <c r="AU353" s="123"/>
      <c r="AV353" s="123"/>
      <c r="AW353" s="123"/>
      <c r="AX353" s="123"/>
      <c r="AY353" s="123"/>
      <c r="AZ353" s="123"/>
      <c r="BA353" s="123"/>
      <c r="BB353" s="123"/>
      <c r="BC353" s="123"/>
    </row>
    <row r="354" spans="44:55">
      <c r="AR354" s="123"/>
      <c r="AS354" s="123"/>
      <c r="AT354" s="123"/>
      <c r="AU354" s="123"/>
      <c r="AV354" s="123"/>
      <c r="AW354" s="123"/>
      <c r="AX354" s="123"/>
      <c r="AY354" s="123"/>
      <c r="AZ354" s="123"/>
      <c r="BA354" s="123"/>
      <c r="BB354" s="123"/>
      <c r="BC354" s="123"/>
    </row>
    <row r="355" spans="44:55">
      <c r="AR355" s="123"/>
      <c r="AS355" s="123"/>
      <c r="AT355" s="123"/>
      <c r="AU355" s="123"/>
      <c r="AV355" s="123"/>
      <c r="AW355" s="123"/>
      <c r="AX355" s="123"/>
      <c r="AY355" s="123"/>
      <c r="AZ355" s="123"/>
      <c r="BA355" s="123"/>
      <c r="BB355" s="123"/>
      <c r="BC355" s="123"/>
    </row>
    <row r="356" spans="44:55">
      <c r="AR356" s="123"/>
      <c r="AS356" s="123"/>
      <c r="AT356" s="123"/>
      <c r="AU356" s="123"/>
      <c r="AV356" s="123"/>
      <c r="AW356" s="123"/>
      <c r="AX356" s="123"/>
      <c r="AY356" s="123"/>
      <c r="AZ356" s="123"/>
      <c r="BA356" s="123"/>
      <c r="BB356" s="123"/>
      <c r="BC356" s="123"/>
    </row>
    <row r="357" spans="44:55">
      <c r="AR357" s="123"/>
      <c r="AS357" s="123"/>
      <c r="AT357" s="123"/>
      <c r="AU357" s="123"/>
      <c r="AV357" s="123"/>
      <c r="AW357" s="123"/>
      <c r="AX357" s="123"/>
      <c r="AY357" s="123"/>
      <c r="AZ357" s="123"/>
      <c r="BA357" s="123"/>
      <c r="BB357" s="123"/>
      <c r="BC357" s="123"/>
    </row>
    <row r="358" spans="44:55">
      <c r="AR358" s="123"/>
      <c r="AS358" s="123"/>
      <c r="AT358" s="123"/>
      <c r="AU358" s="123"/>
      <c r="AV358" s="123"/>
      <c r="AW358" s="123"/>
      <c r="AX358" s="123"/>
      <c r="AY358" s="123"/>
      <c r="AZ358" s="123"/>
      <c r="BA358" s="123"/>
      <c r="BB358" s="123"/>
      <c r="BC358" s="123"/>
    </row>
    <row r="359" spans="44:55">
      <c r="AR359" s="123"/>
      <c r="AS359" s="123"/>
      <c r="AT359" s="123"/>
      <c r="AU359" s="123"/>
      <c r="AV359" s="123"/>
      <c r="AW359" s="123"/>
      <c r="AX359" s="123"/>
      <c r="AY359" s="123"/>
      <c r="AZ359" s="123"/>
      <c r="BA359" s="123"/>
      <c r="BB359" s="123"/>
      <c r="BC359" s="123"/>
    </row>
    <row r="360" spans="44:55">
      <c r="AR360" s="123"/>
      <c r="AS360" s="123"/>
      <c r="AT360" s="123"/>
      <c r="AU360" s="123"/>
      <c r="AV360" s="123"/>
      <c r="AW360" s="123"/>
      <c r="AX360" s="123"/>
      <c r="AY360" s="123"/>
      <c r="AZ360" s="123"/>
      <c r="BA360" s="123"/>
      <c r="BB360" s="123"/>
      <c r="BC360" s="123"/>
    </row>
    <row r="361" spans="44:55">
      <c r="AR361" s="123"/>
      <c r="AS361" s="123"/>
      <c r="AT361" s="123"/>
      <c r="AU361" s="123"/>
      <c r="AV361" s="123"/>
      <c r="AW361" s="123"/>
      <c r="AX361" s="123"/>
      <c r="AY361" s="123"/>
      <c r="AZ361" s="123"/>
      <c r="BA361" s="123"/>
      <c r="BB361" s="123"/>
      <c r="BC361" s="123"/>
    </row>
    <row r="362" spans="44:55">
      <c r="AR362" s="123"/>
      <c r="AS362" s="123"/>
      <c r="AT362" s="123"/>
      <c r="AU362" s="123"/>
      <c r="AV362" s="123"/>
      <c r="AW362" s="123"/>
      <c r="AX362" s="123"/>
      <c r="AY362" s="123"/>
      <c r="AZ362" s="123"/>
      <c r="BA362" s="123"/>
      <c r="BB362" s="123"/>
      <c r="BC362" s="123"/>
    </row>
    <row r="363" spans="44:55">
      <c r="AR363" s="123"/>
      <c r="AS363" s="123"/>
      <c r="AT363" s="123"/>
      <c r="AU363" s="123"/>
      <c r="AV363" s="123"/>
      <c r="AW363" s="123"/>
      <c r="AX363" s="123"/>
      <c r="AY363" s="123"/>
      <c r="AZ363" s="123"/>
      <c r="BA363" s="123"/>
      <c r="BB363" s="123"/>
      <c r="BC363" s="123"/>
    </row>
    <row r="364" spans="44:55">
      <c r="AR364" s="123"/>
      <c r="AS364" s="123"/>
      <c r="AT364" s="123"/>
      <c r="AU364" s="123"/>
      <c r="AV364" s="123"/>
      <c r="AW364" s="123"/>
      <c r="AX364" s="123"/>
      <c r="AY364" s="123"/>
      <c r="AZ364" s="123"/>
      <c r="BA364" s="123"/>
      <c r="BB364" s="123"/>
      <c r="BC364" s="123"/>
    </row>
    <row r="365" spans="44:55">
      <c r="AR365" s="123"/>
      <c r="AS365" s="123"/>
      <c r="AT365" s="123"/>
      <c r="AU365" s="123"/>
      <c r="AV365" s="123"/>
      <c r="AW365" s="123"/>
      <c r="AX365" s="123"/>
      <c r="AY365" s="123"/>
      <c r="AZ365" s="123"/>
      <c r="BA365" s="123"/>
      <c r="BB365" s="123"/>
      <c r="BC365" s="123"/>
    </row>
    <row r="366" spans="44:55">
      <c r="AR366" s="123"/>
      <c r="AS366" s="123"/>
      <c r="AT366" s="123"/>
      <c r="AU366" s="123"/>
      <c r="AV366" s="123"/>
      <c r="AW366" s="123"/>
      <c r="AX366" s="123"/>
      <c r="AY366" s="123"/>
      <c r="AZ366" s="123"/>
      <c r="BA366" s="123"/>
      <c r="BB366" s="123"/>
      <c r="BC366" s="123"/>
    </row>
    <row r="367" spans="44:55">
      <c r="AR367" s="123"/>
      <c r="AS367" s="123"/>
      <c r="AT367" s="123"/>
      <c r="AU367" s="123"/>
      <c r="AV367" s="123"/>
      <c r="AW367" s="123"/>
      <c r="AX367" s="123"/>
      <c r="AY367" s="123"/>
      <c r="AZ367" s="123"/>
      <c r="BA367" s="123"/>
      <c r="BB367" s="123"/>
      <c r="BC367" s="123"/>
    </row>
    <row r="368" spans="44:55">
      <c r="AR368" s="123"/>
      <c r="AS368" s="123"/>
      <c r="AT368" s="123"/>
      <c r="AU368" s="123"/>
      <c r="AV368" s="123"/>
      <c r="AW368" s="123"/>
      <c r="AX368" s="123"/>
      <c r="AY368" s="123"/>
      <c r="AZ368" s="123"/>
      <c r="BA368" s="123"/>
      <c r="BB368" s="123"/>
      <c r="BC368" s="123"/>
    </row>
    <row r="369" spans="44:55">
      <c r="AR369" s="123"/>
      <c r="AS369" s="123"/>
      <c r="AT369" s="123"/>
      <c r="AU369" s="123"/>
      <c r="AV369" s="123"/>
      <c r="AW369" s="123"/>
      <c r="AX369" s="123"/>
      <c r="AY369" s="123"/>
      <c r="AZ369" s="123"/>
      <c r="BA369" s="123"/>
      <c r="BB369" s="123"/>
      <c r="BC369" s="123"/>
    </row>
    <row r="370" spans="44:55">
      <c r="AR370" s="123"/>
      <c r="AS370" s="123"/>
      <c r="AT370" s="123"/>
      <c r="AU370" s="123"/>
      <c r="AV370" s="123"/>
      <c r="AW370" s="123"/>
      <c r="AX370" s="123"/>
      <c r="AY370" s="123"/>
      <c r="AZ370" s="123"/>
      <c r="BA370" s="123"/>
      <c r="BB370" s="123"/>
      <c r="BC370" s="123"/>
    </row>
    <row r="371" spans="44:55">
      <c r="AR371" s="123"/>
      <c r="AS371" s="123"/>
      <c r="AT371" s="123"/>
      <c r="AU371" s="123"/>
      <c r="AV371" s="123"/>
      <c r="AW371" s="123"/>
      <c r="AX371" s="123"/>
      <c r="AY371" s="123"/>
      <c r="AZ371" s="123"/>
      <c r="BA371" s="123"/>
      <c r="BB371" s="123"/>
      <c r="BC371" s="123"/>
    </row>
    <row r="372" spans="44:55">
      <c r="AR372" s="123"/>
      <c r="AS372" s="123"/>
      <c r="AT372" s="123"/>
      <c r="AU372" s="123"/>
      <c r="AV372" s="123"/>
      <c r="AW372" s="123"/>
      <c r="AX372" s="123"/>
      <c r="AY372" s="123"/>
      <c r="AZ372" s="123"/>
      <c r="BA372" s="123"/>
      <c r="BB372" s="123"/>
      <c r="BC372" s="123"/>
    </row>
    <row r="373" spans="44:55">
      <c r="AR373" s="123"/>
      <c r="AS373" s="123"/>
      <c r="AT373" s="123"/>
      <c r="AU373" s="123"/>
      <c r="AV373" s="123"/>
      <c r="AW373" s="123"/>
      <c r="AX373" s="123"/>
      <c r="AY373" s="123"/>
      <c r="AZ373" s="123"/>
      <c r="BA373" s="123"/>
      <c r="BB373" s="123"/>
      <c r="BC373" s="123"/>
    </row>
    <row r="374" spans="44:55">
      <c r="AR374" s="123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</row>
    <row r="375" spans="44:55">
      <c r="AR375" s="123"/>
      <c r="AS375" s="123"/>
      <c r="AT375" s="123"/>
      <c r="AU375" s="123"/>
      <c r="AV375" s="123"/>
      <c r="AW375" s="123"/>
      <c r="AX375" s="123"/>
      <c r="AY375" s="123"/>
      <c r="AZ375" s="123"/>
      <c r="BA375" s="123"/>
      <c r="BB375" s="123"/>
      <c r="BC375" s="123"/>
    </row>
    <row r="376" spans="44:55">
      <c r="AR376" s="123"/>
      <c r="AS376" s="123"/>
      <c r="AT376" s="123"/>
      <c r="AU376" s="123"/>
      <c r="AV376" s="123"/>
      <c r="AW376" s="123"/>
      <c r="AX376" s="123"/>
      <c r="AY376" s="123"/>
      <c r="AZ376" s="123"/>
      <c r="BA376" s="123"/>
      <c r="BB376" s="123"/>
      <c r="BC376" s="123"/>
    </row>
    <row r="377" spans="44:55">
      <c r="AR377" s="123"/>
      <c r="AS377" s="123"/>
      <c r="AT377" s="123"/>
      <c r="AU377" s="123"/>
      <c r="AV377" s="123"/>
      <c r="AW377" s="123"/>
      <c r="AX377" s="123"/>
      <c r="AY377" s="123"/>
      <c r="AZ377" s="123"/>
      <c r="BA377" s="123"/>
      <c r="BB377" s="123"/>
      <c r="BC377" s="123"/>
    </row>
    <row r="378" spans="44:55">
      <c r="AR378" s="123"/>
      <c r="AS378" s="123"/>
      <c r="AT378" s="123"/>
      <c r="AU378" s="123"/>
      <c r="AV378" s="123"/>
      <c r="AW378" s="123"/>
      <c r="AX378" s="123"/>
      <c r="AY378" s="123"/>
      <c r="AZ378" s="123"/>
      <c r="BA378" s="123"/>
      <c r="BB378" s="123"/>
      <c r="BC378" s="123"/>
    </row>
    <row r="379" spans="44:55">
      <c r="AR379" s="123"/>
      <c r="AS379" s="123"/>
      <c r="AT379" s="123"/>
      <c r="AU379" s="123"/>
      <c r="AV379" s="123"/>
      <c r="AW379" s="123"/>
      <c r="AX379" s="123"/>
      <c r="AY379" s="123"/>
      <c r="AZ379" s="123"/>
      <c r="BA379" s="123"/>
      <c r="BB379" s="123"/>
      <c r="BC379" s="123"/>
    </row>
    <row r="380" spans="44:55">
      <c r="AR380" s="123"/>
      <c r="AS380" s="123"/>
      <c r="AT380" s="123"/>
      <c r="AU380" s="123"/>
      <c r="AV380" s="123"/>
      <c r="AW380" s="123"/>
      <c r="AX380" s="123"/>
      <c r="AY380" s="123"/>
      <c r="AZ380" s="123"/>
      <c r="BA380" s="123"/>
      <c r="BB380" s="123"/>
      <c r="BC380" s="123"/>
    </row>
    <row r="381" spans="44:55">
      <c r="AR381" s="123"/>
      <c r="AS381" s="123"/>
      <c r="AT381" s="123"/>
      <c r="AU381" s="123"/>
      <c r="AV381" s="123"/>
      <c r="AW381" s="123"/>
      <c r="AX381" s="123"/>
      <c r="AY381" s="123"/>
      <c r="AZ381" s="123"/>
      <c r="BA381" s="123"/>
      <c r="BB381" s="123"/>
      <c r="BC381" s="123"/>
    </row>
    <row r="382" spans="44:55">
      <c r="AR382" s="123"/>
      <c r="AS382" s="123"/>
      <c r="AT382" s="123"/>
      <c r="AU382" s="123"/>
      <c r="AV382" s="123"/>
      <c r="AW382" s="123"/>
      <c r="AX382" s="123"/>
      <c r="AY382" s="123"/>
      <c r="AZ382" s="123"/>
      <c r="BA382" s="123"/>
      <c r="BB382" s="123"/>
      <c r="BC382" s="123"/>
    </row>
    <row r="383" spans="44:55">
      <c r="AR383" s="123"/>
      <c r="AS383" s="123"/>
      <c r="AT383" s="123"/>
      <c r="AU383" s="123"/>
      <c r="AV383" s="123"/>
      <c r="AW383" s="123"/>
      <c r="AX383" s="123"/>
      <c r="AY383" s="123"/>
      <c r="AZ383" s="123"/>
      <c r="BA383" s="123"/>
      <c r="BB383" s="123"/>
      <c r="BC383" s="123"/>
    </row>
    <row r="384" spans="44:55">
      <c r="AR384" s="123"/>
      <c r="AS384" s="123"/>
      <c r="AT384" s="123"/>
      <c r="AU384" s="123"/>
      <c r="AV384" s="123"/>
      <c r="AW384" s="123"/>
      <c r="AX384" s="123"/>
      <c r="AY384" s="123"/>
      <c r="AZ384" s="123"/>
      <c r="BA384" s="123"/>
      <c r="BB384" s="123"/>
      <c r="BC384" s="123"/>
    </row>
    <row r="385" spans="44:55">
      <c r="AR385" s="123"/>
      <c r="AS385" s="123"/>
      <c r="AT385" s="123"/>
      <c r="AU385" s="123"/>
      <c r="AV385" s="123"/>
      <c r="AW385" s="123"/>
      <c r="AX385" s="123"/>
      <c r="AY385" s="123"/>
      <c r="AZ385" s="123"/>
      <c r="BA385" s="123"/>
      <c r="BB385" s="123"/>
      <c r="BC385" s="123"/>
    </row>
    <row r="386" spans="44:55">
      <c r="AR386" s="123"/>
      <c r="AS386" s="123"/>
      <c r="AT386" s="123"/>
      <c r="AU386" s="123"/>
      <c r="AV386" s="123"/>
      <c r="AW386" s="123"/>
      <c r="AX386" s="123"/>
      <c r="AY386" s="123"/>
      <c r="AZ386" s="123"/>
      <c r="BA386" s="123"/>
      <c r="BB386" s="123"/>
      <c r="BC386" s="123"/>
    </row>
    <row r="387" spans="44:55">
      <c r="AR387" s="123"/>
      <c r="AS387" s="123"/>
      <c r="AT387" s="123"/>
      <c r="AU387" s="123"/>
      <c r="AV387" s="123"/>
      <c r="AW387" s="123"/>
      <c r="AX387" s="123"/>
      <c r="AY387" s="123"/>
      <c r="AZ387" s="123"/>
      <c r="BA387" s="123"/>
      <c r="BB387" s="123"/>
      <c r="BC387" s="123"/>
    </row>
    <row r="388" spans="44:55">
      <c r="AR388" s="123"/>
      <c r="AS388" s="123"/>
      <c r="AT388" s="123"/>
      <c r="AU388" s="123"/>
      <c r="AV388" s="123"/>
      <c r="AW388" s="123"/>
      <c r="AX388" s="123"/>
      <c r="AY388" s="123"/>
      <c r="AZ388" s="123"/>
      <c r="BA388" s="123"/>
      <c r="BB388" s="123"/>
      <c r="BC388" s="123"/>
    </row>
    <row r="389" spans="44:55">
      <c r="AR389" s="123"/>
      <c r="AS389" s="123"/>
      <c r="AT389" s="123"/>
      <c r="AU389" s="123"/>
      <c r="AV389" s="123"/>
      <c r="AW389" s="123"/>
      <c r="AX389" s="123"/>
      <c r="AY389" s="123"/>
      <c r="AZ389" s="123"/>
      <c r="BA389" s="123"/>
      <c r="BB389" s="123"/>
      <c r="BC389" s="123"/>
    </row>
    <row r="390" spans="44:55">
      <c r="AR390" s="123"/>
      <c r="AS390" s="123"/>
      <c r="AT390" s="123"/>
      <c r="AU390" s="123"/>
      <c r="AV390" s="123"/>
      <c r="AW390" s="123"/>
      <c r="AX390" s="123"/>
      <c r="AY390" s="123"/>
      <c r="AZ390" s="123"/>
      <c r="BA390" s="123"/>
      <c r="BB390" s="123"/>
      <c r="BC390" s="123"/>
    </row>
    <row r="391" spans="44:55">
      <c r="AR391" s="123"/>
      <c r="AS391" s="123"/>
      <c r="AT391" s="123"/>
      <c r="AU391" s="123"/>
      <c r="AV391" s="123"/>
      <c r="AW391" s="123"/>
      <c r="AX391" s="123"/>
      <c r="AY391" s="123"/>
      <c r="AZ391" s="123"/>
      <c r="BA391" s="123"/>
      <c r="BB391" s="123"/>
      <c r="BC391" s="123"/>
    </row>
    <row r="392" spans="44:55">
      <c r="AR392" s="123"/>
      <c r="AS392" s="123"/>
      <c r="AT392" s="123"/>
      <c r="AU392" s="123"/>
      <c r="AV392" s="123"/>
      <c r="AW392" s="123"/>
      <c r="AX392" s="123"/>
      <c r="AY392" s="123"/>
      <c r="AZ392" s="123"/>
      <c r="BA392" s="123"/>
      <c r="BB392" s="123"/>
      <c r="BC392" s="123"/>
    </row>
    <row r="393" spans="44:55">
      <c r="AR393" s="123"/>
      <c r="AS393" s="123"/>
      <c r="AT393" s="123"/>
      <c r="AU393" s="123"/>
      <c r="AV393" s="123"/>
      <c r="AW393" s="123"/>
      <c r="AX393" s="123"/>
      <c r="AY393" s="123"/>
      <c r="AZ393" s="123"/>
      <c r="BA393" s="123"/>
      <c r="BB393" s="123"/>
      <c r="BC393" s="123"/>
    </row>
    <row r="394" spans="44:55">
      <c r="AR394" s="123"/>
      <c r="AS394" s="123"/>
      <c r="AT394" s="123"/>
      <c r="AU394" s="123"/>
      <c r="AV394" s="123"/>
      <c r="AW394" s="123"/>
      <c r="AX394" s="123"/>
      <c r="AY394" s="123"/>
      <c r="AZ394" s="123"/>
      <c r="BA394" s="123"/>
      <c r="BB394" s="123"/>
      <c r="BC394" s="123"/>
    </row>
    <row r="395" spans="44:55">
      <c r="AR395" s="123"/>
      <c r="AS395" s="123"/>
      <c r="AT395" s="123"/>
      <c r="AU395" s="123"/>
      <c r="AV395" s="123"/>
      <c r="AW395" s="123"/>
      <c r="AX395" s="123"/>
      <c r="AY395" s="123"/>
      <c r="AZ395" s="123"/>
      <c r="BA395" s="123"/>
      <c r="BB395" s="123"/>
      <c r="BC395" s="123"/>
    </row>
    <row r="396" spans="44:55">
      <c r="AR396" s="123"/>
      <c r="AS396" s="123"/>
      <c r="AT396" s="123"/>
      <c r="AU396" s="123"/>
      <c r="AV396" s="123"/>
      <c r="AW396" s="123"/>
      <c r="AX396" s="123"/>
      <c r="AY396" s="123"/>
      <c r="AZ396" s="123"/>
      <c r="BA396" s="123"/>
      <c r="BB396" s="123"/>
      <c r="BC396" s="123"/>
    </row>
    <row r="397" spans="44:55">
      <c r="AR397" s="123"/>
      <c r="AS397" s="123"/>
      <c r="AT397" s="123"/>
      <c r="AU397" s="123"/>
      <c r="AV397" s="123"/>
      <c r="AW397" s="123"/>
      <c r="AX397" s="123"/>
      <c r="AY397" s="123"/>
      <c r="AZ397" s="123"/>
      <c r="BA397" s="123"/>
      <c r="BB397" s="123"/>
      <c r="BC397" s="123"/>
    </row>
    <row r="398" spans="44:55">
      <c r="AR398" s="123"/>
      <c r="AS398" s="123"/>
      <c r="AT398" s="123"/>
      <c r="AU398" s="123"/>
      <c r="AV398" s="123"/>
      <c r="AW398" s="123"/>
      <c r="AX398" s="123"/>
      <c r="AY398" s="123"/>
      <c r="AZ398" s="123"/>
      <c r="BA398" s="123"/>
      <c r="BB398" s="123"/>
      <c r="BC398" s="123"/>
    </row>
    <row r="399" spans="44:55">
      <c r="AR399" s="123"/>
      <c r="AS399" s="123"/>
      <c r="AT399" s="123"/>
      <c r="AU399" s="123"/>
      <c r="AV399" s="123"/>
      <c r="AW399" s="123"/>
      <c r="AX399" s="123"/>
      <c r="AY399" s="123"/>
      <c r="AZ399" s="123"/>
      <c r="BA399" s="123"/>
      <c r="BB399" s="123"/>
      <c r="BC399" s="123"/>
    </row>
    <row r="400" spans="44:55">
      <c r="AR400" s="123"/>
      <c r="AS400" s="123"/>
      <c r="AT400" s="123"/>
      <c r="AU400" s="123"/>
      <c r="AV400" s="123"/>
      <c r="AW400" s="123"/>
      <c r="AX400" s="123"/>
      <c r="AY400" s="123"/>
      <c r="AZ400" s="123"/>
      <c r="BA400" s="123"/>
      <c r="BB400" s="123"/>
      <c r="BC400" s="123"/>
    </row>
    <row r="401" spans="44:55">
      <c r="AR401" s="123"/>
      <c r="AS401" s="123"/>
      <c r="AT401" s="123"/>
      <c r="AU401" s="123"/>
      <c r="AV401" s="123"/>
      <c r="AW401" s="123"/>
      <c r="AX401" s="123"/>
      <c r="AY401" s="123"/>
      <c r="AZ401" s="123"/>
      <c r="BA401" s="123"/>
      <c r="BB401" s="123"/>
      <c r="BC401" s="123"/>
    </row>
    <row r="402" spans="44:55">
      <c r="AR402" s="123"/>
      <c r="AS402" s="123"/>
      <c r="AT402" s="123"/>
      <c r="AU402" s="123"/>
      <c r="AV402" s="123"/>
      <c r="AW402" s="123"/>
      <c r="AX402" s="123"/>
      <c r="AY402" s="123"/>
      <c r="AZ402" s="123"/>
      <c r="BA402" s="123"/>
      <c r="BB402" s="123"/>
      <c r="BC402" s="123"/>
    </row>
    <row r="403" spans="44:55">
      <c r="AR403" s="123"/>
      <c r="AS403" s="123"/>
      <c r="AT403" s="123"/>
      <c r="AU403" s="123"/>
      <c r="AV403" s="123"/>
      <c r="AW403" s="123"/>
      <c r="AX403" s="123"/>
      <c r="AY403" s="123"/>
      <c r="AZ403" s="123"/>
      <c r="BA403" s="123"/>
      <c r="BB403" s="123"/>
      <c r="BC403" s="123"/>
    </row>
    <row r="404" spans="44:55">
      <c r="AR404" s="123"/>
      <c r="AS404" s="123"/>
      <c r="AT404" s="123"/>
      <c r="AU404" s="123"/>
      <c r="AV404" s="123"/>
      <c r="AW404" s="123"/>
      <c r="AX404" s="123"/>
      <c r="AY404" s="123"/>
      <c r="AZ404" s="123"/>
      <c r="BA404" s="123"/>
      <c r="BB404" s="123"/>
      <c r="BC404" s="123"/>
    </row>
    <row r="405" spans="44:55">
      <c r="AR405" s="123"/>
      <c r="AS405" s="123"/>
      <c r="AT405" s="123"/>
      <c r="AU405" s="123"/>
      <c r="AV405" s="123"/>
      <c r="AW405" s="123"/>
      <c r="AX405" s="123"/>
      <c r="AY405" s="123"/>
      <c r="AZ405" s="123"/>
      <c r="BA405" s="123"/>
      <c r="BB405" s="123"/>
      <c r="BC405" s="123"/>
    </row>
    <row r="406" spans="44:55">
      <c r="AR406" s="123"/>
      <c r="AS406" s="123"/>
      <c r="AT406" s="123"/>
      <c r="AU406" s="123"/>
      <c r="AV406" s="123"/>
      <c r="AW406" s="123"/>
      <c r="AX406" s="123"/>
      <c r="AY406" s="123"/>
      <c r="AZ406" s="123"/>
      <c r="BA406" s="123"/>
      <c r="BB406" s="123"/>
      <c r="BC406" s="123"/>
    </row>
    <row r="407" spans="44:55">
      <c r="AR407" s="123"/>
      <c r="AS407" s="123"/>
      <c r="AT407" s="123"/>
      <c r="AU407" s="123"/>
      <c r="AV407" s="123"/>
      <c r="AW407" s="123"/>
      <c r="AX407" s="123"/>
      <c r="AY407" s="123"/>
      <c r="AZ407" s="123"/>
      <c r="BA407" s="123"/>
      <c r="BB407" s="123"/>
      <c r="BC407" s="123"/>
    </row>
    <row r="408" spans="44:55">
      <c r="AR408" s="123"/>
      <c r="AS408" s="123"/>
      <c r="AT408" s="123"/>
      <c r="AU408" s="123"/>
      <c r="AV408" s="123"/>
      <c r="AW408" s="123"/>
      <c r="AX408" s="123"/>
      <c r="AY408" s="123"/>
      <c r="AZ408" s="123"/>
      <c r="BA408" s="123"/>
      <c r="BB408" s="123"/>
      <c r="BC408" s="123"/>
    </row>
    <row r="409" spans="44:55">
      <c r="AR409" s="123"/>
      <c r="AS409" s="123"/>
      <c r="AT409" s="123"/>
      <c r="AU409" s="123"/>
      <c r="AV409" s="123"/>
      <c r="AW409" s="123"/>
      <c r="AX409" s="123"/>
      <c r="AY409" s="123"/>
      <c r="AZ409" s="123"/>
      <c r="BA409" s="123"/>
      <c r="BB409" s="123"/>
      <c r="BC409" s="123"/>
    </row>
    <row r="410" spans="44:55">
      <c r="AR410" s="123"/>
      <c r="AS410" s="123"/>
      <c r="AT410" s="123"/>
      <c r="AU410" s="123"/>
      <c r="AV410" s="123"/>
      <c r="AW410" s="123"/>
      <c r="AX410" s="123"/>
      <c r="AY410" s="123"/>
      <c r="AZ410" s="123"/>
      <c r="BA410" s="123"/>
      <c r="BB410" s="123"/>
      <c r="BC410" s="123"/>
    </row>
    <row r="411" spans="44:55">
      <c r="AR411" s="123"/>
      <c r="AS411" s="123"/>
      <c r="AT411" s="123"/>
      <c r="AU411" s="123"/>
      <c r="AV411" s="123"/>
      <c r="AW411" s="123"/>
      <c r="AX411" s="123"/>
      <c r="AY411" s="123"/>
      <c r="AZ411" s="123"/>
      <c r="BA411" s="123"/>
      <c r="BB411" s="123"/>
      <c r="BC411" s="123"/>
    </row>
    <row r="412" spans="44:55">
      <c r="AR412" s="123"/>
      <c r="AS412" s="123"/>
      <c r="AT412" s="123"/>
      <c r="AU412" s="123"/>
      <c r="AV412" s="123"/>
      <c r="AW412" s="123"/>
      <c r="AX412" s="123"/>
      <c r="AY412" s="123"/>
      <c r="AZ412" s="123"/>
      <c r="BA412" s="123"/>
      <c r="BB412" s="123"/>
      <c r="BC412" s="123"/>
    </row>
    <row r="413" spans="44:55">
      <c r="AR413" s="123"/>
      <c r="AS413" s="123"/>
      <c r="AT413" s="123"/>
      <c r="AU413" s="123"/>
      <c r="AV413" s="123"/>
      <c r="AW413" s="123"/>
      <c r="AX413" s="123"/>
      <c r="AY413" s="123"/>
      <c r="AZ413" s="123"/>
      <c r="BA413" s="123"/>
      <c r="BB413" s="123"/>
      <c r="BC413" s="123"/>
    </row>
    <row r="414" spans="44:55">
      <c r="AR414" s="123"/>
      <c r="AS414" s="123"/>
      <c r="AT414" s="123"/>
      <c r="AU414" s="123"/>
      <c r="AV414" s="123"/>
      <c r="AW414" s="123"/>
      <c r="AX414" s="123"/>
      <c r="AY414" s="123"/>
      <c r="AZ414" s="123"/>
      <c r="BA414" s="123"/>
      <c r="BB414" s="123"/>
      <c r="BC414" s="123"/>
    </row>
    <row r="415" spans="44:55">
      <c r="AR415" s="123"/>
      <c r="AS415" s="123"/>
      <c r="AT415" s="123"/>
      <c r="AU415" s="123"/>
      <c r="AV415" s="123"/>
      <c r="AW415" s="123"/>
      <c r="AX415" s="123"/>
      <c r="AY415" s="123"/>
      <c r="AZ415" s="123"/>
      <c r="BA415" s="123"/>
      <c r="BB415" s="123"/>
      <c r="BC415" s="123"/>
    </row>
    <row r="416" spans="44:55">
      <c r="AR416" s="123"/>
      <c r="AS416" s="123"/>
      <c r="AT416" s="123"/>
      <c r="AU416" s="123"/>
      <c r="AV416" s="123"/>
      <c r="AW416" s="123"/>
      <c r="AX416" s="123"/>
      <c r="AY416" s="123"/>
      <c r="AZ416" s="123"/>
      <c r="BA416" s="123"/>
      <c r="BB416" s="123"/>
      <c r="BC416" s="123"/>
    </row>
    <row r="417" spans="44:55">
      <c r="AR417" s="123"/>
      <c r="AS417" s="123"/>
      <c r="AT417" s="123"/>
      <c r="AU417" s="123"/>
      <c r="AV417" s="123"/>
      <c r="AW417" s="123"/>
      <c r="AX417" s="123"/>
      <c r="AY417" s="123"/>
      <c r="AZ417" s="123"/>
      <c r="BA417" s="123"/>
      <c r="BB417" s="123"/>
      <c r="BC417" s="123"/>
    </row>
    <row r="418" spans="44:55">
      <c r="AR418" s="123"/>
      <c r="AS418" s="123"/>
      <c r="AT418" s="123"/>
      <c r="AU418" s="123"/>
      <c r="AV418" s="123"/>
      <c r="AW418" s="123"/>
      <c r="AX418" s="123"/>
      <c r="AY418" s="123"/>
      <c r="AZ418" s="123"/>
      <c r="BA418" s="123"/>
      <c r="BB418" s="123"/>
      <c r="BC418" s="123"/>
    </row>
    <row r="419" spans="44:55">
      <c r="AR419" s="123"/>
      <c r="AS419" s="123"/>
      <c r="AT419" s="123"/>
      <c r="AU419" s="123"/>
      <c r="AV419" s="123"/>
      <c r="AW419" s="123"/>
      <c r="AX419" s="123"/>
      <c r="AY419" s="123"/>
      <c r="AZ419" s="123"/>
      <c r="BA419" s="123"/>
      <c r="BB419" s="123"/>
      <c r="BC419" s="123"/>
    </row>
    <row r="420" spans="44:55">
      <c r="AR420" s="123"/>
      <c r="AS420" s="123"/>
      <c r="AT420" s="123"/>
      <c r="AU420" s="123"/>
      <c r="AV420" s="123"/>
      <c r="AW420" s="123"/>
      <c r="AX420" s="123"/>
      <c r="AY420" s="123"/>
      <c r="AZ420" s="123"/>
      <c r="BA420" s="123"/>
      <c r="BB420" s="123"/>
      <c r="BC420" s="123"/>
    </row>
    <row r="421" spans="44:55">
      <c r="AR421" s="123"/>
      <c r="AS421" s="123"/>
      <c r="AT421" s="123"/>
      <c r="AU421" s="123"/>
      <c r="AV421" s="123"/>
      <c r="AW421" s="123"/>
      <c r="AX421" s="123"/>
      <c r="AY421" s="123"/>
      <c r="AZ421" s="123"/>
      <c r="BA421" s="123"/>
      <c r="BB421" s="123"/>
      <c r="BC421" s="123"/>
    </row>
    <row r="422" spans="44:55">
      <c r="AR422" s="123"/>
      <c r="AS422" s="123"/>
      <c r="AT422" s="123"/>
      <c r="AU422" s="123"/>
      <c r="AV422" s="123"/>
      <c r="AW422" s="123"/>
      <c r="AX422" s="123"/>
      <c r="AY422" s="123"/>
      <c r="AZ422" s="123"/>
      <c r="BA422" s="123"/>
      <c r="BB422" s="123"/>
      <c r="BC422" s="123"/>
    </row>
    <row r="423" spans="44:55">
      <c r="AR423" s="123"/>
      <c r="AS423" s="123"/>
      <c r="AT423" s="123"/>
      <c r="AU423" s="123"/>
      <c r="AV423" s="123"/>
      <c r="AW423" s="123"/>
      <c r="AX423" s="123"/>
      <c r="AY423" s="123"/>
      <c r="AZ423" s="123"/>
      <c r="BA423" s="123"/>
      <c r="BB423" s="123"/>
      <c r="BC423" s="123"/>
    </row>
    <row r="424" spans="44:55">
      <c r="AR424" s="123"/>
      <c r="AS424" s="123"/>
      <c r="AT424" s="123"/>
      <c r="AU424" s="123"/>
      <c r="AV424" s="123"/>
      <c r="AW424" s="123"/>
      <c r="AX424" s="123"/>
      <c r="AY424" s="123"/>
      <c r="AZ424" s="123"/>
      <c r="BA424" s="123"/>
      <c r="BB424" s="123"/>
      <c r="BC424" s="123"/>
    </row>
    <row r="425" spans="44:55">
      <c r="AR425" s="123"/>
      <c r="AS425" s="123"/>
      <c r="AT425" s="123"/>
      <c r="AU425" s="123"/>
      <c r="AV425" s="123"/>
      <c r="AW425" s="123"/>
      <c r="AX425" s="123"/>
      <c r="AY425" s="123"/>
      <c r="AZ425" s="123"/>
      <c r="BA425" s="123"/>
      <c r="BB425" s="123"/>
      <c r="BC425" s="123"/>
    </row>
    <row r="426" spans="44:55">
      <c r="AR426" s="123"/>
      <c r="AS426" s="123"/>
      <c r="AT426" s="123"/>
      <c r="AU426" s="123"/>
      <c r="AV426" s="123"/>
      <c r="AW426" s="123"/>
      <c r="AX426" s="123"/>
      <c r="AY426" s="123"/>
      <c r="AZ426" s="123"/>
      <c r="BA426" s="123"/>
      <c r="BB426" s="123"/>
      <c r="BC426" s="123"/>
    </row>
    <row r="427" spans="44:55">
      <c r="AR427" s="123"/>
      <c r="AS427" s="123"/>
      <c r="AT427" s="123"/>
      <c r="AU427" s="123"/>
      <c r="AV427" s="123"/>
      <c r="AW427" s="123"/>
      <c r="AX427" s="123"/>
      <c r="AY427" s="123"/>
      <c r="AZ427" s="123"/>
      <c r="BA427" s="123"/>
      <c r="BB427" s="123"/>
      <c r="BC427" s="123"/>
    </row>
    <row r="428" spans="44:55">
      <c r="AR428" s="123"/>
      <c r="AS428" s="123"/>
      <c r="AT428" s="123"/>
      <c r="AU428" s="123"/>
      <c r="AV428" s="123"/>
      <c r="AW428" s="123"/>
      <c r="AX428" s="123"/>
      <c r="AY428" s="123"/>
      <c r="AZ428" s="123"/>
      <c r="BA428" s="123"/>
      <c r="BB428" s="123"/>
      <c r="BC428" s="123"/>
    </row>
    <row r="429" spans="44:55">
      <c r="AR429" s="123"/>
      <c r="AS429" s="123"/>
      <c r="AT429" s="123"/>
      <c r="AU429" s="123"/>
      <c r="AV429" s="123"/>
      <c r="AW429" s="123"/>
      <c r="AX429" s="123"/>
      <c r="AY429" s="123"/>
      <c r="AZ429" s="123"/>
      <c r="BA429" s="123"/>
      <c r="BB429" s="123"/>
      <c r="BC429" s="123"/>
    </row>
    <row r="430" spans="44:55">
      <c r="AR430" s="123"/>
      <c r="AS430" s="123"/>
      <c r="AT430" s="123"/>
      <c r="AU430" s="123"/>
      <c r="AV430" s="123"/>
      <c r="AW430" s="123"/>
      <c r="AX430" s="123"/>
      <c r="AY430" s="123"/>
      <c r="AZ430" s="123"/>
      <c r="BA430" s="123"/>
      <c r="BB430" s="123"/>
      <c r="BC430" s="123"/>
    </row>
    <row r="431" spans="44:55">
      <c r="AR431" s="123"/>
      <c r="AS431" s="123"/>
      <c r="AT431" s="123"/>
      <c r="AU431" s="123"/>
      <c r="AV431" s="123"/>
      <c r="AW431" s="123"/>
      <c r="AX431" s="123"/>
      <c r="AY431" s="123"/>
      <c r="AZ431" s="123"/>
      <c r="BA431" s="123"/>
      <c r="BB431" s="123"/>
      <c r="BC431" s="123"/>
    </row>
    <row r="432" spans="44:55">
      <c r="AR432" s="123"/>
      <c r="AS432" s="123"/>
      <c r="AT432" s="123"/>
      <c r="AU432" s="123"/>
      <c r="AV432" s="123"/>
      <c r="AW432" s="123"/>
      <c r="AX432" s="123"/>
      <c r="AY432" s="123"/>
      <c r="AZ432" s="123"/>
      <c r="BA432" s="123"/>
      <c r="BB432" s="123"/>
      <c r="BC432" s="123"/>
    </row>
    <row r="433" spans="44:55">
      <c r="AR433" s="123"/>
      <c r="AS433" s="123"/>
      <c r="AT433" s="123"/>
      <c r="AU433" s="123"/>
      <c r="AV433" s="123"/>
      <c r="AW433" s="123"/>
      <c r="AX433" s="123"/>
      <c r="AY433" s="123"/>
      <c r="AZ433" s="123"/>
      <c r="BA433" s="123"/>
      <c r="BB433" s="123"/>
      <c r="BC433" s="123"/>
    </row>
    <row r="434" spans="44:55">
      <c r="AR434" s="123"/>
      <c r="AS434" s="123"/>
      <c r="AT434" s="123"/>
      <c r="AU434" s="123"/>
      <c r="AV434" s="123"/>
      <c r="AW434" s="123"/>
      <c r="AX434" s="123"/>
      <c r="AY434" s="123"/>
      <c r="AZ434" s="123"/>
      <c r="BA434" s="123"/>
      <c r="BB434" s="123"/>
      <c r="BC434" s="123"/>
    </row>
    <row r="435" spans="44:55">
      <c r="AR435" s="123"/>
      <c r="AS435" s="123"/>
      <c r="AT435" s="123"/>
      <c r="AU435" s="123"/>
      <c r="AV435" s="123"/>
      <c r="AW435" s="123"/>
      <c r="AX435" s="123"/>
      <c r="AY435" s="123"/>
      <c r="AZ435" s="123"/>
      <c r="BA435" s="123"/>
      <c r="BB435" s="123"/>
      <c r="BC435" s="123"/>
    </row>
    <row r="436" spans="44:55">
      <c r="AR436" s="123"/>
      <c r="AS436" s="123"/>
      <c r="AT436" s="123"/>
      <c r="AU436" s="123"/>
      <c r="AV436" s="123"/>
      <c r="AW436" s="123"/>
      <c r="AX436" s="123"/>
      <c r="AY436" s="123"/>
      <c r="AZ436" s="123"/>
      <c r="BA436" s="123"/>
      <c r="BB436" s="123"/>
      <c r="BC436" s="123"/>
    </row>
    <row r="437" spans="44:55">
      <c r="AR437" s="123"/>
      <c r="AS437" s="123"/>
      <c r="AT437" s="123"/>
      <c r="AU437" s="123"/>
      <c r="AV437" s="123"/>
      <c r="AW437" s="123"/>
      <c r="AX437" s="123"/>
      <c r="AY437" s="123"/>
      <c r="AZ437" s="123"/>
      <c r="BA437" s="123"/>
      <c r="BB437" s="123"/>
      <c r="BC437" s="123"/>
    </row>
    <row r="438" spans="44:55">
      <c r="AR438" s="123"/>
      <c r="AS438" s="123"/>
      <c r="AT438" s="123"/>
      <c r="AU438" s="123"/>
      <c r="AV438" s="123"/>
      <c r="AW438" s="123"/>
      <c r="AX438" s="123"/>
      <c r="AY438" s="123"/>
      <c r="AZ438" s="123"/>
      <c r="BA438" s="123"/>
      <c r="BB438" s="123"/>
      <c r="BC438" s="123"/>
    </row>
    <row r="439" spans="44:55">
      <c r="AR439" s="123"/>
      <c r="AS439" s="123"/>
      <c r="AT439" s="123"/>
      <c r="AU439" s="123"/>
      <c r="AV439" s="123"/>
      <c r="AW439" s="123"/>
      <c r="AX439" s="123"/>
      <c r="AY439" s="123"/>
      <c r="AZ439" s="123"/>
      <c r="BA439" s="123"/>
      <c r="BB439" s="123"/>
      <c r="BC439" s="123"/>
    </row>
    <row r="440" spans="44:55">
      <c r="AR440" s="123"/>
      <c r="AS440" s="123"/>
      <c r="AT440" s="123"/>
      <c r="AU440" s="123"/>
      <c r="AV440" s="123"/>
      <c r="AW440" s="123"/>
      <c r="AX440" s="123"/>
      <c r="AY440" s="123"/>
      <c r="AZ440" s="123"/>
      <c r="BA440" s="123"/>
      <c r="BB440" s="123"/>
      <c r="BC440" s="123"/>
    </row>
    <row r="441" spans="44:55">
      <c r="AR441" s="123"/>
      <c r="AS441" s="123"/>
      <c r="AT441" s="123"/>
      <c r="AU441" s="123"/>
      <c r="AV441" s="123"/>
      <c r="AW441" s="123"/>
      <c r="AX441" s="123"/>
      <c r="AY441" s="123"/>
      <c r="AZ441" s="123"/>
      <c r="BA441" s="123"/>
      <c r="BB441" s="123"/>
      <c r="BC441" s="123"/>
    </row>
    <row r="442" spans="44:55">
      <c r="AR442" s="123"/>
      <c r="AS442" s="123"/>
      <c r="AT442" s="123"/>
      <c r="AU442" s="123"/>
      <c r="AV442" s="123"/>
      <c r="AW442" s="123"/>
      <c r="AX442" s="123"/>
      <c r="AY442" s="123"/>
      <c r="AZ442" s="123"/>
      <c r="BA442" s="123"/>
      <c r="BB442" s="123"/>
      <c r="BC442" s="123"/>
    </row>
    <row r="443" spans="44:55">
      <c r="AR443" s="123"/>
      <c r="AS443" s="123"/>
      <c r="AT443" s="123"/>
      <c r="AU443" s="123"/>
      <c r="AV443" s="123"/>
      <c r="AW443" s="123"/>
      <c r="AX443" s="123"/>
      <c r="AY443" s="123"/>
      <c r="AZ443" s="123"/>
      <c r="BA443" s="123"/>
      <c r="BB443" s="123"/>
      <c r="BC443" s="123"/>
    </row>
    <row r="444" spans="44:55">
      <c r="AR444" s="123"/>
      <c r="AS444" s="123"/>
      <c r="AT444" s="123"/>
      <c r="AU444" s="123"/>
      <c r="AV444" s="123"/>
      <c r="AW444" s="123"/>
      <c r="AX444" s="123"/>
      <c r="AY444" s="123"/>
      <c r="AZ444" s="123"/>
      <c r="BA444" s="123"/>
      <c r="BB444" s="123"/>
      <c r="BC444" s="123"/>
    </row>
    <row r="445" spans="44:55">
      <c r="AR445" s="123"/>
      <c r="AS445" s="123"/>
      <c r="AT445" s="123"/>
      <c r="AU445" s="123"/>
      <c r="AV445" s="123"/>
      <c r="AW445" s="123"/>
      <c r="AX445" s="123"/>
      <c r="AY445" s="123"/>
      <c r="AZ445" s="123"/>
      <c r="BA445" s="123"/>
      <c r="BB445" s="123"/>
      <c r="BC445" s="123"/>
    </row>
    <row r="446" spans="44:55">
      <c r="AR446" s="123"/>
      <c r="AS446" s="123"/>
      <c r="AT446" s="123"/>
      <c r="AU446" s="123"/>
      <c r="AV446" s="123"/>
      <c r="AW446" s="123"/>
      <c r="AX446" s="123"/>
      <c r="AY446" s="123"/>
      <c r="AZ446" s="123"/>
      <c r="BA446" s="123"/>
      <c r="BB446" s="123"/>
      <c r="BC446" s="123"/>
    </row>
    <row r="447" spans="44:55">
      <c r="AR447" s="123"/>
      <c r="AS447" s="123"/>
      <c r="AT447" s="123"/>
      <c r="AU447" s="123"/>
      <c r="AV447" s="123"/>
      <c r="AW447" s="123"/>
      <c r="AX447" s="123"/>
      <c r="AY447" s="123"/>
      <c r="AZ447" s="123"/>
      <c r="BA447" s="123"/>
      <c r="BB447" s="123"/>
      <c r="BC447" s="123"/>
    </row>
    <row r="448" spans="44:55">
      <c r="AR448" s="123"/>
      <c r="AS448" s="123"/>
      <c r="AT448" s="123"/>
      <c r="AU448" s="123"/>
      <c r="AV448" s="123"/>
      <c r="AW448" s="123"/>
      <c r="AX448" s="123"/>
      <c r="AY448" s="123"/>
      <c r="AZ448" s="123"/>
      <c r="BA448" s="123"/>
      <c r="BB448" s="123"/>
      <c r="BC448" s="123"/>
    </row>
    <row r="449" spans="44:55">
      <c r="AR449" s="123"/>
      <c r="AS449" s="123"/>
      <c r="AT449" s="123"/>
      <c r="AU449" s="123"/>
      <c r="AV449" s="123"/>
      <c r="AW449" s="123"/>
      <c r="AX449" s="123"/>
      <c r="AY449" s="123"/>
      <c r="AZ449" s="123"/>
      <c r="BA449" s="123"/>
      <c r="BB449" s="123"/>
      <c r="BC449" s="123"/>
    </row>
    <row r="450" spans="44:55">
      <c r="AR450" s="123"/>
      <c r="AS450" s="123"/>
      <c r="AT450" s="123"/>
      <c r="AU450" s="123"/>
      <c r="AV450" s="123"/>
      <c r="AW450" s="123"/>
      <c r="AX450" s="123"/>
      <c r="AY450" s="123"/>
      <c r="AZ450" s="123"/>
      <c r="BA450" s="123"/>
      <c r="BB450" s="123"/>
      <c r="BC450" s="123"/>
    </row>
    <row r="451" spans="44:55">
      <c r="AR451" s="123"/>
      <c r="AS451" s="123"/>
      <c r="AT451" s="123"/>
      <c r="AU451" s="123"/>
      <c r="AV451" s="123"/>
      <c r="AW451" s="123"/>
      <c r="AX451" s="123"/>
      <c r="AY451" s="123"/>
      <c r="AZ451" s="123"/>
      <c r="BA451" s="123"/>
      <c r="BB451" s="123"/>
      <c r="BC451" s="123"/>
    </row>
    <row r="452" spans="44:55">
      <c r="AR452" s="123"/>
      <c r="AS452" s="123"/>
      <c r="AT452" s="123"/>
      <c r="AU452" s="123"/>
      <c r="AV452" s="123"/>
      <c r="AW452" s="123"/>
      <c r="AX452" s="123"/>
      <c r="AY452" s="123"/>
      <c r="AZ452" s="123"/>
      <c r="BA452" s="123"/>
      <c r="BB452" s="123"/>
      <c r="BC452" s="123"/>
    </row>
    <row r="453" spans="44:55">
      <c r="AR453" s="123"/>
      <c r="AS453" s="123"/>
      <c r="AT453" s="123"/>
      <c r="AU453" s="123"/>
      <c r="AV453" s="123"/>
      <c r="AW453" s="123"/>
      <c r="AX453" s="123"/>
      <c r="AY453" s="123"/>
      <c r="AZ453" s="123"/>
      <c r="BA453" s="123"/>
      <c r="BB453" s="123"/>
      <c r="BC453" s="123"/>
    </row>
    <row r="454" spans="44:55">
      <c r="AR454" s="123"/>
      <c r="AS454" s="123"/>
      <c r="AT454" s="123"/>
      <c r="AU454" s="123"/>
      <c r="AV454" s="123"/>
      <c r="AW454" s="123"/>
      <c r="AX454" s="123"/>
      <c r="AY454" s="123"/>
      <c r="AZ454" s="123"/>
      <c r="BA454" s="123"/>
      <c r="BB454" s="123"/>
      <c r="BC454" s="123"/>
    </row>
    <row r="455" spans="44:55">
      <c r="AR455" s="123"/>
      <c r="AS455" s="123"/>
      <c r="AT455" s="123"/>
      <c r="AU455" s="123"/>
      <c r="AV455" s="123"/>
      <c r="AW455" s="123"/>
      <c r="AX455" s="123"/>
      <c r="AY455" s="123"/>
      <c r="AZ455" s="123"/>
      <c r="BA455" s="123"/>
      <c r="BB455" s="123"/>
      <c r="BC455" s="123"/>
    </row>
    <row r="456" spans="44:55">
      <c r="AR456" s="123"/>
      <c r="AS456" s="123"/>
      <c r="AT456" s="123"/>
      <c r="AU456" s="123"/>
      <c r="AV456" s="123"/>
      <c r="AW456" s="123"/>
      <c r="AX456" s="123"/>
      <c r="AY456" s="123"/>
      <c r="AZ456" s="123"/>
      <c r="BA456" s="123"/>
      <c r="BB456" s="123"/>
      <c r="BC456" s="123"/>
    </row>
    <row r="457" spans="44:55">
      <c r="AR457" s="123"/>
      <c r="AS457" s="123"/>
      <c r="AT457" s="123"/>
      <c r="AU457" s="123"/>
      <c r="AV457" s="123"/>
      <c r="AW457" s="123"/>
      <c r="AX457" s="123"/>
      <c r="AY457" s="123"/>
      <c r="AZ457" s="123"/>
      <c r="BA457" s="123"/>
      <c r="BB457" s="123"/>
      <c r="BC457" s="123"/>
    </row>
    <row r="458" spans="44:55">
      <c r="AR458" s="123"/>
      <c r="AS458" s="123"/>
      <c r="AT458" s="123"/>
      <c r="AU458" s="123"/>
      <c r="AV458" s="123"/>
      <c r="AW458" s="123"/>
      <c r="AX458" s="123"/>
      <c r="AY458" s="123"/>
      <c r="AZ458" s="123"/>
      <c r="BA458" s="123"/>
      <c r="BB458" s="123"/>
      <c r="BC458" s="123"/>
    </row>
    <row r="459" spans="44:55">
      <c r="AR459" s="123"/>
      <c r="AS459" s="123"/>
      <c r="AT459" s="123"/>
      <c r="AU459" s="123"/>
      <c r="AV459" s="123"/>
      <c r="AW459" s="123"/>
      <c r="AX459" s="123"/>
      <c r="AY459" s="123"/>
      <c r="AZ459" s="123"/>
      <c r="BA459" s="123"/>
      <c r="BB459" s="123"/>
      <c r="BC459" s="123"/>
    </row>
    <row r="460" spans="44:55">
      <c r="AR460" s="123"/>
      <c r="AS460" s="123"/>
      <c r="AT460" s="123"/>
      <c r="AU460" s="123"/>
      <c r="AV460" s="123"/>
      <c r="AW460" s="123"/>
      <c r="AX460" s="123"/>
      <c r="AY460" s="123"/>
      <c r="AZ460" s="123"/>
      <c r="BA460" s="123"/>
      <c r="BB460" s="123"/>
      <c r="BC460" s="123"/>
    </row>
    <row r="461" spans="44:55">
      <c r="AR461" s="123"/>
      <c r="AS461" s="123"/>
      <c r="AT461" s="123"/>
      <c r="AU461" s="123"/>
      <c r="AV461" s="123"/>
      <c r="AW461" s="123"/>
      <c r="AX461" s="123"/>
      <c r="AY461" s="123"/>
      <c r="AZ461" s="123"/>
      <c r="BA461" s="123"/>
      <c r="BB461" s="123"/>
      <c r="BC461" s="123"/>
    </row>
    <row r="462" spans="44:55">
      <c r="AR462" s="123"/>
      <c r="AS462" s="123"/>
      <c r="AT462" s="123"/>
      <c r="AU462" s="123"/>
      <c r="AV462" s="123"/>
      <c r="AW462" s="123"/>
      <c r="AX462" s="123"/>
      <c r="AY462" s="123"/>
      <c r="AZ462" s="123"/>
      <c r="BA462" s="123"/>
      <c r="BB462" s="123"/>
      <c r="BC462" s="123"/>
    </row>
    <row r="463" spans="44:55">
      <c r="AR463" s="123"/>
      <c r="AS463" s="123"/>
      <c r="AT463" s="123"/>
      <c r="AU463" s="123"/>
      <c r="AV463" s="123"/>
      <c r="AW463" s="123"/>
      <c r="AX463" s="123"/>
      <c r="AY463" s="123"/>
      <c r="AZ463" s="123"/>
      <c r="BA463" s="123"/>
      <c r="BB463" s="123"/>
      <c r="BC463" s="123"/>
    </row>
    <row r="464" spans="44:55">
      <c r="AR464" s="123"/>
      <c r="AS464" s="123"/>
      <c r="AT464" s="123"/>
      <c r="AU464" s="123"/>
      <c r="AV464" s="123"/>
      <c r="AW464" s="123"/>
      <c r="AX464" s="123"/>
      <c r="AY464" s="123"/>
      <c r="AZ464" s="123"/>
      <c r="BA464" s="123"/>
      <c r="BB464" s="123"/>
      <c r="BC464" s="123"/>
    </row>
    <row r="465" spans="44:55">
      <c r="AR465" s="123"/>
      <c r="AS465" s="123"/>
      <c r="AT465" s="123"/>
      <c r="AU465" s="123"/>
      <c r="AV465" s="123"/>
      <c r="AW465" s="123"/>
      <c r="AX465" s="123"/>
      <c r="AY465" s="123"/>
      <c r="AZ465" s="123"/>
      <c r="BA465" s="123"/>
      <c r="BB465" s="123"/>
      <c r="BC465" s="123"/>
    </row>
    <row r="466" spans="44:55">
      <c r="AR466" s="123"/>
      <c r="AS466" s="123"/>
      <c r="AT466" s="123"/>
      <c r="AU466" s="123"/>
      <c r="AV466" s="123"/>
      <c r="AW466" s="123"/>
      <c r="AX466" s="123"/>
      <c r="AY466" s="123"/>
      <c r="AZ466" s="123"/>
      <c r="BA466" s="123"/>
      <c r="BB466" s="123"/>
      <c r="BC466" s="123"/>
    </row>
    <row r="467" spans="44:55">
      <c r="AR467" s="123"/>
      <c r="AS467" s="123"/>
      <c r="AT467" s="123"/>
      <c r="AU467" s="123"/>
      <c r="AV467" s="123"/>
      <c r="AW467" s="123"/>
      <c r="AX467" s="123"/>
      <c r="AY467" s="123"/>
      <c r="AZ467" s="123"/>
      <c r="BA467" s="123"/>
      <c r="BB467" s="123"/>
      <c r="BC467" s="123"/>
    </row>
    <row r="468" spans="44:55">
      <c r="AR468" s="123"/>
      <c r="AS468" s="123"/>
      <c r="AT468" s="123"/>
      <c r="AU468" s="123"/>
      <c r="AV468" s="123"/>
      <c r="AW468" s="123"/>
      <c r="AX468" s="123"/>
      <c r="AY468" s="123"/>
      <c r="AZ468" s="123"/>
      <c r="BA468" s="123"/>
      <c r="BB468" s="123"/>
      <c r="BC468" s="123"/>
    </row>
    <row r="469" spans="44:55">
      <c r="AR469" s="123"/>
      <c r="AS469" s="123"/>
      <c r="AT469" s="123"/>
      <c r="AU469" s="123"/>
      <c r="AV469" s="123"/>
      <c r="AW469" s="123"/>
      <c r="AX469" s="123"/>
      <c r="AY469" s="123"/>
      <c r="AZ469" s="123"/>
      <c r="BA469" s="123"/>
      <c r="BB469" s="123"/>
      <c r="BC469" s="123"/>
    </row>
    <row r="470" spans="44:55">
      <c r="AR470" s="123"/>
      <c r="AS470" s="123"/>
      <c r="AT470" s="123"/>
      <c r="AU470" s="123"/>
      <c r="AV470" s="123"/>
      <c r="AW470" s="123"/>
      <c r="AX470" s="123"/>
      <c r="AY470" s="123"/>
      <c r="AZ470" s="123"/>
      <c r="BA470" s="123"/>
      <c r="BB470" s="123"/>
      <c r="BC470" s="123"/>
    </row>
    <row r="471" spans="44:55">
      <c r="AR471" s="123"/>
      <c r="AS471" s="123"/>
      <c r="AT471" s="123"/>
      <c r="AU471" s="123"/>
      <c r="AV471" s="123"/>
      <c r="AW471" s="123"/>
      <c r="AX471" s="123"/>
      <c r="AY471" s="123"/>
      <c r="AZ471" s="123"/>
      <c r="BA471" s="123"/>
      <c r="BB471" s="123"/>
      <c r="BC471" s="123"/>
    </row>
    <row r="472" spans="44:55">
      <c r="AR472" s="123"/>
      <c r="AS472" s="123"/>
      <c r="AT472" s="123"/>
      <c r="AU472" s="123"/>
      <c r="AV472" s="123"/>
      <c r="AW472" s="123"/>
      <c r="AX472" s="123"/>
      <c r="AY472" s="123"/>
      <c r="AZ472" s="123"/>
      <c r="BA472" s="123"/>
      <c r="BB472" s="123"/>
      <c r="BC472" s="123"/>
    </row>
    <row r="473" spans="44:55">
      <c r="AR473" s="123"/>
      <c r="AS473" s="123"/>
      <c r="AT473" s="123"/>
      <c r="AU473" s="123"/>
      <c r="AV473" s="123"/>
      <c r="AW473" s="123"/>
      <c r="AX473" s="123"/>
      <c r="AY473" s="123"/>
      <c r="AZ473" s="123"/>
      <c r="BA473" s="123"/>
      <c r="BB473" s="123"/>
      <c r="BC473" s="123"/>
    </row>
    <row r="474" spans="44:55">
      <c r="AR474" s="123"/>
      <c r="AS474" s="123"/>
      <c r="AT474" s="123"/>
      <c r="AU474" s="123"/>
      <c r="AV474" s="123"/>
      <c r="AW474" s="123"/>
      <c r="AX474" s="123"/>
      <c r="AY474" s="123"/>
      <c r="AZ474" s="123"/>
      <c r="BA474" s="123"/>
      <c r="BB474" s="123"/>
      <c r="BC474" s="123"/>
    </row>
    <row r="475" spans="44:55">
      <c r="AR475" s="123"/>
      <c r="AS475" s="123"/>
      <c r="AT475" s="123"/>
      <c r="AU475" s="123"/>
      <c r="AV475" s="123"/>
      <c r="AW475" s="123"/>
      <c r="AX475" s="123"/>
      <c r="AY475" s="123"/>
      <c r="AZ475" s="123"/>
      <c r="BA475" s="123"/>
      <c r="BB475" s="123"/>
      <c r="BC475" s="123"/>
    </row>
    <row r="476" spans="44:55">
      <c r="AR476" s="123"/>
      <c r="AS476" s="123"/>
      <c r="AT476" s="123"/>
      <c r="AU476" s="123"/>
      <c r="AV476" s="123"/>
      <c r="AW476" s="123"/>
      <c r="AX476" s="123"/>
      <c r="AY476" s="123"/>
      <c r="AZ476" s="123"/>
      <c r="BA476" s="123"/>
      <c r="BB476" s="123"/>
      <c r="BC476" s="123"/>
    </row>
    <row r="477" spans="44:55">
      <c r="AR477" s="123"/>
      <c r="AS477" s="123"/>
      <c r="AT477" s="123"/>
      <c r="AU477" s="123"/>
      <c r="AV477" s="123"/>
      <c r="AW477" s="123"/>
      <c r="AX477" s="123"/>
      <c r="AY477" s="123"/>
      <c r="AZ477" s="123"/>
      <c r="BA477" s="123"/>
      <c r="BB477" s="123"/>
      <c r="BC477" s="123"/>
    </row>
    <row r="478" spans="44:55">
      <c r="AR478" s="123"/>
      <c r="AS478" s="123"/>
      <c r="AT478" s="123"/>
      <c r="AU478" s="123"/>
      <c r="AV478" s="123"/>
      <c r="AW478" s="123"/>
      <c r="AX478" s="123"/>
      <c r="AY478" s="123"/>
      <c r="AZ478" s="123"/>
      <c r="BA478" s="123"/>
      <c r="BB478" s="123"/>
      <c r="BC478" s="123"/>
    </row>
    <row r="479" spans="44:55">
      <c r="AR479" s="123"/>
      <c r="AS479" s="123"/>
      <c r="AT479" s="123"/>
      <c r="AU479" s="123"/>
      <c r="AV479" s="123"/>
      <c r="AW479" s="123"/>
      <c r="AX479" s="123"/>
      <c r="AY479" s="123"/>
      <c r="AZ479" s="123"/>
      <c r="BA479" s="123"/>
      <c r="BB479" s="123"/>
      <c r="BC479" s="123"/>
    </row>
    <row r="480" spans="44:55">
      <c r="AR480" s="123"/>
      <c r="AS480" s="123"/>
      <c r="AT480" s="123"/>
      <c r="AU480" s="123"/>
      <c r="AV480" s="123"/>
      <c r="AW480" s="123"/>
      <c r="AX480" s="123"/>
      <c r="AY480" s="123"/>
      <c r="AZ480" s="123"/>
      <c r="BA480" s="123"/>
      <c r="BB480" s="123"/>
      <c r="BC480" s="123"/>
    </row>
    <row r="481" spans="44:55">
      <c r="AR481" s="123"/>
      <c r="AS481" s="123"/>
      <c r="AT481" s="123"/>
      <c r="AU481" s="123"/>
      <c r="AV481" s="123"/>
      <c r="AW481" s="123"/>
      <c r="AX481" s="123"/>
      <c r="AY481" s="123"/>
      <c r="AZ481" s="123"/>
      <c r="BA481" s="123"/>
      <c r="BB481" s="123"/>
      <c r="BC481" s="123"/>
    </row>
    <row r="482" spans="44:55">
      <c r="AR482" s="123"/>
      <c r="AS482" s="123"/>
      <c r="AT482" s="123"/>
      <c r="AU482" s="123"/>
      <c r="AV482" s="123"/>
      <c r="AW482" s="123"/>
      <c r="AX482" s="123"/>
      <c r="AY482" s="123"/>
      <c r="AZ482" s="123"/>
      <c r="BA482" s="123"/>
      <c r="BB482" s="123"/>
      <c r="BC482" s="123"/>
    </row>
    <row r="483" spans="44:55">
      <c r="AR483" s="123"/>
      <c r="AS483" s="123"/>
      <c r="AT483" s="123"/>
      <c r="AU483" s="123"/>
      <c r="AV483" s="123"/>
      <c r="AW483" s="123"/>
      <c r="AX483" s="123"/>
      <c r="AY483" s="123"/>
      <c r="AZ483" s="123"/>
      <c r="BA483" s="123"/>
      <c r="BB483" s="123"/>
      <c r="BC483" s="123"/>
    </row>
    <row r="484" spans="44:55">
      <c r="AR484" s="123"/>
      <c r="AS484" s="123"/>
      <c r="AT484" s="123"/>
      <c r="AU484" s="123"/>
      <c r="AV484" s="123"/>
      <c r="AW484" s="123"/>
      <c r="AX484" s="123"/>
      <c r="AY484" s="123"/>
      <c r="AZ484" s="123"/>
      <c r="BA484" s="123"/>
      <c r="BB484" s="123"/>
      <c r="BC484" s="123"/>
    </row>
    <row r="485" spans="44:55">
      <c r="AR485" s="123"/>
      <c r="AS485" s="123"/>
      <c r="AT485" s="123"/>
      <c r="AU485" s="123"/>
      <c r="AV485" s="123"/>
      <c r="AW485" s="123"/>
      <c r="AX485" s="123"/>
      <c r="AY485" s="123"/>
      <c r="AZ485" s="123"/>
      <c r="BA485" s="123"/>
      <c r="BB485" s="123"/>
      <c r="BC485" s="123"/>
    </row>
    <row r="486" spans="44:55">
      <c r="AR486" s="123"/>
      <c r="AS486" s="123"/>
      <c r="AT486" s="123"/>
      <c r="AU486" s="123"/>
      <c r="AV486" s="123"/>
      <c r="AW486" s="123"/>
      <c r="AX486" s="123"/>
      <c r="AY486" s="123"/>
      <c r="AZ486" s="123"/>
      <c r="BA486" s="123"/>
      <c r="BB486" s="123"/>
      <c r="BC486" s="123"/>
    </row>
    <row r="487" spans="44:55">
      <c r="AR487" s="123"/>
      <c r="AS487" s="123"/>
      <c r="AT487" s="123"/>
      <c r="AU487" s="123"/>
      <c r="AV487" s="123"/>
      <c r="AW487" s="123"/>
      <c r="AX487" s="123"/>
      <c r="AY487" s="123"/>
      <c r="AZ487" s="123"/>
      <c r="BA487" s="123"/>
      <c r="BB487" s="123"/>
      <c r="BC487" s="123"/>
    </row>
    <row r="488" spans="44:55">
      <c r="AR488" s="123"/>
      <c r="AS488" s="123"/>
      <c r="AT488" s="123"/>
      <c r="AU488" s="123"/>
      <c r="AV488" s="123"/>
      <c r="AW488" s="123"/>
      <c r="AX488" s="123"/>
      <c r="AY488" s="123"/>
      <c r="AZ488" s="123"/>
      <c r="BA488" s="123"/>
      <c r="BB488" s="123"/>
      <c r="BC488" s="123"/>
    </row>
    <row r="489" spans="44:55">
      <c r="AR489" s="123"/>
      <c r="AS489" s="123"/>
      <c r="AT489" s="123"/>
      <c r="AU489" s="123"/>
      <c r="AV489" s="123"/>
      <c r="AW489" s="123"/>
      <c r="AX489" s="123"/>
      <c r="AY489" s="123"/>
      <c r="AZ489" s="123"/>
      <c r="BA489" s="123"/>
      <c r="BB489" s="123"/>
      <c r="BC489" s="123"/>
    </row>
    <row r="490" spans="44:55">
      <c r="AR490" s="123"/>
      <c r="AS490" s="123"/>
      <c r="AT490" s="123"/>
      <c r="AU490" s="123"/>
      <c r="AV490" s="123"/>
      <c r="AW490" s="123"/>
      <c r="AX490" s="123"/>
      <c r="AY490" s="123"/>
      <c r="AZ490" s="123"/>
      <c r="BA490" s="123"/>
      <c r="BB490" s="123"/>
      <c r="BC490" s="123"/>
    </row>
    <row r="491" spans="44:55">
      <c r="AR491" s="123"/>
      <c r="AS491" s="123"/>
      <c r="AT491" s="123"/>
      <c r="AU491" s="123"/>
      <c r="AV491" s="123"/>
      <c r="AW491" s="123"/>
      <c r="AX491" s="123"/>
      <c r="AY491" s="123"/>
      <c r="AZ491" s="123"/>
      <c r="BA491" s="123"/>
      <c r="BB491" s="123"/>
      <c r="BC491" s="123"/>
    </row>
    <row r="492" spans="44:55">
      <c r="AR492" s="123"/>
      <c r="AS492" s="123"/>
      <c r="AT492" s="123"/>
      <c r="AU492" s="123"/>
      <c r="AV492" s="123"/>
      <c r="AW492" s="123"/>
      <c r="AX492" s="123"/>
      <c r="AY492" s="123"/>
      <c r="AZ492" s="123"/>
      <c r="BA492" s="123"/>
      <c r="BB492" s="123"/>
      <c r="BC492" s="123"/>
    </row>
    <row r="493" spans="44:55">
      <c r="AR493" s="123"/>
      <c r="AS493" s="123"/>
      <c r="AT493" s="123"/>
      <c r="AU493" s="123"/>
      <c r="AV493" s="123"/>
      <c r="AW493" s="123"/>
      <c r="AX493" s="123"/>
      <c r="AY493" s="123"/>
      <c r="AZ493" s="123"/>
      <c r="BA493" s="123"/>
      <c r="BB493" s="123"/>
      <c r="BC493" s="123"/>
    </row>
    <row r="494" spans="44:55">
      <c r="AR494" s="123"/>
      <c r="AS494" s="123"/>
      <c r="AT494" s="123"/>
      <c r="AU494" s="123"/>
      <c r="AV494" s="123"/>
      <c r="AW494" s="123"/>
      <c r="AX494" s="123"/>
      <c r="AY494" s="123"/>
      <c r="AZ494" s="123"/>
      <c r="BA494" s="123"/>
      <c r="BB494" s="123"/>
      <c r="BC494" s="123"/>
    </row>
    <row r="495" spans="44:55">
      <c r="AR495" s="123"/>
      <c r="AS495" s="123"/>
      <c r="AT495" s="123"/>
      <c r="AU495" s="123"/>
      <c r="AV495" s="123"/>
      <c r="AW495" s="123"/>
      <c r="AX495" s="123"/>
      <c r="AY495" s="123"/>
      <c r="AZ495" s="123"/>
      <c r="BA495" s="123"/>
      <c r="BB495" s="123"/>
      <c r="BC495" s="123"/>
    </row>
    <row r="496" spans="44:55">
      <c r="AR496" s="123"/>
      <c r="AS496" s="123"/>
      <c r="AT496" s="123"/>
      <c r="AU496" s="123"/>
      <c r="AV496" s="123"/>
      <c r="AW496" s="123"/>
      <c r="AX496" s="123"/>
      <c r="AY496" s="123"/>
      <c r="AZ496" s="123"/>
      <c r="BA496" s="123"/>
      <c r="BB496" s="123"/>
      <c r="BC496" s="123"/>
    </row>
    <row r="497" spans="44:55">
      <c r="AR497" s="123"/>
      <c r="AS497" s="123"/>
      <c r="AT497" s="123"/>
      <c r="AU497" s="123"/>
      <c r="AV497" s="123"/>
      <c r="AW497" s="123"/>
      <c r="AX497" s="123"/>
      <c r="AY497" s="123"/>
      <c r="AZ497" s="123"/>
      <c r="BA497" s="123"/>
      <c r="BB497" s="123"/>
      <c r="BC497" s="123"/>
    </row>
    <row r="498" spans="44:55">
      <c r="AR498" s="123"/>
      <c r="AS498" s="123"/>
      <c r="AT498" s="123"/>
      <c r="AU498" s="123"/>
      <c r="AV498" s="123"/>
      <c r="AW498" s="123"/>
      <c r="AX498" s="123"/>
      <c r="AY498" s="123"/>
      <c r="AZ498" s="123"/>
      <c r="BA498" s="123"/>
      <c r="BB498" s="123"/>
      <c r="BC498" s="123"/>
    </row>
    <row r="499" spans="44:55">
      <c r="AR499" s="123"/>
      <c r="AS499" s="123"/>
      <c r="AT499" s="123"/>
      <c r="AU499" s="123"/>
      <c r="AV499" s="123"/>
      <c r="AW499" s="123"/>
      <c r="AX499" s="123"/>
      <c r="AY499" s="123"/>
      <c r="AZ499" s="123"/>
      <c r="BA499" s="123"/>
      <c r="BB499" s="123"/>
      <c r="BC499" s="123"/>
    </row>
    <row r="500" spans="44:55">
      <c r="AR500" s="123"/>
      <c r="AS500" s="123"/>
      <c r="AT500" s="123"/>
      <c r="AU500" s="123"/>
      <c r="AV500" s="123"/>
      <c r="AW500" s="123"/>
      <c r="AX500" s="123"/>
      <c r="AY500" s="123"/>
      <c r="AZ500" s="123"/>
      <c r="BA500" s="123"/>
      <c r="BB500" s="123"/>
      <c r="BC500" s="123"/>
    </row>
    <row r="501" spans="44:55">
      <c r="AR501" s="123"/>
      <c r="AS501" s="123"/>
      <c r="AT501" s="123"/>
      <c r="AU501" s="123"/>
      <c r="AV501" s="123"/>
      <c r="AW501" s="123"/>
      <c r="AX501" s="123"/>
      <c r="AY501" s="123"/>
      <c r="AZ501" s="123"/>
      <c r="BA501" s="123"/>
      <c r="BB501" s="123"/>
      <c r="BC501" s="123"/>
    </row>
    <row r="502" spans="44:55">
      <c r="AR502" s="123"/>
      <c r="AS502" s="123"/>
      <c r="AT502" s="123"/>
      <c r="AU502" s="123"/>
      <c r="AV502" s="123"/>
      <c r="AW502" s="123"/>
      <c r="AX502" s="123"/>
      <c r="AY502" s="123"/>
      <c r="AZ502" s="123"/>
      <c r="BA502" s="123"/>
      <c r="BB502" s="123"/>
      <c r="BC502" s="123"/>
    </row>
    <row r="503" spans="44:55">
      <c r="AR503" s="123"/>
      <c r="AS503" s="123"/>
      <c r="AT503" s="123"/>
      <c r="AU503" s="123"/>
      <c r="AV503" s="123"/>
      <c r="AW503" s="123"/>
      <c r="AX503" s="123"/>
      <c r="AY503" s="123"/>
      <c r="AZ503" s="123"/>
      <c r="BA503" s="123"/>
      <c r="BB503" s="123"/>
      <c r="BC503" s="123"/>
    </row>
    <row r="504" spans="44:55">
      <c r="AR504" s="123"/>
      <c r="AS504" s="123"/>
      <c r="AT504" s="123"/>
      <c r="AU504" s="123"/>
      <c r="AV504" s="123"/>
      <c r="AW504" s="123"/>
      <c r="AX504" s="123"/>
      <c r="AY504" s="123"/>
      <c r="AZ504" s="123"/>
      <c r="BA504" s="123"/>
      <c r="BB504" s="123"/>
      <c r="BC504" s="123"/>
    </row>
    <row r="505" spans="44:55">
      <c r="AR505" s="123"/>
      <c r="AS505" s="123"/>
      <c r="AT505" s="123"/>
      <c r="AU505" s="123"/>
      <c r="AV505" s="123"/>
      <c r="AW505" s="123"/>
      <c r="AX505" s="123"/>
      <c r="AY505" s="123"/>
      <c r="AZ505" s="123"/>
      <c r="BA505" s="123"/>
      <c r="BB505" s="123"/>
      <c r="BC505" s="123"/>
    </row>
    <row r="506" spans="44:55">
      <c r="AR506" s="123"/>
      <c r="AS506" s="123"/>
      <c r="AT506" s="123"/>
      <c r="AU506" s="123"/>
      <c r="AV506" s="123"/>
      <c r="AW506" s="123"/>
      <c r="AX506" s="123"/>
      <c r="AY506" s="123"/>
      <c r="AZ506" s="123"/>
      <c r="BA506" s="123"/>
      <c r="BB506" s="123"/>
      <c r="BC506" s="123"/>
    </row>
    <row r="507" spans="44:55">
      <c r="AR507" s="123"/>
      <c r="AS507" s="123"/>
      <c r="AT507" s="123"/>
      <c r="AU507" s="123"/>
      <c r="AV507" s="123"/>
      <c r="AW507" s="123"/>
      <c r="AX507" s="123"/>
      <c r="AY507" s="123"/>
      <c r="AZ507" s="123"/>
      <c r="BA507" s="123"/>
      <c r="BB507" s="123"/>
      <c r="BC507" s="123"/>
    </row>
    <row r="508" spans="44:55">
      <c r="AR508" s="123"/>
      <c r="AS508" s="123"/>
      <c r="AT508" s="123"/>
      <c r="AU508" s="123"/>
      <c r="AV508" s="123"/>
      <c r="AW508" s="123"/>
      <c r="AX508" s="123"/>
      <c r="AY508" s="123"/>
      <c r="AZ508" s="123"/>
      <c r="BA508" s="123"/>
      <c r="BB508" s="123"/>
      <c r="BC508" s="123"/>
    </row>
    <row r="509" spans="44:55">
      <c r="AR509" s="123"/>
      <c r="AS509" s="123"/>
      <c r="AT509" s="123"/>
      <c r="AU509" s="123"/>
      <c r="AV509" s="123"/>
      <c r="AW509" s="123"/>
      <c r="AX509" s="123"/>
      <c r="AY509" s="123"/>
      <c r="AZ509" s="123"/>
      <c r="BA509" s="123"/>
      <c r="BB509" s="123"/>
      <c r="BC509" s="123"/>
    </row>
    <row r="510" spans="44:55">
      <c r="AR510" s="123"/>
      <c r="AS510" s="123"/>
      <c r="AT510" s="123"/>
      <c r="AU510" s="123"/>
      <c r="AV510" s="123"/>
      <c r="AW510" s="123"/>
      <c r="AX510" s="123"/>
      <c r="AY510" s="123"/>
      <c r="AZ510" s="123"/>
      <c r="BA510" s="123"/>
      <c r="BB510" s="123"/>
      <c r="BC510" s="123"/>
    </row>
    <row r="511" spans="44:55">
      <c r="AR511" s="123"/>
      <c r="AS511" s="123"/>
      <c r="AT511" s="123"/>
      <c r="AU511" s="123"/>
      <c r="AV511" s="123"/>
      <c r="AW511" s="123"/>
      <c r="AX511" s="123"/>
      <c r="AY511" s="123"/>
      <c r="AZ511" s="123"/>
      <c r="BA511" s="123"/>
      <c r="BB511" s="123"/>
      <c r="BC511" s="123"/>
    </row>
    <row r="512" spans="44:55">
      <c r="AR512" s="123"/>
      <c r="AS512" s="123"/>
      <c r="AT512" s="123"/>
      <c r="AU512" s="123"/>
      <c r="AV512" s="123"/>
      <c r="AW512" s="123"/>
      <c r="AX512" s="123"/>
      <c r="AY512" s="123"/>
      <c r="AZ512" s="123"/>
      <c r="BA512" s="123"/>
      <c r="BB512" s="123"/>
      <c r="BC512" s="123"/>
    </row>
    <row r="513" spans="44:55">
      <c r="AR513" s="123"/>
      <c r="AS513" s="123"/>
      <c r="AT513" s="123"/>
      <c r="AU513" s="123"/>
      <c r="AV513" s="123"/>
      <c r="AW513" s="123"/>
      <c r="AX513" s="123"/>
      <c r="AY513" s="123"/>
      <c r="AZ513" s="123"/>
      <c r="BA513" s="123"/>
      <c r="BB513" s="123"/>
      <c r="BC513" s="123"/>
    </row>
    <row r="514" spans="44:55">
      <c r="AR514" s="123"/>
      <c r="AS514" s="123"/>
      <c r="AT514" s="123"/>
      <c r="AU514" s="123"/>
      <c r="AV514" s="123"/>
      <c r="AW514" s="123"/>
      <c r="AX514" s="123"/>
      <c r="AY514" s="123"/>
      <c r="AZ514" s="123"/>
      <c r="BA514" s="123"/>
      <c r="BB514" s="123"/>
      <c r="BC514" s="123"/>
    </row>
    <row r="515" spans="44:55">
      <c r="AR515" s="123"/>
      <c r="AS515" s="123"/>
      <c r="AT515" s="123"/>
      <c r="AU515" s="123"/>
      <c r="AV515" s="123"/>
      <c r="AW515" s="123"/>
      <c r="AX515" s="123"/>
      <c r="AY515" s="123"/>
      <c r="AZ515" s="123"/>
      <c r="BA515" s="123"/>
      <c r="BB515" s="123"/>
      <c r="BC515" s="123"/>
    </row>
    <row r="516" spans="44:55">
      <c r="AR516" s="123"/>
      <c r="AS516" s="123"/>
      <c r="AT516" s="123"/>
      <c r="AU516" s="123"/>
      <c r="AV516" s="123"/>
      <c r="AW516" s="123"/>
      <c r="AX516" s="123"/>
      <c r="AY516" s="123"/>
      <c r="AZ516" s="123"/>
      <c r="BA516" s="123"/>
      <c r="BB516" s="123"/>
      <c r="BC516" s="123"/>
    </row>
    <row r="517" spans="44:55">
      <c r="AR517" s="123"/>
      <c r="AS517" s="123"/>
      <c r="AT517" s="123"/>
      <c r="AU517" s="123"/>
      <c r="AV517" s="123"/>
      <c r="AW517" s="123"/>
      <c r="AX517" s="123"/>
      <c r="AY517" s="123"/>
      <c r="AZ517" s="123"/>
      <c r="BA517" s="123"/>
      <c r="BB517" s="123"/>
      <c r="BC517" s="123"/>
    </row>
    <row r="518" spans="44:55">
      <c r="AR518" s="123"/>
      <c r="AS518" s="123"/>
      <c r="AT518" s="123"/>
      <c r="AU518" s="123"/>
      <c r="AV518" s="123"/>
      <c r="AW518" s="123"/>
      <c r="AX518" s="123"/>
      <c r="AY518" s="123"/>
      <c r="AZ518" s="123"/>
      <c r="BA518" s="123"/>
      <c r="BB518" s="123"/>
      <c r="BC518" s="123"/>
    </row>
    <row r="519" spans="44:55">
      <c r="AR519" s="123"/>
      <c r="AS519" s="123"/>
      <c r="AT519" s="123"/>
      <c r="AU519" s="123"/>
      <c r="AV519" s="123"/>
      <c r="AW519" s="123"/>
      <c r="AX519" s="123"/>
      <c r="AY519" s="123"/>
      <c r="AZ519" s="123"/>
      <c r="BA519" s="123"/>
      <c r="BB519" s="123"/>
      <c r="BC519" s="123"/>
    </row>
    <row r="520" spans="44:55">
      <c r="AR520" s="123"/>
      <c r="AS520" s="123"/>
      <c r="AT520" s="123"/>
      <c r="AU520" s="123"/>
      <c r="AV520" s="123"/>
      <c r="AW520" s="123"/>
      <c r="AX520" s="123"/>
      <c r="AY520" s="123"/>
      <c r="AZ520" s="123"/>
      <c r="BA520" s="123"/>
      <c r="BB520" s="123"/>
      <c r="BC520" s="123"/>
    </row>
    <row r="521" spans="44:55">
      <c r="AR521" s="123"/>
      <c r="AS521" s="123"/>
      <c r="AT521" s="123"/>
      <c r="AU521" s="123"/>
      <c r="AV521" s="123"/>
      <c r="AW521" s="123"/>
      <c r="AX521" s="123"/>
      <c r="AY521" s="123"/>
      <c r="AZ521" s="123"/>
      <c r="BA521" s="123"/>
      <c r="BB521" s="123"/>
      <c r="BC521" s="123"/>
    </row>
    <row r="522" spans="44:55">
      <c r="AR522" s="123"/>
      <c r="AS522" s="123"/>
      <c r="AT522" s="123"/>
      <c r="AU522" s="123"/>
      <c r="AV522" s="123"/>
      <c r="AW522" s="123"/>
      <c r="AX522" s="123"/>
      <c r="AY522" s="123"/>
      <c r="AZ522" s="123"/>
      <c r="BA522" s="123"/>
      <c r="BB522" s="123"/>
      <c r="BC522" s="123"/>
    </row>
    <row r="523" spans="44:55">
      <c r="AR523" s="123"/>
      <c r="AS523" s="123"/>
      <c r="AT523" s="123"/>
      <c r="AU523" s="123"/>
      <c r="AV523" s="123"/>
      <c r="AW523" s="123"/>
      <c r="AX523" s="123"/>
      <c r="AY523" s="123"/>
      <c r="AZ523" s="123"/>
      <c r="BA523" s="123"/>
      <c r="BB523" s="123"/>
      <c r="BC523" s="123"/>
    </row>
    <row r="524" spans="44:55">
      <c r="AR524" s="123"/>
      <c r="AS524" s="123"/>
      <c r="AT524" s="123"/>
      <c r="AU524" s="123"/>
      <c r="AV524" s="123"/>
      <c r="AW524" s="123"/>
      <c r="AX524" s="123"/>
      <c r="AY524" s="123"/>
      <c r="AZ524" s="123"/>
      <c r="BA524" s="123"/>
      <c r="BB524" s="123"/>
      <c r="BC524" s="123"/>
    </row>
    <row r="525" spans="44:55">
      <c r="AR525" s="123"/>
      <c r="AS525" s="123"/>
      <c r="AT525" s="123"/>
      <c r="AU525" s="123"/>
      <c r="AV525" s="123"/>
      <c r="AW525" s="123"/>
      <c r="AX525" s="123"/>
      <c r="AY525" s="123"/>
      <c r="AZ525" s="123"/>
      <c r="BA525" s="123"/>
      <c r="BB525" s="123"/>
      <c r="BC525" s="123"/>
    </row>
    <row r="526" spans="44:55">
      <c r="AR526" s="123"/>
      <c r="AS526" s="123"/>
      <c r="AT526" s="123"/>
      <c r="AU526" s="123"/>
      <c r="AV526" s="123"/>
      <c r="AW526" s="123"/>
      <c r="AX526" s="123"/>
      <c r="AY526" s="123"/>
      <c r="AZ526" s="123"/>
      <c r="BA526" s="123"/>
      <c r="BB526" s="123"/>
      <c r="BC526" s="123"/>
    </row>
    <row r="527" spans="44:55">
      <c r="AR527" s="123"/>
      <c r="AS527" s="123"/>
      <c r="AT527" s="123"/>
      <c r="AU527" s="123"/>
      <c r="AV527" s="123"/>
      <c r="AW527" s="123"/>
      <c r="AX527" s="123"/>
      <c r="AY527" s="123"/>
      <c r="AZ527" s="123"/>
      <c r="BA527" s="123"/>
      <c r="BB527" s="123"/>
      <c r="BC527" s="123"/>
    </row>
    <row r="528" spans="44:55">
      <c r="AR528" s="123"/>
      <c r="AS528" s="123"/>
      <c r="AT528" s="123"/>
      <c r="AU528" s="123"/>
      <c r="AV528" s="123"/>
      <c r="AW528" s="123"/>
      <c r="AX528" s="123"/>
      <c r="AY528" s="123"/>
      <c r="AZ528" s="123"/>
      <c r="BA528" s="123"/>
      <c r="BB528" s="123"/>
      <c r="BC528" s="123"/>
    </row>
    <row r="529" spans="44:55">
      <c r="AR529" s="123"/>
      <c r="AS529" s="123"/>
      <c r="AT529" s="123"/>
      <c r="AU529" s="123"/>
      <c r="AV529" s="123"/>
      <c r="AW529" s="123"/>
      <c r="AX529" s="123"/>
      <c r="AY529" s="123"/>
      <c r="AZ529" s="123"/>
      <c r="BA529" s="123"/>
      <c r="BB529" s="123"/>
      <c r="BC529" s="123"/>
    </row>
    <row r="530" spans="44:55">
      <c r="AR530" s="123"/>
      <c r="AS530" s="123"/>
      <c r="AT530" s="123"/>
      <c r="AU530" s="123"/>
      <c r="AV530" s="123"/>
      <c r="AW530" s="123"/>
      <c r="AX530" s="123"/>
      <c r="AY530" s="123"/>
      <c r="AZ530" s="123"/>
      <c r="BA530" s="123"/>
      <c r="BB530" s="123"/>
      <c r="BC530" s="123"/>
    </row>
    <row r="531" spans="44:55">
      <c r="AR531" s="123"/>
      <c r="AS531" s="123"/>
      <c r="AT531" s="123"/>
      <c r="AU531" s="123"/>
      <c r="AV531" s="123"/>
      <c r="AW531" s="123"/>
      <c r="AX531" s="123"/>
      <c r="AY531" s="123"/>
      <c r="AZ531" s="123"/>
      <c r="BA531" s="123"/>
      <c r="BB531" s="123"/>
      <c r="BC531" s="123"/>
    </row>
    <row r="532" spans="44:55">
      <c r="AR532" s="123"/>
      <c r="AS532" s="123"/>
      <c r="AT532" s="123"/>
      <c r="AU532" s="123"/>
      <c r="AV532" s="123"/>
      <c r="AW532" s="123"/>
      <c r="AX532" s="123"/>
      <c r="AY532" s="123"/>
      <c r="AZ532" s="123"/>
      <c r="BA532" s="123"/>
      <c r="BB532" s="123"/>
      <c r="BC532" s="123"/>
    </row>
    <row r="533" spans="44:55">
      <c r="AR533" s="123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</row>
    <row r="534" spans="44:55">
      <c r="AR534" s="123"/>
      <c r="AS534" s="123"/>
      <c r="AT534" s="123"/>
      <c r="AU534" s="123"/>
      <c r="AV534" s="123"/>
      <c r="AW534" s="123"/>
      <c r="AX534" s="123"/>
      <c r="AY534" s="123"/>
      <c r="AZ534" s="123"/>
      <c r="BA534" s="123"/>
      <c r="BB534" s="123"/>
      <c r="BC534" s="123"/>
    </row>
    <row r="535" spans="44:55">
      <c r="AR535" s="123"/>
      <c r="AS535" s="123"/>
      <c r="AT535" s="123"/>
      <c r="AU535" s="123"/>
      <c r="AV535" s="123"/>
      <c r="AW535" s="123"/>
      <c r="AX535" s="123"/>
      <c r="AY535" s="123"/>
      <c r="AZ535" s="123"/>
      <c r="BA535" s="123"/>
      <c r="BB535" s="123"/>
      <c r="BC535" s="123"/>
    </row>
    <row r="536" spans="44:55">
      <c r="AR536" s="123"/>
      <c r="AS536" s="123"/>
      <c r="AT536" s="123"/>
      <c r="AU536" s="123"/>
      <c r="AV536" s="123"/>
      <c r="AW536" s="123"/>
      <c r="AX536" s="123"/>
      <c r="AY536" s="123"/>
      <c r="AZ536" s="123"/>
      <c r="BA536" s="123"/>
      <c r="BB536" s="123"/>
      <c r="BC536" s="123"/>
    </row>
    <row r="537" spans="44:55">
      <c r="AR537" s="123"/>
      <c r="AS537" s="123"/>
      <c r="AT537" s="123"/>
      <c r="AU537" s="123"/>
      <c r="AV537" s="123"/>
      <c r="AW537" s="123"/>
      <c r="AX537" s="123"/>
      <c r="AY537" s="123"/>
      <c r="AZ537" s="123"/>
      <c r="BA537" s="123"/>
      <c r="BB537" s="123"/>
      <c r="BC537" s="123"/>
    </row>
    <row r="538" spans="44:55">
      <c r="AR538" s="123"/>
      <c r="AS538" s="123"/>
      <c r="AT538" s="123"/>
      <c r="AU538" s="123"/>
      <c r="AV538" s="123"/>
      <c r="AW538" s="123"/>
      <c r="AX538" s="123"/>
      <c r="AY538" s="123"/>
      <c r="AZ538" s="123"/>
      <c r="BA538" s="123"/>
      <c r="BB538" s="123"/>
      <c r="BC538" s="123"/>
    </row>
    <row r="539" spans="44:55">
      <c r="AR539" s="123"/>
      <c r="AS539" s="123"/>
      <c r="AT539" s="123"/>
      <c r="AU539" s="123"/>
      <c r="AV539" s="123"/>
      <c r="AW539" s="123"/>
      <c r="AX539" s="123"/>
      <c r="AY539" s="123"/>
      <c r="AZ539" s="123"/>
      <c r="BA539" s="123"/>
      <c r="BB539" s="123"/>
      <c r="BC539" s="123"/>
    </row>
    <row r="540" spans="44:55">
      <c r="AR540" s="123"/>
      <c r="AS540" s="123"/>
      <c r="AT540" s="123"/>
      <c r="AU540" s="123"/>
      <c r="AV540" s="123"/>
      <c r="AW540" s="123"/>
      <c r="AX540" s="123"/>
      <c r="AY540" s="123"/>
      <c r="AZ540" s="123"/>
      <c r="BA540" s="123"/>
      <c r="BB540" s="123"/>
      <c r="BC540" s="123"/>
    </row>
    <row r="541" spans="44:55">
      <c r="AR541" s="123"/>
      <c r="AS541" s="123"/>
      <c r="AT541" s="123"/>
      <c r="AU541" s="123"/>
      <c r="AV541" s="123"/>
      <c r="AW541" s="123"/>
      <c r="AX541" s="123"/>
      <c r="AY541" s="123"/>
      <c r="AZ541" s="123"/>
      <c r="BA541" s="123"/>
      <c r="BB541" s="123"/>
      <c r="BC541" s="123"/>
    </row>
    <row r="542" spans="44:55">
      <c r="AR542" s="123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</row>
    <row r="543" spans="44:55">
      <c r="AR543" s="123"/>
      <c r="AS543" s="123"/>
      <c r="AT543" s="123"/>
      <c r="AU543" s="123"/>
      <c r="AV543" s="123"/>
      <c r="AW543" s="123"/>
      <c r="AX543" s="123"/>
      <c r="AY543" s="123"/>
      <c r="AZ543" s="123"/>
      <c r="BA543" s="123"/>
      <c r="BB543" s="123"/>
      <c r="BC543" s="123"/>
    </row>
    <row r="544" spans="44:55">
      <c r="AR544" s="123"/>
      <c r="AS544" s="123"/>
      <c r="AT544" s="123"/>
      <c r="AU544" s="123"/>
      <c r="AV544" s="123"/>
      <c r="AW544" s="123"/>
      <c r="AX544" s="123"/>
      <c r="AY544" s="123"/>
      <c r="AZ544" s="123"/>
      <c r="BA544" s="123"/>
      <c r="BB544" s="123"/>
      <c r="BC544" s="123"/>
    </row>
    <row r="545" spans="44:55">
      <c r="AR545" s="123"/>
      <c r="AS545" s="123"/>
      <c r="AT545" s="123"/>
      <c r="AU545" s="123"/>
      <c r="AV545" s="123"/>
      <c r="AW545" s="123"/>
      <c r="AX545" s="123"/>
      <c r="AY545" s="123"/>
      <c r="AZ545" s="123"/>
      <c r="BA545" s="123"/>
      <c r="BB545" s="123"/>
      <c r="BC545" s="123"/>
    </row>
    <row r="546" spans="44:55">
      <c r="AR546" s="123"/>
      <c r="AS546" s="123"/>
      <c r="AT546" s="123"/>
      <c r="AU546" s="123"/>
      <c r="AV546" s="123"/>
      <c r="AW546" s="123"/>
      <c r="AX546" s="123"/>
      <c r="AY546" s="123"/>
      <c r="AZ546" s="123"/>
      <c r="BA546" s="123"/>
      <c r="BB546" s="123"/>
      <c r="BC546" s="123"/>
    </row>
    <row r="547" spans="44:55">
      <c r="AR547" s="123"/>
      <c r="AS547" s="123"/>
      <c r="AT547" s="123"/>
      <c r="AU547" s="123"/>
      <c r="AV547" s="123"/>
      <c r="AW547" s="123"/>
      <c r="AX547" s="123"/>
      <c r="AY547" s="123"/>
      <c r="AZ547" s="123"/>
      <c r="BA547" s="123"/>
      <c r="BB547" s="123"/>
      <c r="BC547" s="123"/>
    </row>
    <row r="548" spans="44:55">
      <c r="AR548" s="123"/>
      <c r="AS548" s="123"/>
      <c r="AT548" s="123"/>
      <c r="AU548" s="123"/>
      <c r="AV548" s="123"/>
      <c r="AW548" s="123"/>
      <c r="AX548" s="123"/>
      <c r="AY548" s="123"/>
      <c r="AZ548" s="123"/>
      <c r="BA548" s="123"/>
      <c r="BB548" s="123"/>
      <c r="BC548" s="123"/>
    </row>
    <row r="549" spans="44:55">
      <c r="AR549" s="123"/>
      <c r="AS549" s="123"/>
      <c r="AT549" s="123"/>
      <c r="AU549" s="123"/>
      <c r="AV549" s="123"/>
      <c r="AW549" s="123"/>
      <c r="AX549" s="123"/>
      <c r="AY549" s="123"/>
      <c r="AZ549" s="123"/>
      <c r="BA549" s="123"/>
      <c r="BB549" s="123"/>
      <c r="BC549" s="123"/>
    </row>
    <row r="550" spans="44:55">
      <c r="AR550" s="123"/>
      <c r="AS550" s="123"/>
      <c r="AT550" s="123"/>
      <c r="AU550" s="123"/>
      <c r="AV550" s="123"/>
      <c r="AW550" s="123"/>
      <c r="AX550" s="123"/>
      <c r="AY550" s="123"/>
      <c r="AZ550" s="123"/>
      <c r="BA550" s="123"/>
      <c r="BB550" s="123"/>
      <c r="BC550" s="123"/>
    </row>
    <row r="551" spans="44:55">
      <c r="AR551" s="123"/>
      <c r="AS551" s="123"/>
      <c r="AT551" s="123"/>
      <c r="AU551" s="123"/>
      <c r="AV551" s="123"/>
      <c r="AW551" s="123"/>
      <c r="AX551" s="123"/>
      <c r="AY551" s="123"/>
      <c r="AZ551" s="123"/>
      <c r="BA551" s="123"/>
      <c r="BB551" s="123"/>
      <c r="BC551" s="123"/>
    </row>
    <row r="552" spans="44:55">
      <c r="AR552" s="123"/>
      <c r="AS552" s="123"/>
      <c r="AT552" s="123"/>
      <c r="AU552" s="123"/>
      <c r="AV552" s="123"/>
      <c r="AW552" s="123"/>
      <c r="AX552" s="123"/>
      <c r="AY552" s="123"/>
      <c r="AZ552" s="123"/>
      <c r="BA552" s="123"/>
      <c r="BB552" s="123"/>
      <c r="BC552" s="123"/>
    </row>
    <row r="553" spans="44:55">
      <c r="AR553" s="123"/>
      <c r="AS553" s="123"/>
      <c r="AT553" s="123"/>
      <c r="AU553" s="123"/>
      <c r="AV553" s="123"/>
      <c r="AW553" s="123"/>
      <c r="AX553" s="123"/>
      <c r="AY553" s="123"/>
      <c r="AZ553" s="123"/>
      <c r="BA553" s="123"/>
      <c r="BB553" s="123"/>
      <c r="BC553" s="123"/>
    </row>
    <row r="554" spans="44:55">
      <c r="AR554" s="123"/>
      <c r="AS554" s="123"/>
      <c r="AT554" s="123"/>
      <c r="AU554" s="123"/>
      <c r="AV554" s="123"/>
      <c r="AW554" s="123"/>
      <c r="AX554" s="123"/>
      <c r="AY554" s="123"/>
      <c r="AZ554" s="123"/>
      <c r="BA554" s="123"/>
      <c r="BB554" s="123"/>
      <c r="BC554" s="123"/>
    </row>
    <row r="555" spans="44:55">
      <c r="AR555" s="123"/>
      <c r="AS555" s="123"/>
      <c r="AT555" s="123"/>
      <c r="AU555" s="123"/>
      <c r="AV555" s="123"/>
      <c r="AW555" s="123"/>
      <c r="AX555" s="123"/>
      <c r="AY555" s="123"/>
      <c r="AZ555" s="123"/>
      <c r="BA555" s="123"/>
      <c r="BB555" s="123"/>
      <c r="BC555" s="123"/>
    </row>
    <row r="556" spans="44:55">
      <c r="AR556" s="123"/>
      <c r="AS556" s="123"/>
      <c r="AT556" s="123"/>
      <c r="AU556" s="123"/>
      <c r="AV556" s="123"/>
      <c r="AW556" s="123"/>
      <c r="AX556" s="123"/>
      <c r="AY556" s="123"/>
      <c r="AZ556" s="123"/>
      <c r="BA556" s="123"/>
      <c r="BB556" s="123"/>
      <c r="BC556" s="123"/>
    </row>
    <row r="557" spans="44:55">
      <c r="AR557" s="123"/>
      <c r="AS557" s="123"/>
      <c r="AT557" s="123"/>
      <c r="AU557" s="123"/>
      <c r="AV557" s="123"/>
      <c r="AW557" s="123"/>
      <c r="AX557" s="123"/>
      <c r="AY557" s="123"/>
      <c r="AZ557" s="123"/>
      <c r="BA557" s="123"/>
      <c r="BB557" s="123"/>
      <c r="BC557" s="123"/>
    </row>
    <row r="558" spans="44:55">
      <c r="AR558" s="123"/>
      <c r="AS558" s="123"/>
      <c r="AT558" s="123"/>
      <c r="AU558" s="123"/>
      <c r="AV558" s="123"/>
      <c r="AW558" s="123"/>
      <c r="AX558" s="123"/>
      <c r="AY558" s="123"/>
      <c r="AZ558" s="123"/>
      <c r="BA558" s="123"/>
      <c r="BB558" s="123"/>
      <c r="BC558" s="123"/>
    </row>
    <row r="559" spans="44:55">
      <c r="AR559" s="123"/>
      <c r="AS559" s="123"/>
      <c r="AT559" s="123"/>
      <c r="AU559" s="123"/>
      <c r="AV559" s="123"/>
      <c r="AW559" s="123"/>
      <c r="AX559" s="123"/>
      <c r="AY559" s="123"/>
      <c r="AZ559" s="123"/>
      <c r="BA559" s="123"/>
      <c r="BB559" s="123"/>
      <c r="BC559" s="123"/>
    </row>
    <row r="560" spans="44:55">
      <c r="AR560" s="123"/>
      <c r="AS560" s="123"/>
      <c r="AT560" s="123"/>
      <c r="AU560" s="123"/>
      <c r="AV560" s="123"/>
      <c r="AW560" s="123"/>
      <c r="AX560" s="123"/>
      <c r="AY560" s="123"/>
      <c r="AZ560" s="123"/>
      <c r="BA560" s="123"/>
      <c r="BB560" s="123"/>
      <c r="BC560" s="123"/>
    </row>
    <row r="561" spans="44:55">
      <c r="AR561" s="123"/>
      <c r="AS561" s="123"/>
      <c r="AT561" s="123"/>
      <c r="AU561" s="123"/>
      <c r="AV561" s="123"/>
      <c r="AW561" s="123"/>
      <c r="AX561" s="123"/>
      <c r="AY561" s="123"/>
      <c r="AZ561" s="123"/>
      <c r="BA561" s="123"/>
      <c r="BB561" s="123"/>
      <c r="BC561" s="123"/>
    </row>
    <row r="562" spans="44:55">
      <c r="AR562" s="123"/>
      <c r="AS562" s="123"/>
      <c r="AT562" s="123"/>
      <c r="AU562" s="123"/>
      <c r="AV562" s="123"/>
      <c r="AW562" s="123"/>
      <c r="AX562" s="123"/>
      <c r="AY562" s="123"/>
      <c r="AZ562" s="123"/>
      <c r="BA562" s="123"/>
      <c r="BB562" s="123"/>
      <c r="BC562" s="123"/>
    </row>
    <row r="563" spans="44:55">
      <c r="AR563" s="123"/>
      <c r="AS563" s="123"/>
      <c r="AT563" s="123"/>
      <c r="AU563" s="123"/>
      <c r="AV563" s="123"/>
      <c r="AW563" s="123"/>
      <c r="AX563" s="123"/>
      <c r="AY563" s="123"/>
      <c r="AZ563" s="123"/>
      <c r="BA563" s="123"/>
      <c r="BB563" s="123"/>
      <c r="BC563" s="123"/>
    </row>
    <row r="564" spans="44:55">
      <c r="AR564" s="123"/>
      <c r="AS564" s="123"/>
      <c r="AT564" s="123"/>
      <c r="AU564" s="123"/>
      <c r="AV564" s="123"/>
      <c r="AW564" s="123"/>
      <c r="AX564" s="123"/>
      <c r="AY564" s="123"/>
      <c r="AZ564" s="123"/>
      <c r="BA564" s="123"/>
      <c r="BB564" s="123"/>
      <c r="BC564" s="123"/>
    </row>
    <row r="565" spans="44:55">
      <c r="AR565" s="123"/>
      <c r="AS565" s="123"/>
      <c r="AT565" s="123"/>
      <c r="AU565" s="123"/>
      <c r="AV565" s="123"/>
      <c r="AW565" s="123"/>
      <c r="AX565" s="123"/>
      <c r="AY565" s="123"/>
      <c r="AZ565" s="123"/>
      <c r="BA565" s="123"/>
      <c r="BB565" s="123"/>
      <c r="BC565" s="123"/>
    </row>
    <row r="566" spans="44:55">
      <c r="AR566" s="123"/>
      <c r="AS566" s="123"/>
      <c r="AT566" s="123"/>
      <c r="AU566" s="123"/>
      <c r="AV566" s="123"/>
      <c r="AW566" s="123"/>
      <c r="AX566" s="123"/>
      <c r="AY566" s="123"/>
      <c r="AZ566" s="123"/>
      <c r="BA566" s="123"/>
      <c r="BB566" s="123"/>
      <c r="BC566" s="123"/>
    </row>
    <row r="567" spans="44:55">
      <c r="AR567" s="123"/>
      <c r="AS567" s="123"/>
      <c r="AT567" s="123"/>
      <c r="AU567" s="123"/>
      <c r="AV567" s="123"/>
      <c r="AW567" s="123"/>
      <c r="AX567" s="123"/>
      <c r="AY567" s="123"/>
      <c r="AZ567" s="123"/>
      <c r="BA567" s="123"/>
      <c r="BB567" s="123"/>
      <c r="BC567" s="123"/>
    </row>
    <row r="568" spans="44:55">
      <c r="AR568" s="123"/>
      <c r="AS568" s="123"/>
      <c r="AT568" s="123"/>
      <c r="AU568" s="123"/>
      <c r="AV568" s="123"/>
      <c r="AW568" s="123"/>
      <c r="AX568" s="123"/>
      <c r="AY568" s="123"/>
      <c r="AZ568" s="123"/>
      <c r="BA568" s="123"/>
      <c r="BB568" s="123"/>
      <c r="BC568" s="123"/>
    </row>
    <row r="569" spans="44:55">
      <c r="AR569" s="123"/>
      <c r="AS569" s="123"/>
      <c r="AT569" s="123"/>
      <c r="AU569" s="123"/>
      <c r="AV569" s="123"/>
      <c r="AW569" s="123"/>
      <c r="AX569" s="123"/>
      <c r="AY569" s="123"/>
      <c r="AZ569" s="123"/>
      <c r="BA569" s="123"/>
      <c r="BB569" s="123"/>
      <c r="BC569" s="123"/>
    </row>
    <row r="570" spans="44:55">
      <c r="AR570" s="123"/>
      <c r="AS570" s="123"/>
      <c r="AT570" s="123"/>
      <c r="AU570" s="123"/>
      <c r="AV570" s="123"/>
      <c r="AW570" s="123"/>
      <c r="AX570" s="123"/>
      <c r="AY570" s="123"/>
      <c r="AZ570" s="123"/>
      <c r="BA570" s="123"/>
      <c r="BB570" s="123"/>
      <c r="BC570" s="123"/>
    </row>
    <row r="571" spans="44:55">
      <c r="AR571" s="123"/>
      <c r="AS571" s="123"/>
      <c r="AT571" s="123"/>
      <c r="AU571" s="123"/>
      <c r="AV571" s="123"/>
      <c r="AW571" s="123"/>
      <c r="AX571" s="123"/>
      <c r="AY571" s="123"/>
      <c r="AZ571" s="123"/>
      <c r="BA571" s="123"/>
      <c r="BB571" s="123"/>
      <c r="BC571" s="123"/>
    </row>
    <row r="572" spans="44:55">
      <c r="AR572" s="123"/>
      <c r="AS572" s="123"/>
      <c r="AT572" s="123"/>
      <c r="AU572" s="123"/>
      <c r="AV572" s="123"/>
      <c r="AW572" s="123"/>
      <c r="AX572" s="123"/>
      <c r="AY572" s="123"/>
      <c r="AZ572" s="123"/>
      <c r="BA572" s="123"/>
      <c r="BB572" s="123"/>
      <c r="BC572" s="123"/>
    </row>
    <row r="573" spans="44:55">
      <c r="AR573" s="123"/>
      <c r="AS573" s="123"/>
      <c r="AT573" s="123"/>
      <c r="AU573" s="123"/>
      <c r="AV573" s="123"/>
      <c r="AW573" s="123"/>
      <c r="AX573" s="123"/>
      <c r="AY573" s="123"/>
      <c r="AZ573" s="123"/>
      <c r="BA573" s="123"/>
      <c r="BB573" s="123"/>
      <c r="BC573" s="123"/>
    </row>
    <row r="574" spans="44:55">
      <c r="AR574" s="123"/>
      <c r="AS574" s="123"/>
      <c r="AT574" s="123"/>
      <c r="AU574" s="123"/>
      <c r="AV574" s="123"/>
      <c r="AW574" s="123"/>
      <c r="AX574" s="123"/>
      <c r="AY574" s="123"/>
      <c r="AZ574" s="123"/>
      <c r="BA574" s="123"/>
      <c r="BB574" s="123"/>
      <c r="BC574" s="123"/>
    </row>
    <row r="575" spans="44:55">
      <c r="AR575" s="123"/>
      <c r="AS575" s="123"/>
      <c r="AT575" s="123"/>
      <c r="AU575" s="123"/>
      <c r="AV575" s="123"/>
      <c r="AW575" s="123"/>
      <c r="AX575" s="123"/>
      <c r="AY575" s="123"/>
      <c r="AZ575" s="123"/>
      <c r="BA575" s="123"/>
      <c r="BB575" s="123"/>
      <c r="BC575" s="123"/>
    </row>
    <row r="576" spans="44:55">
      <c r="AR576" s="123"/>
      <c r="AS576" s="123"/>
      <c r="AT576" s="123"/>
      <c r="AU576" s="123"/>
      <c r="AV576" s="123"/>
      <c r="AW576" s="123"/>
      <c r="AX576" s="123"/>
      <c r="AY576" s="123"/>
      <c r="AZ576" s="123"/>
      <c r="BA576" s="123"/>
      <c r="BB576" s="123"/>
      <c r="BC576" s="123"/>
    </row>
    <row r="577" spans="44:55">
      <c r="AR577" s="123"/>
      <c r="AS577" s="123"/>
      <c r="AT577" s="123"/>
      <c r="AU577" s="123"/>
      <c r="AV577" s="123"/>
      <c r="AW577" s="123"/>
      <c r="AX577" s="123"/>
      <c r="AY577" s="123"/>
      <c r="AZ577" s="123"/>
      <c r="BA577" s="123"/>
      <c r="BB577" s="123"/>
      <c r="BC577" s="123"/>
    </row>
    <row r="578" spans="44:55">
      <c r="AR578" s="123"/>
      <c r="AS578" s="123"/>
      <c r="AT578" s="123"/>
      <c r="AU578" s="123"/>
      <c r="AV578" s="123"/>
      <c r="AW578" s="123"/>
      <c r="AX578" s="123"/>
      <c r="AY578" s="123"/>
      <c r="AZ578" s="123"/>
      <c r="BA578" s="123"/>
      <c r="BB578" s="123"/>
      <c r="BC578" s="123"/>
    </row>
    <row r="579" spans="44:55">
      <c r="AR579" s="123"/>
      <c r="AS579" s="123"/>
      <c r="AT579" s="123"/>
      <c r="AU579" s="123"/>
      <c r="AV579" s="123"/>
      <c r="AW579" s="123"/>
      <c r="AX579" s="123"/>
      <c r="AY579" s="123"/>
      <c r="AZ579" s="123"/>
      <c r="BA579" s="123"/>
      <c r="BB579" s="123"/>
      <c r="BC579" s="123"/>
    </row>
    <row r="580" spans="44:55">
      <c r="AR580" s="123"/>
      <c r="AS580" s="123"/>
      <c r="AT580" s="123"/>
      <c r="AU580" s="123"/>
      <c r="AV580" s="123"/>
      <c r="AW580" s="123"/>
      <c r="AX580" s="123"/>
      <c r="AY580" s="123"/>
      <c r="AZ580" s="123"/>
      <c r="BA580" s="123"/>
      <c r="BB580" s="123"/>
      <c r="BC580" s="123"/>
    </row>
    <row r="581" spans="44:55">
      <c r="AR581" s="123"/>
      <c r="AS581" s="123"/>
      <c r="AT581" s="123"/>
      <c r="AU581" s="123"/>
      <c r="AV581" s="123"/>
      <c r="AW581" s="123"/>
      <c r="AX581" s="123"/>
      <c r="AY581" s="123"/>
      <c r="AZ581" s="123"/>
      <c r="BA581" s="123"/>
      <c r="BB581" s="123"/>
      <c r="BC581" s="123"/>
    </row>
    <row r="582" spans="44:55">
      <c r="AR582" s="123"/>
      <c r="AS582" s="123"/>
      <c r="AT582" s="123"/>
      <c r="AU582" s="123"/>
      <c r="AV582" s="123"/>
      <c r="AW582" s="123"/>
      <c r="AX582" s="123"/>
      <c r="AY582" s="123"/>
      <c r="AZ582" s="123"/>
      <c r="BA582" s="123"/>
      <c r="BB582" s="123"/>
      <c r="BC582" s="123"/>
    </row>
    <row r="583" spans="44:55">
      <c r="AR583" s="123"/>
      <c r="AS583" s="123"/>
      <c r="AT583" s="123"/>
      <c r="AU583" s="123"/>
      <c r="AV583" s="123"/>
      <c r="AW583" s="123"/>
      <c r="AX583" s="123"/>
      <c r="AY583" s="123"/>
      <c r="AZ583" s="123"/>
      <c r="BA583" s="123"/>
      <c r="BB583" s="123"/>
      <c r="BC583" s="123"/>
    </row>
    <row r="584" spans="44:55">
      <c r="AR584" s="123"/>
      <c r="AS584" s="123"/>
      <c r="AT584" s="123"/>
      <c r="AU584" s="123"/>
      <c r="AV584" s="123"/>
      <c r="AW584" s="123"/>
      <c r="AX584" s="123"/>
      <c r="AY584" s="123"/>
      <c r="AZ584" s="123"/>
      <c r="BA584" s="123"/>
      <c r="BB584" s="123"/>
      <c r="BC584" s="123"/>
    </row>
    <row r="585" spans="44:55">
      <c r="AR585" s="123"/>
      <c r="AS585" s="123"/>
      <c r="AT585" s="123"/>
      <c r="AU585" s="123"/>
      <c r="AV585" s="123"/>
      <c r="AW585" s="123"/>
      <c r="AX585" s="123"/>
      <c r="AY585" s="123"/>
      <c r="AZ585" s="123"/>
      <c r="BA585" s="123"/>
      <c r="BB585" s="123"/>
      <c r="BC585" s="123"/>
    </row>
    <row r="586" spans="44:55">
      <c r="AR586" s="123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</row>
    <row r="587" spans="44:55">
      <c r="AR587" s="123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</row>
    <row r="588" spans="44:55">
      <c r="AR588" s="123"/>
      <c r="AS588" s="123"/>
      <c r="AT588" s="123"/>
      <c r="AU588" s="123"/>
      <c r="AV588" s="123"/>
      <c r="AW588" s="123"/>
      <c r="AX588" s="123"/>
      <c r="AY588" s="123"/>
      <c r="AZ588" s="123"/>
      <c r="BA588" s="123"/>
      <c r="BB588" s="123"/>
      <c r="BC588" s="123"/>
    </row>
    <row r="589" spans="44:55">
      <c r="AR589" s="123"/>
      <c r="AS589" s="123"/>
      <c r="AT589" s="123"/>
      <c r="AU589" s="123"/>
      <c r="AV589" s="123"/>
      <c r="AW589" s="123"/>
      <c r="AX589" s="123"/>
      <c r="AY589" s="123"/>
      <c r="AZ589" s="123"/>
      <c r="BA589" s="123"/>
      <c r="BB589" s="123"/>
      <c r="BC589" s="123"/>
    </row>
    <row r="590" spans="44:55">
      <c r="AR590" s="123"/>
      <c r="AS590" s="123"/>
      <c r="AT590" s="123"/>
      <c r="AU590" s="123"/>
      <c r="AV590" s="123"/>
      <c r="AW590" s="123"/>
      <c r="AX590" s="123"/>
      <c r="AY590" s="123"/>
      <c r="AZ590" s="123"/>
      <c r="BA590" s="123"/>
      <c r="BB590" s="123"/>
      <c r="BC590" s="123"/>
    </row>
    <row r="591" spans="44:55">
      <c r="AR591" s="123"/>
      <c r="AS591" s="123"/>
      <c r="AT591" s="123"/>
      <c r="AU591" s="123"/>
      <c r="AV591" s="123"/>
      <c r="AW591" s="123"/>
      <c r="AX591" s="123"/>
      <c r="AY591" s="123"/>
      <c r="AZ591" s="123"/>
      <c r="BA591" s="123"/>
      <c r="BB591" s="123"/>
      <c r="BC591" s="123"/>
    </row>
    <row r="592" spans="44:55">
      <c r="AR592" s="123"/>
      <c r="AS592" s="123"/>
      <c r="AT592" s="123"/>
      <c r="AU592" s="123"/>
      <c r="AV592" s="123"/>
      <c r="AW592" s="123"/>
      <c r="AX592" s="123"/>
      <c r="AY592" s="123"/>
      <c r="AZ592" s="123"/>
      <c r="BA592" s="123"/>
      <c r="BB592" s="123"/>
      <c r="BC592" s="123"/>
    </row>
    <row r="593" spans="44:55">
      <c r="AR593" s="123"/>
      <c r="AS593" s="123"/>
      <c r="AT593" s="123"/>
      <c r="AU593" s="123"/>
      <c r="AV593" s="123"/>
      <c r="AW593" s="123"/>
      <c r="AX593" s="123"/>
      <c r="AY593" s="123"/>
      <c r="AZ593" s="123"/>
      <c r="BA593" s="123"/>
      <c r="BB593" s="123"/>
      <c r="BC593" s="123"/>
    </row>
    <row r="594" spans="44:55">
      <c r="AR594" s="123"/>
      <c r="AS594" s="123"/>
      <c r="AT594" s="123"/>
      <c r="AU594" s="123"/>
      <c r="AV594" s="123"/>
      <c r="AW594" s="123"/>
      <c r="AX594" s="123"/>
      <c r="AY594" s="123"/>
      <c r="AZ594" s="123"/>
      <c r="BA594" s="123"/>
      <c r="BB594" s="123"/>
      <c r="BC594" s="123"/>
    </row>
    <row r="595" spans="44:55">
      <c r="AR595" s="123"/>
      <c r="AS595" s="123"/>
      <c r="AT595" s="123"/>
      <c r="AU595" s="123"/>
      <c r="AV595" s="123"/>
      <c r="AW595" s="123"/>
      <c r="AX595" s="123"/>
      <c r="AY595" s="123"/>
      <c r="AZ595" s="123"/>
      <c r="BA595" s="123"/>
      <c r="BB595" s="123"/>
      <c r="BC595" s="123"/>
    </row>
    <row r="596" spans="44:55">
      <c r="AR596" s="123"/>
      <c r="AS596" s="123"/>
      <c r="AT596" s="123"/>
      <c r="AU596" s="123"/>
      <c r="AV596" s="123"/>
      <c r="AW596" s="123"/>
      <c r="AX596" s="123"/>
      <c r="AY596" s="123"/>
      <c r="AZ596" s="123"/>
      <c r="BA596" s="123"/>
      <c r="BB596" s="123"/>
      <c r="BC596" s="123"/>
    </row>
    <row r="597" spans="44:55">
      <c r="AR597" s="123"/>
      <c r="AS597" s="123"/>
      <c r="AT597" s="123"/>
      <c r="AU597" s="123"/>
      <c r="AV597" s="123"/>
      <c r="AW597" s="123"/>
      <c r="AX597" s="123"/>
      <c r="AY597" s="123"/>
      <c r="AZ597" s="123"/>
      <c r="BA597" s="123"/>
      <c r="BB597" s="123"/>
      <c r="BC597" s="123"/>
    </row>
    <row r="598" spans="44:55">
      <c r="AR598" s="123"/>
      <c r="AS598" s="123"/>
      <c r="AT598" s="123"/>
      <c r="AU598" s="123"/>
      <c r="AV598" s="123"/>
      <c r="AW598" s="123"/>
      <c r="AX598" s="123"/>
      <c r="AY598" s="123"/>
      <c r="AZ598" s="123"/>
      <c r="BA598" s="123"/>
      <c r="BB598" s="123"/>
      <c r="BC598" s="123"/>
    </row>
    <row r="599" spans="44:55">
      <c r="AR599" s="123"/>
      <c r="AS599" s="123"/>
      <c r="AT599" s="123"/>
      <c r="AU599" s="123"/>
      <c r="AV599" s="123"/>
      <c r="AW599" s="123"/>
      <c r="AX599" s="123"/>
      <c r="AY599" s="123"/>
      <c r="AZ599" s="123"/>
      <c r="BA599" s="123"/>
      <c r="BB599" s="123"/>
      <c r="BC599" s="123"/>
    </row>
    <row r="600" spans="44:55">
      <c r="AR600" s="123"/>
      <c r="AS600" s="123"/>
      <c r="AT600" s="123"/>
      <c r="AU600" s="123"/>
      <c r="AV600" s="123"/>
      <c r="AW600" s="123"/>
      <c r="AX600" s="123"/>
      <c r="AY600" s="123"/>
      <c r="AZ600" s="123"/>
      <c r="BA600" s="123"/>
      <c r="BB600" s="123"/>
      <c r="BC600" s="123"/>
    </row>
    <row r="601" spans="44:55">
      <c r="AR601" s="123"/>
      <c r="AS601" s="123"/>
      <c r="AT601" s="123"/>
      <c r="AU601" s="123"/>
      <c r="AV601" s="123"/>
      <c r="AW601" s="123"/>
      <c r="AX601" s="123"/>
      <c r="AY601" s="123"/>
      <c r="AZ601" s="123"/>
      <c r="BA601" s="123"/>
      <c r="BB601" s="123"/>
      <c r="BC601" s="123"/>
    </row>
    <row r="602" spans="44:55">
      <c r="AR602" s="123"/>
      <c r="AS602" s="123"/>
      <c r="AT602" s="123"/>
      <c r="AU602" s="123"/>
      <c r="AV602" s="123"/>
      <c r="AW602" s="123"/>
      <c r="AX602" s="123"/>
      <c r="AY602" s="123"/>
      <c r="AZ602" s="123"/>
      <c r="BA602" s="123"/>
      <c r="BB602" s="123"/>
      <c r="BC602" s="123"/>
    </row>
    <row r="603" spans="44:55">
      <c r="AR603" s="123"/>
      <c r="AS603" s="123"/>
      <c r="AT603" s="123"/>
      <c r="AU603" s="123"/>
      <c r="AV603" s="123"/>
      <c r="AW603" s="123"/>
      <c r="AX603" s="123"/>
      <c r="AY603" s="123"/>
      <c r="AZ603" s="123"/>
      <c r="BA603" s="123"/>
      <c r="BB603" s="123"/>
      <c r="BC603" s="123"/>
    </row>
    <row r="604" spans="44:55">
      <c r="AR604" s="123"/>
      <c r="AS604" s="123"/>
      <c r="AT604" s="123"/>
      <c r="AU604" s="123"/>
      <c r="AV604" s="123"/>
      <c r="AW604" s="123"/>
      <c r="AX604" s="123"/>
      <c r="AY604" s="123"/>
      <c r="AZ604" s="123"/>
      <c r="BA604" s="123"/>
      <c r="BB604" s="123"/>
      <c r="BC604" s="123"/>
    </row>
    <row r="605" spans="44:55">
      <c r="AR605" s="123"/>
      <c r="AS605" s="123"/>
      <c r="AT605" s="123"/>
      <c r="AU605" s="123"/>
      <c r="AV605" s="123"/>
      <c r="AW605" s="123"/>
      <c r="AX605" s="123"/>
      <c r="AY605" s="123"/>
      <c r="AZ605" s="123"/>
      <c r="BA605" s="123"/>
      <c r="BB605" s="123"/>
      <c r="BC605" s="123"/>
    </row>
    <row r="606" spans="44:55">
      <c r="AR606" s="123"/>
      <c r="AS606" s="123"/>
      <c r="AT606" s="123"/>
      <c r="AU606" s="123"/>
      <c r="AV606" s="123"/>
      <c r="AW606" s="123"/>
      <c r="AX606" s="123"/>
      <c r="AY606" s="123"/>
      <c r="AZ606" s="123"/>
      <c r="BA606" s="123"/>
      <c r="BB606" s="123"/>
      <c r="BC606" s="123"/>
    </row>
    <row r="607" spans="44:55">
      <c r="AR607" s="123"/>
      <c r="AS607" s="123"/>
      <c r="AT607" s="123"/>
      <c r="AU607" s="123"/>
      <c r="AV607" s="123"/>
      <c r="AW607" s="123"/>
      <c r="AX607" s="123"/>
      <c r="AY607" s="123"/>
      <c r="AZ607" s="123"/>
      <c r="BA607" s="123"/>
      <c r="BB607" s="123"/>
      <c r="BC607" s="123"/>
    </row>
    <row r="608" spans="44:55">
      <c r="AR608" s="123"/>
      <c r="AS608" s="123"/>
      <c r="AT608" s="123"/>
      <c r="AU608" s="123"/>
      <c r="AV608" s="123"/>
      <c r="AW608" s="123"/>
      <c r="AX608" s="123"/>
      <c r="AY608" s="123"/>
      <c r="AZ608" s="123"/>
      <c r="BA608" s="123"/>
      <c r="BB608" s="123"/>
      <c r="BC608" s="123"/>
    </row>
    <row r="609" spans="44:55">
      <c r="AR609" s="123"/>
      <c r="AS609" s="123"/>
      <c r="AT609" s="123"/>
      <c r="AU609" s="123"/>
      <c r="AV609" s="123"/>
      <c r="AW609" s="123"/>
      <c r="AX609" s="123"/>
      <c r="AY609" s="123"/>
      <c r="AZ609" s="123"/>
      <c r="BA609" s="123"/>
      <c r="BB609" s="123"/>
      <c r="BC609" s="123"/>
    </row>
    <row r="610" spans="44:55">
      <c r="AR610" s="123"/>
      <c r="AS610" s="123"/>
      <c r="AT610" s="123"/>
      <c r="AU610" s="123"/>
      <c r="AV610" s="123"/>
      <c r="AW610" s="123"/>
      <c r="AX610" s="123"/>
      <c r="AY610" s="123"/>
      <c r="AZ610" s="123"/>
      <c r="BA610" s="123"/>
      <c r="BB610" s="123"/>
      <c r="BC610" s="123"/>
    </row>
    <row r="611" spans="44:55">
      <c r="AR611" s="123"/>
      <c r="AS611" s="123"/>
      <c r="AT611" s="123"/>
      <c r="AU611" s="123"/>
      <c r="AV611" s="123"/>
      <c r="AW611" s="123"/>
      <c r="AX611" s="123"/>
      <c r="AY611" s="123"/>
      <c r="AZ611" s="123"/>
      <c r="BA611" s="123"/>
      <c r="BB611" s="123"/>
      <c r="BC611" s="123"/>
    </row>
    <row r="612" spans="44:55">
      <c r="AR612" s="123"/>
      <c r="AS612" s="123"/>
      <c r="AT612" s="123"/>
      <c r="AU612" s="123"/>
      <c r="AV612" s="123"/>
      <c r="AW612" s="123"/>
      <c r="AX612" s="123"/>
      <c r="AY612" s="123"/>
      <c r="AZ612" s="123"/>
      <c r="BA612" s="123"/>
      <c r="BB612" s="123"/>
      <c r="BC612" s="123"/>
    </row>
    <row r="613" spans="44:55">
      <c r="AR613" s="123"/>
      <c r="AS613" s="123"/>
      <c r="AT613" s="123"/>
      <c r="AU613" s="123"/>
      <c r="AV613" s="123"/>
      <c r="AW613" s="123"/>
      <c r="AX613" s="123"/>
      <c r="AY613" s="123"/>
      <c r="AZ613" s="123"/>
      <c r="BA613" s="123"/>
      <c r="BB613" s="123"/>
      <c r="BC613" s="123"/>
    </row>
    <row r="614" spans="44:55">
      <c r="AR614" s="123"/>
      <c r="AS614" s="123"/>
      <c r="AT614" s="123"/>
      <c r="AU614" s="123"/>
      <c r="AV614" s="123"/>
      <c r="AW614" s="123"/>
      <c r="AX614" s="123"/>
      <c r="AY614" s="123"/>
      <c r="AZ614" s="123"/>
      <c r="BA614" s="123"/>
      <c r="BB614" s="123"/>
      <c r="BC614" s="123"/>
    </row>
    <row r="615" spans="44:55">
      <c r="AR615" s="123"/>
      <c r="AS615" s="123"/>
      <c r="AT615" s="123"/>
      <c r="AU615" s="123"/>
      <c r="AV615" s="123"/>
      <c r="AW615" s="123"/>
      <c r="AX615" s="123"/>
      <c r="AY615" s="123"/>
      <c r="AZ615" s="123"/>
      <c r="BA615" s="123"/>
      <c r="BB615" s="123"/>
      <c r="BC615" s="123"/>
    </row>
    <row r="616" spans="44:55">
      <c r="AR616" s="123"/>
      <c r="AS616" s="123"/>
      <c r="AT616" s="123"/>
      <c r="AU616" s="123"/>
      <c r="AV616" s="123"/>
      <c r="AW616" s="123"/>
      <c r="AX616" s="123"/>
      <c r="AY616" s="123"/>
      <c r="AZ616" s="123"/>
      <c r="BA616" s="123"/>
      <c r="BB616" s="123"/>
      <c r="BC616" s="123"/>
    </row>
    <row r="617" spans="44:55">
      <c r="AR617" s="123"/>
      <c r="AS617" s="123"/>
      <c r="AT617" s="123"/>
      <c r="AU617" s="123"/>
      <c r="AV617" s="123"/>
      <c r="AW617" s="123"/>
      <c r="AX617" s="123"/>
      <c r="AY617" s="123"/>
      <c r="AZ617" s="123"/>
      <c r="BA617" s="123"/>
      <c r="BB617" s="123"/>
      <c r="BC617" s="123"/>
    </row>
    <row r="618" spans="44:55">
      <c r="AR618" s="123"/>
      <c r="AS618" s="123"/>
      <c r="AT618" s="123"/>
      <c r="AU618" s="123"/>
      <c r="AV618" s="123"/>
      <c r="AW618" s="123"/>
      <c r="AX618" s="123"/>
      <c r="AY618" s="123"/>
      <c r="AZ618" s="123"/>
      <c r="BA618" s="123"/>
      <c r="BB618" s="123"/>
      <c r="BC618" s="123"/>
    </row>
    <row r="619" spans="44:55">
      <c r="AR619" s="123"/>
      <c r="AS619" s="123"/>
      <c r="AT619" s="123"/>
      <c r="AU619" s="123"/>
      <c r="AV619" s="123"/>
      <c r="AW619" s="123"/>
      <c r="AX619" s="123"/>
      <c r="AY619" s="123"/>
      <c r="AZ619" s="123"/>
      <c r="BA619" s="123"/>
      <c r="BB619" s="123"/>
      <c r="BC619" s="123"/>
    </row>
    <row r="620" spans="44:55">
      <c r="AR620" s="123"/>
      <c r="AS620" s="123"/>
      <c r="AT620" s="123"/>
      <c r="AU620" s="123"/>
      <c r="AV620" s="123"/>
      <c r="AW620" s="123"/>
      <c r="AX620" s="123"/>
      <c r="AY620" s="123"/>
      <c r="AZ620" s="123"/>
      <c r="BA620" s="123"/>
      <c r="BB620" s="123"/>
      <c r="BC620" s="123"/>
    </row>
    <row r="621" spans="44:55">
      <c r="AR621" s="123"/>
      <c r="AS621" s="123"/>
      <c r="AT621" s="123"/>
      <c r="AU621" s="123"/>
      <c r="AV621" s="123"/>
      <c r="AW621" s="123"/>
      <c r="AX621" s="123"/>
      <c r="AY621" s="123"/>
      <c r="AZ621" s="123"/>
      <c r="BA621" s="123"/>
      <c r="BB621" s="123"/>
      <c r="BC621" s="123"/>
    </row>
    <row r="622" spans="44:55">
      <c r="AR622" s="123"/>
      <c r="AS622" s="123"/>
      <c r="AT622" s="123"/>
      <c r="AU622" s="123"/>
      <c r="AV622" s="123"/>
      <c r="AW622" s="123"/>
      <c r="AX622" s="123"/>
      <c r="AY622" s="123"/>
      <c r="AZ622" s="123"/>
      <c r="BA622" s="123"/>
      <c r="BB622" s="123"/>
      <c r="BC622" s="123"/>
    </row>
    <row r="623" spans="44:55">
      <c r="AR623" s="123"/>
      <c r="AS623" s="123"/>
      <c r="AT623" s="123"/>
      <c r="AU623" s="123"/>
      <c r="AV623" s="123"/>
      <c r="AW623" s="123"/>
      <c r="AX623" s="123"/>
      <c r="AY623" s="123"/>
      <c r="AZ623" s="123"/>
      <c r="BA623" s="123"/>
      <c r="BB623" s="123"/>
      <c r="BC623" s="123"/>
    </row>
    <row r="624" spans="44:55">
      <c r="AR624" s="123"/>
      <c r="AS624" s="123"/>
      <c r="AT624" s="123"/>
      <c r="AU624" s="123"/>
      <c r="AV624" s="123"/>
      <c r="AW624" s="123"/>
      <c r="AX624" s="123"/>
      <c r="AY624" s="123"/>
      <c r="AZ624" s="123"/>
      <c r="BA624" s="123"/>
      <c r="BB624" s="123"/>
      <c r="BC624" s="123"/>
    </row>
    <row r="625" spans="44:55">
      <c r="AR625" s="123"/>
      <c r="AS625" s="123"/>
      <c r="AT625" s="123"/>
      <c r="AU625" s="123"/>
      <c r="AV625" s="123"/>
      <c r="AW625" s="123"/>
      <c r="AX625" s="123"/>
      <c r="AY625" s="123"/>
      <c r="AZ625" s="123"/>
      <c r="BA625" s="123"/>
      <c r="BB625" s="123"/>
      <c r="BC625" s="123"/>
    </row>
    <row r="626" spans="44:55">
      <c r="AR626" s="123"/>
      <c r="AS626" s="123"/>
      <c r="AT626" s="123"/>
      <c r="AU626" s="123"/>
      <c r="AV626" s="123"/>
      <c r="AW626" s="123"/>
      <c r="AX626" s="123"/>
      <c r="AY626" s="123"/>
      <c r="AZ626" s="123"/>
      <c r="BA626" s="123"/>
      <c r="BB626" s="123"/>
      <c r="BC626" s="123"/>
    </row>
    <row r="627" spans="44:55">
      <c r="AR627" s="123"/>
      <c r="AS627" s="123"/>
      <c r="AT627" s="123"/>
      <c r="AU627" s="123"/>
      <c r="AV627" s="123"/>
      <c r="AW627" s="123"/>
      <c r="AX627" s="123"/>
      <c r="AY627" s="123"/>
      <c r="AZ627" s="123"/>
      <c r="BA627" s="123"/>
      <c r="BB627" s="123"/>
      <c r="BC627" s="123"/>
    </row>
    <row r="628" spans="44:55">
      <c r="AR628" s="123"/>
      <c r="AS628" s="123"/>
      <c r="AT628" s="123"/>
      <c r="AU628" s="123"/>
      <c r="AV628" s="123"/>
      <c r="AW628" s="123"/>
      <c r="AX628" s="123"/>
      <c r="AY628" s="123"/>
      <c r="AZ628" s="123"/>
      <c r="BA628" s="123"/>
      <c r="BB628" s="123"/>
      <c r="BC628" s="123"/>
    </row>
    <row r="629" spans="44:55">
      <c r="AR629" s="123"/>
      <c r="AS629" s="123"/>
      <c r="AT629" s="123"/>
      <c r="AU629" s="123"/>
      <c r="AV629" s="123"/>
      <c r="AW629" s="123"/>
      <c r="AX629" s="123"/>
      <c r="AY629" s="123"/>
      <c r="AZ629" s="123"/>
      <c r="BA629" s="123"/>
      <c r="BB629" s="123"/>
      <c r="BC629" s="123"/>
    </row>
    <row r="630" spans="44:55">
      <c r="AR630" s="123"/>
      <c r="AS630" s="123"/>
      <c r="AT630" s="123"/>
      <c r="AU630" s="123"/>
      <c r="AV630" s="123"/>
      <c r="AW630" s="123"/>
      <c r="AX630" s="123"/>
      <c r="AY630" s="123"/>
      <c r="AZ630" s="123"/>
      <c r="BA630" s="123"/>
      <c r="BB630" s="123"/>
      <c r="BC630" s="123"/>
    </row>
    <row r="631" spans="44:55">
      <c r="AR631" s="123"/>
      <c r="AS631" s="123"/>
      <c r="AT631" s="123"/>
      <c r="AU631" s="123"/>
      <c r="AV631" s="123"/>
      <c r="AW631" s="123"/>
      <c r="AX631" s="123"/>
      <c r="AY631" s="123"/>
      <c r="AZ631" s="123"/>
      <c r="BA631" s="123"/>
      <c r="BB631" s="123"/>
      <c r="BC631" s="123"/>
    </row>
    <row r="632" spans="44:55">
      <c r="AR632" s="123"/>
      <c r="AS632" s="123"/>
      <c r="AT632" s="123"/>
      <c r="AU632" s="123"/>
      <c r="AV632" s="123"/>
      <c r="AW632" s="123"/>
      <c r="AX632" s="123"/>
      <c r="AY632" s="123"/>
      <c r="AZ632" s="123"/>
      <c r="BA632" s="123"/>
      <c r="BB632" s="123"/>
      <c r="BC632" s="123"/>
    </row>
    <row r="633" spans="44:55">
      <c r="AR633" s="123"/>
      <c r="AS633" s="123"/>
      <c r="AT633" s="123"/>
      <c r="AU633" s="123"/>
      <c r="AV633" s="123"/>
      <c r="AW633" s="123"/>
      <c r="AX633" s="123"/>
      <c r="AY633" s="123"/>
      <c r="AZ633" s="123"/>
      <c r="BA633" s="123"/>
      <c r="BB633" s="123"/>
      <c r="BC633" s="123"/>
    </row>
    <row r="634" spans="44:55">
      <c r="AR634" s="123"/>
      <c r="AS634" s="123"/>
      <c r="AT634" s="123"/>
      <c r="AU634" s="123"/>
      <c r="AV634" s="123"/>
      <c r="AW634" s="123"/>
      <c r="AX634" s="123"/>
      <c r="AY634" s="123"/>
      <c r="AZ634" s="123"/>
      <c r="BA634" s="123"/>
      <c r="BB634" s="123"/>
      <c r="BC634" s="123"/>
    </row>
    <row r="635" spans="44:55">
      <c r="AR635" s="123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</row>
    <row r="636" spans="44:55">
      <c r="AR636" s="123"/>
      <c r="AS636" s="123"/>
      <c r="AT636" s="123"/>
      <c r="AU636" s="123"/>
      <c r="AV636" s="123"/>
      <c r="AW636" s="123"/>
      <c r="AX636" s="123"/>
      <c r="AY636" s="123"/>
      <c r="AZ636" s="123"/>
      <c r="BA636" s="123"/>
      <c r="BB636" s="123"/>
      <c r="BC636" s="123"/>
    </row>
    <row r="637" spans="44:55">
      <c r="AR637" s="123"/>
      <c r="AS637" s="123"/>
      <c r="AT637" s="123"/>
      <c r="AU637" s="123"/>
      <c r="AV637" s="123"/>
      <c r="AW637" s="123"/>
      <c r="AX637" s="123"/>
      <c r="AY637" s="123"/>
      <c r="AZ637" s="123"/>
      <c r="BA637" s="123"/>
      <c r="BB637" s="123"/>
      <c r="BC637" s="123"/>
    </row>
    <row r="638" spans="44:55">
      <c r="AR638" s="123"/>
      <c r="AS638" s="123"/>
      <c r="AT638" s="123"/>
      <c r="AU638" s="123"/>
      <c r="AV638" s="123"/>
      <c r="AW638" s="123"/>
      <c r="AX638" s="123"/>
      <c r="AY638" s="123"/>
      <c r="AZ638" s="123"/>
      <c r="BA638" s="123"/>
      <c r="BB638" s="123"/>
      <c r="BC638" s="123"/>
    </row>
    <row r="639" spans="44:55">
      <c r="AR639" s="123"/>
      <c r="AS639" s="123"/>
      <c r="AT639" s="123"/>
      <c r="AU639" s="123"/>
      <c r="AV639" s="123"/>
      <c r="AW639" s="123"/>
      <c r="AX639" s="123"/>
      <c r="AY639" s="123"/>
      <c r="AZ639" s="123"/>
      <c r="BA639" s="123"/>
      <c r="BB639" s="123"/>
      <c r="BC639" s="123"/>
    </row>
    <row r="640" spans="44:55">
      <c r="AR640" s="123"/>
      <c r="AS640" s="123"/>
      <c r="AT640" s="123"/>
      <c r="AU640" s="123"/>
      <c r="AV640" s="123"/>
      <c r="AW640" s="123"/>
      <c r="AX640" s="123"/>
      <c r="AY640" s="123"/>
      <c r="AZ640" s="123"/>
      <c r="BA640" s="123"/>
      <c r="BB640" s="123"/>
      <c r="BC640" s="123"/>
    </row>
    <row r="641" spans="44:55">
      <c r="AR641" s="123"/>
      <c r="AS641" s="123"/>
      <c r="AT641" s="123"/>
      <c r="AU641" s="123"/>
      <c r="AV641" s="123"/>
      <c r="AW641" s="123"/>
      <c r="AX641" s="123"/>
      <c r="AY641" s="123"/>
      <c r="AZ641" s="123"/>
      <c r="BA641" s="123"/>
      <c r="BB641" s="123"/>
      <c r="BC641" s="123"/>
    </row>
    <row r="642" spans="44:55">
      <c r="AR642" s="123"/>
      <c r="AS642" s="123"/>
      <c r="AT642" s="123"/>
      <c r="AU642" s="123"/>
      <c r="AV642" s="123"/>
      <c r="AW642" s="123"/>
      <c r="AX642" s="123"/>
      <c r="AY642" s="123"/>
      <c r="AZ642" s="123"/>
      <c r="BA642" s="123"/>
      <c r="BB642" s="123"/>
      <c r="BC642" s="123"/>
    </row>
    <row r="643" spans="44:55">
      <c r="AR643" s="123"/>
      <c r="AS643" s="123"/>
      <c r="AT643" s="123"/>
      <c r="AU643" s="123"/>
      <c r="AV643" s="123"/>
      <c r="AW643" s="123"/>
      <c r="AX643" s="123"/>
      <c r="AY643" s="123"/>
      <c r="AZ643" s="123"/>
      <c r="BA643" s="123"/>
      <c r="BB643" s="123"/>
      <c r="BC643" s="123"/>
    </row>
    <row r="644" spans="44:55">
      <c r="AR644" s="123"/>
      <c r="AS644" s="123"/>
      <c r="AT644" s="123"/>
      <c r="AU644" s="123"/>
      <c r="AV644" s="123"/>
      <c r="AW644" s="123"/>
      <c r="AX644" s="123"/>
      <c r="AY644" s="123"/>
      <c r="AZ644" s="123"/>
      <c r="BA644" s="123"/>
      <c r="BB644" s="123"/>
      <c r="BC644" s="123"/>
    </row>
    <row r="645" spans="44:55">
      <c r="AR645" s="123"/>
      <c r="AS645" s="123"/>
      <c r="AT645" s="123"/>
      <c r="AU645" s="123"/>
      <c r="AV645" s="123"/>
      <c r="AW645" s="123"/>
      <c r="AX645" s="123"/>
      <c r="AY645" s="123"/>
      <c r="AZ645" s="123"/>
      <c r="BA645" s="123"/>
      <c r="BB645" s="123"/>
      <c r="BC645" s="123"/>
    </row>
    <row r="646" spans="44:55">
      <c r="AR646" s="123"/>
      <c r="AS646" s="123"/>
      <c r="AT646" s="123"/>
      <c r="AU646" s="123"/>
      <c r="AV646" s="123"/>
      <c r="AW646" s="123"/>
      <c r="AX646" s="123"/>
      <c r="AY646" s="123"/>
      <c r="AZ646" s="123"/>
      <c r="BA646" s="123"/>
      <c r="BB646" s="123"/>
      <c r="BC646" s="123"/>
    </row>
    <row r="647" spans="44:55">
      <c r="AR647" s="123"/>
      <c r="AS647" s="123"/>
      <c r="AT647" s="123"/>
      <c r="AU647" s="123"/>
      <c r="AV647" s="123"/>
      <c r="AW647" s="123"/>
      <c r="AX647" s="123"/>
      <c r="AY647" s="123"/>
      <c r="AZ647" s="123"/>
      <c r="BA647" s="123"/>
      <c r="BB647" s="123"/>
      <c r="BC647" s="123"/>
    </row>
    <row r="648" spans="44:55">
      <c r="AR648" s="123"/>
      <c r="AS648" s="123"/>
      <c r="AT648" s="123"/>
      <c r="AU648" s="123"/>
      <c r="AV648" s="123"/>
      <c r="AW648" s="123"/>
      <c r="AX648" s="123"/>
      <c r="AY648" s="123"/>
      <c r="AZ648" s="123"/>
      <c r="BA648" s="123"/>
      <c r="BB648" s="123"/>
      <c r="BC648" s="123"/>
    </row>
    <row r="649" spans="44:55">
      <c r="AR649" s="123"/>
      <c r="AS649" s="123"/>
      <c r="AT649" s="123"/>
      <c r="AU649" s="123"/>
      <c r="AV649" s="123"/>
      <c r="AW649" s="123"/>
      <c r="AX649" s="123"/>
      <c r="AY649" s="123"/>
      <c r="AZ649" s="123"/>
      <c r="BA649" s="123"/>
      <c r="BB649" s="123"/>
      <c r="BC649" s="123"/>
    </row>
    <row r="650" spans="44:55">
      <c r="AR650" s="123"/>
      <c r="AS650" s="123"/>
      <c r="AT650" s="123"/>
      <c r="AU650" s="123"/>
      <c r="AV650" s="123"/>
      <c r="AW650" s="123"/>
      <c r="AX650" s="123"/>
      <c r="AY650" s="123"/>
      <c r="AZ650" s="123"/>
      <c r="BA650" s="123"/>
      <c r="BB650" s="123"/>
      <c r="BC650" s="123"/>
    </row>
    <row r="651" spans="44:55">
      <c r="AR651" s="123"/>
      <c r="AS651" s="123"/>
      <c r="AT651" s="123"/>
      <c r="AU651" s="123"/>
      <c r="AV651" s="123"/>
      <c r="AW651" s="123"/>
      <c r="AX651" s="123"/>
      <c r="AY651" s="123"/>
      <c r="AZ651" s="123"/>
      <c r="BA651" s="123"/>
      <c r="BB651" s="123"/>
      <c r="BC651" s="123"/>
    </row>
    <row r="652" spans="44:55">
      <c r="AR652" s="123"/>
      <c r="AS652" s="123"/>
      <c r="AT652" s="123"/>
      <c r="AU652" s="123"/>
      <c r="AV652" s="123"/>
      <c r="AW652" s="123"/>
      <c r="AX652" s="123"/>
      <c r="AY652" s="123"/>
      <c r="AZ652" s="123"/>
      <c r="BA652" s="123"/>
      <c r="BB652" s="123"/>
      <c r="BC652" s="123"/>
    </row>
    <row r="653" spans="44:55">
      <c r="AR653" s="123"/>
      <c r="AS653" s="123"/>
      <c r="AT653" s="123"/>
      <c r="AU653" s="123"/>
      <c r="AV653" s="123"/>
      <c r="AW653" s="123"/>
      <c r="AX653" s="123"/>
      <c r="AY653" s="123"/>
      <c r="AZ653" s="123"/>
      <c r="BA653" s="123"/>
      <c r="BB653" s="123"/>
      <c r="BC653" s="123"/>
    </row>
    <row r="654" spans="44:55">
      <c r="AR654" s="123"/>
      <c r="AS654" s="123"/>
      <c r="AT654" s="123"/>
      <c r="AU654" s="123"/>
      <c r="AV654" s="123"/>
      <c r="AW654" s="123"/>
      <c r="AX654" s="123"/>
      <c r="AY654" s="123"/>
      <c r="AZ654" s="123"/>
      <c r="BA654" s="123"/>
      <c r="BB654" s="123"/>
      <c r="BC654" s="123"/>
    </row>
    <row r="655" spans="44:55">
      <c r="AR655" s="123"/>
      <c r="AS655" s="123"/>
      <c r="AT655" s="123"/>
      <c r="AU655" s="123"/>
      <c r="AV655" s="123"/>
      <c r="AW655" s="123"/>
      <c r="AX655" s="123"/>
      <c r="AY655" s="123"/>
      <c r="AZ655" s="123"/>
      <c r="BA655" s="123"/>
      <c r="BB655" s="123"/>
      <c r="BC655" s="123"/>
    </row>
    <row r="656" spans="44:55">
      <c r="AR656" s="123"/>
      <c r="AS656" s="123"/>
      <c r="AT656" s="123"/>
      <c r="AU656" s="123"/>
      <c r="AV656" s="123"/>
      <c r="AW656" s="123"/>
      <c r="AX656" s="123"/>
      <c r="AY656" s="123"/>
      <c r="AZ656" s="123"/>
      <c r="BA656" s="123"/>
      <c r="BB656" s="123"/>
      <c r="BC656" s="123"/>
    </row>
    <row r="657" spans="44:55">
      <c r="AR657" s="123"/>
      <c r="AS657" s="123"/>
      <c r="AT657" s="123"/>
      <c r="AU657" s="123"/>
      <c r="AV657" s="123"/>
      <c r="AW657" s="123"/>
      <c r="AX657" s="123"/>
      <c r="AY657" s="123"/>
      <c r="AZ657" s="123"/>
      <c r="BA657" s="123"/>
      <c r="BB657" s="123"/>
      <c r="BC657" s="123"/>
    </row>
    <row r="658" spans="44:55">
      <c r="AR658" s="123"/>
      <c r="AS658" s="123"/>
      <c r="AT658" s="123"/>
      <c r="AU658" s="123"/>
      <c r="AV658" s="123"/>
      <c r="AW658" s="123"/>
      <c r="AX658" s="123"/>
      <c r="AY658" s="123"/>
      <c r="AZ658" s="123"/>
      <c r="BA658" s="123"/>
      <c r="BB658" s="123"/>
      <c r="BC658" s="123"/>
    </row>
    <row r="659" spans="44:55">
      <c r="AR659" s="123"/>
      <c r="AS659" s="123"/>
      <c r="AT659" s="123"/>
      <c r="AU659" s="123"/>
      <c r="AV659" s="123"/>
      <c r="AW659" s="123"/>
      <c r="AX659" s="123"/>
      <c r="AY659" s="123"/>
      <c r="AZ659" s="123"/>
      <c r="BA659" s="123"/>
      <c r="BB659" s="123"/>
      <c r="BC659" s="123"/>
    </row>
    <row r="660" spans="44:55">
      <c r="AR660" s="123"/>
      <c r="AS660" s="123"/>
      <c r="AT660" s="123"/>
      <c r="AU660" s="123"/>
      <c r="AV660" s="123"/>
      <c r="AW660" s="123"/>
      <c r="AX660" s="123"/>
      <c r="AY660" s="123"/>
      <c r="AZ660" s="123"/>
      <c r="BA660" s="123"/>
      <c r="BB660" s="123"/>
      <c r="BC660" s="123"/>
    </row>
    <row r="661" spans="44:55">
      <c r="AR661" s="123"/>
      <c r="AS661" s="123"/>
      <c r="AT661" s="123"/>
      <c r="AU661" s="123"/>
      <c r="AV661" s="123"/>
      <c r="AW661" s="123"/>
      <c r="AX661" s="123"/>
      <c r="AY661" s="123"/>
      <c r="AZ661" s="123"/>
      <c r="BA661" s="123"/>
      <c r="BB661" s="123"/>
      <c r="BC661" s="123"/>
    </row>
    <row r="662" spans="44:55">
      <c r="AR662" s="123"/>
      <c r="AS662" s="123"/>
      <c r="AT662" s="123"/>
      <c r="AU662" s="123"/>
      <c r="AV662" s="123"/>
      <c r="AW662" s="123"/>
      <c r="AX662" s="123"/>
      <c r="AY662" s="123"/>
      <c r="AZ662" s="123"/>
      <c r="BA662" s="123"/>
      <c r="BB662" s="123"/>
      <c r="BC662" s="123"/>
    </row>
    <row r="663" spans="44:55">
      <c r="AR663" s="123"/>
      <c r="AS663" s="123"/>
      <c r="AT663" s="123"/>
      <c r="AU663" s="123"/>
      <c r="AV663" s="123"/>
      <c r="AW663" s="123"/>
      <c r="AX663" s="123"/>
      <c r="AY663" s="123"/>
      <c r="AZ663" s="123"/>
      <c r="BA663" s="123"/>
      <c r="BB663" s="123"/>
      <c r="BC663" s="123"/>
    </row>
    <row r="664" spans="44:55">
      <c r="AR664" s="123"/>
      <c r="AS664" s="123"/>
      <c r="AT664" s="123"/>
      <c r="AU664" s="123"/>
      <c r="AV664" s="123"/>
      <c r="AW664" s="123"/>
      <c r="AX664" s="123"/>
      <c r="AY664" s="123"/>
      <c r="AZ664" s="123"/>
      <c r="BA664" s="123"/>
      <c r="BB664" s="123"/>
      <c r="BC664" s="123"/>
    </row>
    <row r="665" spans="44:55">
      <c r="AR665" s="123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</row>
    <row r="666" spans="44:55">
      <c r="AR666" s="123"/>
      <c r="AS666" s="123"/>
      <c r="AT666" s="123"/>
      <c r="AU666" s="123"/>
      <c r="AV666" s="123"/>
      <c r="AW666" s="123"/>
      <c r="AX666" s="123"/>
      <c r="AY666" s="123"/>
      <c r="AZ666" s="123"/>
      <c r="BA666" s="123"/>
      <c r="BB666" s="123"/>
      <c r="BC666" s="123"/>
    </row>
    <row r="667" spans="44:55">
      <c r="AR667" s="123"/>
      <c r="AS667" s="123"/>
      <c r="AT667" s="123"/>
      <c r="AU667" s="123"/>
      <c r="AV667" s="123"/>
      <c r="AW667" s="123"/>
      <c r="AX667" s="123"/>
      <c r="AY667" s="123"/>
      <c r="AZ667" s="123"/>
      <c r="BA667" s="123"/>
      <c r="BB667" s="123"/>
      <c r="BC667" s="123"/>
    </row>
    <row r="668" spans="44:55">
      <c r="AR668" s="123"/>
      <c r="AS668" s="123"/>
      <c r="AT668" s="123"/>
      <c r="AU668" s="123"/>
      <c r="AV668" s="123"/>
      <c r="AW668" s="123"/>
      <c r="AX668" s="123"/>
      <c r="AY668" s="123"/>
      <c r="AZ668" s="123"/>
      <c r="BA668" s="123"/>
      <c r="BB668" s="123"/>
      <c r="BC668" s="123"/>
    </row>
    <row r="669" spans="44:55">
      <c r="AR669" s="123"/>
      <c r="AS669" s="123"/>
      <c r="AT669" s="123"/>
      <c r="AU669" s="123"/>
      <c r="AV669" s="123"/>
      <c r="AW669" s="123"/>
      <c r="AX669" s="123"/>
      <c r="AY669" s="123"/>
      <c r="AZ669" s="123"/>
      <c r="BA669" s="123"/>
      <c r="BB669" s="123"/>
      <c r="BC669" s="123"/>
    </row>
    <row r="670" spans="44:55">
      <c r="AR670" s="123"/>
      <c r="AS670" s="123"/>
      <c r="AT670" s="123"/>
      <c r="AU670" s="123"/>
      <c r="AV670" s="123"/>
      <c r="AW670" s="123"/>
      <c r="AX670" s="123"/>
      <c r="AY670" s="123"/>
      <c r="AZ670" s="123"/>
      <c r="BA670" s="123"/>
      <c r="BB670" s="123"/>
      <c r="BC670" s="123"/>
    </row>
    <row r="671" spans="44:55">
      <c r="AR671" s="123"/>
      <c r="AS671" s="123"/>
      <c r="AT671" s="123"/>
      <c r="AU671" s="123"/>
      <c r="AV671" s="123"/>
      <c r="AW671" s="123"/>
      <c r="AX671" s="123"/>
      <c r="AY671" s="123"/>
      <c r="AZ671" s="123"/>
      <c r="BA671" s="123"/>
      <c r="BB671" s="123"/>
      <c r="BC671" s="123"/>
    </row>
    <row r="672" spans="44:55">
      <c r="AR672" s="123"/>
      <c r="AS672" s="123"/>
      <c r="AT672" s="123"/>
      <c r="AU672" s="123"/>
      <c r="AV672" s="123"/>
      <c r="AW672" s="123"/>
      <c r="AX672" s="123"/>
      <c r="AY672" s="123"/>
      <c r="AZ672" s="123"/>
      <c r="BA672" s="123"/>
      <c r="BB672" s="123"/>
      <c r="BC672" s="123"/>
    </row>
    <row r="673" spans="44:55">
      <c r="AR673" s="123"/>
      <c r="AS673" s="123"/>
      <c r="AT673" s="123"/>
      <c r="AU673" s="123"/>
      <c r="AV673" s="123"/>
      <c r="AW673" s="123"/>
      <c r="AX673" s="123"/>
      <c r="AY673" s="123"/>
      <c r="AZ673" s="123"/>
      <c r="BA673" s="123"/>
      <c r="BB673" s="123"/>
      <c r="BC673" s="123"/>
    </row>
    <row r="674" spans="44:55">
      <c r="AR674" s="123"/>
      <c r="AS674" s="123"/>
      <c r="AT674" s="123"/>
      <c r="AU674" s="123"/>
      <c r="AV674" s="123"/>
      <c r="AW674" s="123"/>
      <c r="AX674" s="123"/>
      <c r="AY674" s="123"/>
      <c r="AZ674" s="123"/>
      <c r="BA674" s="123"/>
      <c r="BB674" s="123"/>
      <c r="BC674" s="123"/>
    </row>
    <row r="675" spans="44:55">
      <c r="AR675" s="123"/>
      <c r="AS675" s="123"/>
      <c r="AT675" s="123"/>
      <c r="AU675" s="123"/>
      <c r="AV675" s="123"/>
      <c r="AW675" s="123"/>
      <c r="AX675" s="123"/>
      <c r="AY675" s="123"/>
      <c r="AZ675" s="123"/>
      <c r="BA675" s="123"/>
      <c r="BB675" s="123"/>
      <c r="BC675" s="123"/>
    </row>
    <row r="676" spans="44:55">
      <c r="AR676" s="123"/>
      <c r="AS676" s="123"/>
      <c r="AT676" s="123"/>
      <c r="AU676" s="123"/>
      <c r="AV676" s="123"/>
      <c r="AW676" s="123"/>
      <c r="AX676" s="123"/>
      <c r="AY676" s="123"/>
      <c r="AZ676" s="123"/>
      <c r="BA676" s="123"/>
      <c r="BB676" s="123"/>
      <c r="BC676" s="123"/>
    </row>
    <row r="677" spans="44:55">
      <c r="AR677" s="123"/>
      <c r="AS677" s="123"/>
      <c r="AT677" s="123"/>
      <c r="AU677" s="123"/>
      <c r="AV677" s="123"/>
      <c r="AW677" s="123"/>
      <c r="AX677" s="123"/>
      <c r="AY677" s="123"/>
      <c r="AZ677" s="123"/>
      <c r="BA677" s="123"/>
      <c r="BB677" s="123"/>
      <c r="BC677" s="123"/>
    </row>
    <row r="678" spans="44:55">
      <c r="AR678" s="123"/>
      <c r="AS678" s="123"/>
      <c r="AT678" s="123"/>
      <c r="AU678" s="123"/>
      <c r="AV678" s="123"/>
      <c r="AW678" s="123"/>
      <c r="AX678" s="123"/>
      <c r="AY678" s="123"/>
      <c r="AZ678" s="123"/>
      <c r="BA678" s="123"/>
      <c r="BB678" s="123"/>
      <c r="BC678" s="123"/>
    </row>
    <row r="679" spans="44:55">
      <c r="AR679" s="123"/>
      <c r="AS679" s="123"/>
      <c r="AT679" s="123"/>
      <c r="AU679" s="123"/>
      <c r="AV679" s="123"/>
      <c r="AW679" s="123"/>
      <c r="AX679" s="123"/>
      <c r="AY679" s="123"/>
      <c r="AZ679" s="123"/>
      <c r="BA679" s="123"/>
      <c r="BB679" s="123"/>
      <c r="BC679" s="123"/>
    </row>
    <row r="680" spans="44:55">
      <c r="AR680" s="123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</row>
    <row r="681" spans="44:55">
      <c r="AR681" s="123"/>
      <c r="AS681" s="123"/>
      <c r="AT681" s="123"/>
      <c r="AU681" s="123"/>
      <c r="AV681" s="123"/>
      <c r="AW681" s="123"/>
      <c r="AX681" s="123"/>
      <c r="AY681" s="123"/>
      <c r="AZ681" s="123"/>
      <c r="BA681" s="123"/>
      <c r="BB681" s="123"/>
      <c r="BC681" s="123"/>
    </row>
    <row r="682" spans="44:55">
      <c r="AR682" s="123"/>
      <c r="AS682" s="123"/>
      <c r="AT682" s="123"/>
      <c r="AU682" s="123"/>
      <c r="AV682" s="123"/>
      <c r="AW682" s="123"/>
      <c r="AX682" s="123"/>
      <c r="AY682" s="123"/>
      <c r="AZ682" s="123"/>
      <c r="BA682" s="123"/>
      <c r="BB682" s="123"/>
      <c r="BC682" s="123"/>
    </row>
    <row r="683" spans="44:55">
      <c r="AR683" s="123"/>
      <c r="AS683" s="123"/>
      <c r="AT683" s="123"/>
      <c r="AU683" s="123"/>
      <c r="AV683" s="123"/>
      <c r="AW683" s="123"/>
      <c r="AX683" s="123"/>
      <c r="AY683" s="123"/>
      <c r="AZ683" s="123"/>
      <c r="BA683" s="123"/>
      <c r="BB683" s="123"/>
      <c r="BC683" s="123"/>
    </row>
    <row r="684" spans="44:55">
      <c r="AR684" s="123"/>
      <c r="AS684" s="123"/>
      <c r="AT684" s="123"/>
      <c r="AU684" s="123"/>
      <c r="AV684" s="123"/>
      <c r="AW684" s="123"/>
      <c r="AX684" s="123"/>
      <c r="AY684" s="123"/>
      <c r="AZ684" s="123"/>
      <c r="BA684" s="123"/>
      <c r="BB684" s="123"/>
      <c r="BC684" s="123"/>
    </row>
    <row r="685" spans="44:55">
      <c r="AR685" s="123"/>
      <c r="AS685" s="123"/>
      <c r="AT685" s="123"/>
      <c r="AU685" s="123"/>
      <c r="AV685" s="123"/>
      <c r="AW685" s="123"/>
      <c r="AX685" s="123"/>
      <c r="AY685" s="123"/>
      <c r="AZ685" s="123"/>
      <c r="BA685" s="123"/>
      <c r="BB685" s="123"/>
      <c r="BC685" s="123"/>
    </row>
    <row r="686" spans="44:55">
      <c r="AR686" s="123"/>
      <c r="AS686" s="123"/>
      <c r="AT686" s="123"/>
      <c r="AU686" s="123"/>
      <c r="AV686" s="123"/>
      <c r="AW686" s="123"/>
      <c r="AX686" s="123"/>
      <c r="AY686" s="123"/>
      <c r="AZ686" s="123"/>
      <c r="BA686" s="123"/>
      <c r="BB686" s="123"/>
      <c r="BC686" s="123"/>
    </row>
    <row r="687" spans="44:55">
      <c r="AR687" s="123"/>
      <c r="AS687" s="123"/>
      <c r="AT687" s="123"/>
      <c r="AU687" s="123"/>
      <c r="AV687" s="123"/>
      <c r="AW687" s="123"/>
      <c r="AX687" s="123"/>
      <c r="AY687" s="123"/>
      <c r="AZ687" s="123"/>
      <c r="BA687" s="123"/>
      <c r="BB687" s="123"/>
      <c r="BC687" s="123"/>
    </row>
    <row r="688" spans="44:55">
      <c r="AR688" s="123"/>
      <c r="AS688" s="123"/>
      <c r="AT688" s="123"/>
      <c r="AU688" s="123"/>
      <c r="AV688" s="123"/>
      <c r="AW688" s="123"/>
      <c r="AX688" s="123"/>
      <c r="AY688" s="123"/>
      <c r="AZ688" s="123"/>
      <c r="BA688" s="123"/>
      <c r="BB688" s="123"/>
      <c r="BC688" s="123"/>
    </row>
    <row r="689" spans="44:55">
      <c r="AR689" s="123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</row>
    <row r="690" spans="44:55">
      <c r="AR690" s="123"/>
      <c r="AS690" s="123"/>
      <c r="AT690" s="123"/>
      <c r="AU690" s="123"/>
      <c r="AV690" s="123"/>
      <c r="AW690" s="123"/>
      <c r="AX690" s="123"/>
      <c r="AY690" s="123"/>
      <c r="AZ690" s="123"/>
      <c r="BA690" s="123"/>
      <c r="BB690" s="123"/>
      <c r="BC690" s="123"/>
    </row>
    <row r="691" spans="44:55">
      <c r="AR691" s="123"/>
      <c r="AS691" s="123"/>
      <c r="AT691" s="123"/>
      <c r="AU691" s="123"/>
      <c r="AV691" s="123"/>
      <c r="AW691" s="123"/>
      <c r="AX691" s="123"/>
      <c r="AY691" s="123"/>
      <c r="AZ691" s="123"/>
      <c r="BA691" s="123"/>
      <c r="BB691" s="123"/>
      <c r="BC691" s="123"/>
    </row>
    <row r="692" spans="44:55">
      <c r="AR692" s="123"/>
      <c r="AS692" s="123"/>
      <c r="AT692" s="123"/>
      <c r="AU692" s="123"/>
      <c r="AV692" s="123"/>
      <c r="AW692" s="123"/>
      <c r="AX692" s="123"/>
      <c r="AY692" s="123"/>
      <c r="AZ692" s="123"/>
      <c r="BA692" s="123"/>
      <c r="BB692" s="123"/>
      <c r="BC692" s="123"/>
    </row>
    <row r="693" spans="44:55">
      <c r="AR693" s="123"/>
      <c r="AS693" s="123"/>
      <c r="AT693" s="123"/>
      <c r="AU693" s="123"/>
      <c r="AV693" s="123"/>
      <c r="AW693" s="123"/>
      <c r="AX693" s="123"/>
      <c r="AY693" s="123"/>
      <c r="AZ693" s="123"/>
      <c r="BA693" s="123"/>
      <c r="BB693" s="123"/>
      <c r="BC693" s="123"/>
    </row>
    <row r="694" spans="44:55">
      <c r="AR694" s="123"/>
      <c r="AS694" s="123"/>
      <c r="AT694" s="123"/>
      <c r="AU694" s="123"/>
      <c r="AV694" s="123"/>
      <c r="AW694" s="123"/>
      <c r="AX694" s="123"/>
      <c r="AY694" s="123"/>
      <c r="AZ694" s="123"/>
      <c r="BA694" s="123"/>
      <c r="BB694" s="123"/>
      <c r="BC694" s="123"/>
    </row>
    <row r="695" spans="44:55">
      <c r="AR695" s="123"/>
      <c r="AS695" s="123"/>
      <c r="AT695" s="123"/>
      <c r="AU695" s="123"/>
      <c r="AV695" s="123"/>
      <c r="AW695" s="123"/>
      <c r="AX695" s="123"/>
      <c r="AY695" s="123"/>
      <c r="AZ695" s="123"/>
      <c r="BA695" s="123"/>
      <c r="BB695" s="123"/>
      <c r="BC695" s="123"/>
    </row>
    <row r="696" spans="44:55">
      <c r="AR696" s="123"/>
      <c r="AS696" s="123"/>
      <c r="AT696" s="123"/>
      <c r="AU696" s="123"/>
      <c r="AV696" s="123"/>
      <c r="AW696" s="123"/>
      <c r="AX696" s="123"/>
      <c r="AY696" s="123"/>
      <c r="AZ696" s="123"/>
      <c r="BA696" s="123"/>
      <c r="BB696" s="123"/>
      <c r="BC696" s="123"/>
    </row>
    <row r="697" spans="44:55">
      <c r="AR697" s="123"/>
      <c r="AS697" s="123"/>
      <c r="AT697" s="123"/>
      <c r="AU697" s="123"/>
      <c r="AV697" s="123"/>
      <c r="AW697" s="123"/>
      <c r="AX697" s="123"/>
      <c r="AY697" s="123"/>
      <c r="AZ697" s="123"/>
      <c r="BA697" s="123"/>
      <c r="BB697" s="123"/>
      <c r="BC697" s="123"/>
    </row>
    <row r="698" spans="44:55">
      <c r="AR698" s="123"/>
      <c r="AS698" s="123"/>
      <c r="AT698" s="123"/>
      <c r="AU698" s="123"/>
      <c r="AV698" s="123"/>
      <c r="AW698" s="123"/>
      <c r="AX698" s="123"/>
      <c r="AY698" s="123"/>
      <c r="AZ698" s="123"/>
      <c r="BA698" s="123"/>
      <c r="BB698" s="123"/>
      <c r="BC698" s="123"/>
    </row>
    <row r="699" spans="44:55">
      <c r="AR699" s="123"/>
      <c r="AS699" s="123"/>
      <c r="AT699" s="123"/>
      <c r="AU699" s="123"/>
      <c r="AV699" s="123"/>
      <c r="AW699" s="123"/>
      <c r="AX699" s="123"/>
      <c r="AY699" s="123"/>
      <c r="AZ699" s="123"/>
      <c r="BA699" s="123"/>
      <c r="BB699" s="123"/>
      <c r="BC699" s="123"/>
    </row>
    <row r="700" spans="44:55">
      <c r="AR700" s="123"/>
      <c r="AS700" s="123"/>
      <c r="AT700" s="123"/>
      <c r="AU700" s="123"/>
      <c r="AV700" s="123"/>
      <c r="AW700" s="123"/>
      <c r="AX700" s="123"/>
      <c r="AY700" s="123"/>
      <c r="AZ700" s="123"/>
      <c r="BA700" s="123"/>
      <c r="BB700" s="123"/>
      <c r="BC700" s="123"/>
    </row>
    <row r="701" spans="44:55">
      <c r="AR701" s="123"/>
      <c r="AS701" s="123"/>
      <c r="AT701" s="123"/>
      <c r="AU701" s="123"/>
      <c r="AV701" s="123"/>
      <c r="AW701" s="123"/>
      <c r="AX701" s="123"/>
      <c r="AY701" s="123"/>
      <c r="AZ701" s="123"/>
      <c r="BA701" s="123"/>
      <c r="BB701" s="123"/>
      <c r="BC701" s="123"/>
    </row>
    <row r="702" spans="44:55">
      <c r="AR702" s="123"/>
      <c r="AS702" s="123"/>
      <c r="AT702" s="123"/>
      <c r="AU702" s="123"/>
      <c r="AV702" s="123"/>
      <c r="AW702" s="123"/>
      <c r="AX702" s="123"/>
      <c r="AY702" s="123"/>
      <c r="AZ702" s="123"/>
      <c r="BA702" s="123"/>
      <c r="BB702" s="123"/>
      <c r="BC702" s="123"/>
    </row>
    <row r="703" spans="44:55">
      <c r="AR703" s="123"/>
      <c r="AS703" s="123"/>
      <c r="AT703" s="123"/>
      <c r="AU703" s="123"/>
      <c r="AV703" s="123"/>
      <c r="AW703" s="123"/>
      <c r="AX703" s="123"/>
      <c r="AY703" s="123"/>
      <c r="AZ703" s="123"/>
      <c r="BA703" s="123"/>
      <c r="BB703" s="123"/>
      <c r="BC703" s="123"/>
    </row>
    <row r="704" spans="44:55">
      <c r="AR704" s="123"/>
      <c r="AS704" s="123"/>
      <c r="AT704" s="123"/>
      <c r="AU704" s="123"/>
      <c r="AV704" s="123"/>
      <c r="AW704" s="123"/>
      <c r="AX704" s="123"/>
      <c r="AY704" s="123"/>
      <c r="AZ704" s="123"/>
      <c r="BA704" s="123"/>
      <c r="BB704" s="123"/>
      <c r="BC704" s="123"/>
    </row>
    <row r="705" spans="44:55">
      <c r="AR705" s="123"/>
      <c r="AS705" s="123"/>
      <c r="AT705" s="123"/>
      <c r="AU705" s="123"/>
      <c r="AV705" s="123"/>
      <c r="AW705" s="123"/>
      <c r="AX705" s="123"/>
      <c r="AY705" s="123"/>
      <c r="AZ705" s="123"/>
      <c r="BA705" s="123"/>
      <c r="BB705" s="123"/>
      <c r="BC705" s="123"/>
    </row>
    <row r="706" spans="44:55">
      <c r="AR706" s="123"/>
      <c r="AS706" s="123"/>
      <c r="AT706" s="123"/>
      <c r="AU706" s="123"/>
      <c r="AV706" s="123"/>
      <c r="AW706" s="123"/>
      <c r="AX706" s="123"/>
      <c r="AY706" s="123"/>
      <c r="AZ706" s="123"/>
      <c r="BA706" s="123"/>
      <c r="BB706" s="123"/>
      <c r="BC706" s="123"/>
    </row>
    <row r="707" spans="44:55">
      <c r="AR707" s="123"/>
      <c r="AS707" s="123"/>
      <c r="AT707" s="123"/>
      <c r="AU707" s="123"/>
      <c r="AV707" s="123"/>
      <c r="AW707" s="123"/>
      <c r="AX707" s="123"/>
      <c r="AY707" s="123"/>
      <c r="AZ707" s="123"/>
      <c r="BA707" s="123"/>
      <c r="BB707" s="123"/>
      <c r="BC707" s="123"/>
    </row>
    <row r="708" spans="44:55">
      <c r="AR708" s="123"/>
      <c r="AS708" s="123"/>
      <c r="AT708" s="123"/>
      <c r="AU708" s="123"/>
      <c r="AV708" s="123"/>
      <c r="AW708" s="123"/>
      <c r="AX708" s="123"/>
      <c r="AY708" s="123"/>
      <c r="AZ708" s="123"/>
      <c r="BA708" s="123"/>
      <c r="BB708" s="123"/>
      <c r="BC708" s="123"/>
    </row>
    <row r="709" spans="44:55">
      <c r="AR709" s="123"/>
      <c r="AS709" s="123"/>
      <c r="AT709" s="123"/>
      <c r="AU709" s="123"/>
      <c r="AV709" s="123"/>
      <c r="AW709" s="123"/>
      <c r="AX709" s="123"/>
      <c r="AY709" s="123"/>
      <c r="AZ709" s="123"/>
      <c r="BA709" s="123"/>
      <c r="BB709" s="123"/>
      <c r="BC709" s="123"/>
    </row>
    <row r="710" spans="44:55">
      <c r="AR710" s="123"/>
      <c r="AS710" s="123"/>
      <c r="AT710" s="123"/>
      <c r="AU710" s="123"/>
      <c r="AV710" s="123"/>
      <c r="AW710" s="123"/>
      <c r="AX710" s="123"/>
      <c r="AY710" s="123"/>
      <c r="AZ710" s="123"/>
      <c r="BA710" s="123"/>
      <c r="BB710" s="123"/>
      <c r="BC710" s="123"/>
    </row>
    <row r="711" spans="44:55">
      <c r="AR711" s="123"/>
      <c r="AS711" s="123"/>
      <c r="AT711" s="123"/>
      <c r="AU711" s="123"/>
      <c r="AV711" s="123"/>
      <c r="AW711" s="123"/>
      <c r="AX711" s="123"/>
      <c r="AY711" s="123"/>
      <c r="AZ711" s="123"/>
      <c r="BA711" s="123"/>
      <c r="BB711" s="123"/>
      <c r="BC711" s="123"/>
    </row>
    <row r="712" spans="44:55">
      <c r="AR712" s="123"/>
      <c r="AS712" s="123"/>
      <c r="AT712" s="123"/>
      <c r="AU712" s="123"/>
      <c r="AV712" s="123"/>
      <c r="AW712" s="123"/>
      <c r="AX712" s="123"/>
      <c r="AY712" s="123"/>
      <c r="AZ712" s="123"/>
      <c r="BA712" s="123"/>
      <c r="BB712" s="123"/>
      <c r="BC712" s="123"/>
    </row>
    <row r="713" spans="44:55">
      <c r="AR713" s="123"/>
      <c r="AS713" s="123"/>
      <c r="AT713" s="123"/>
      <c r="AU713" s="123"/>
      <c r="AV713" s="123"/>
      <c r="AW713" s="123"/>
      <c r="AX713" s="123"/>
      <c r="AY713" s="123"/>
      <c r="AZ713" s="123"/>
      <c r="BA713" s="123"/>
      <c r="BB713" s="123"/>
      <c r="BC713" s="123"/>
    </row>
    <row r="714" spans="44:55">
      <c r="AR714" s="123"/>
      <c r="AS714" s="123"/>
      <c r="AT714" s="123"/>
      <c r="AU714" s="123"/>
      <c r="AV714" s="123"/>
      <c r="AW714" s="123"/>
      <c r="AX714" s="123"/>
      <c r="AY714" s="123"/>
      <c r="AZ714" s="123"/>
      <c r="BA714" s="123"/>
      <c r="BB714" s="123"/>
      <c r="BC714" s="123"/>
    </row>
    <row r="715" spans="44:55">
      <c r="AR715" s="123"/>
      <c r="AS715" s="123"/>
      <c r="AT715" s="123"/>
      <c r="AU715" s="123"/>
      <c r="AV715" s="123"/>
      <c r="AW715" s="123"/>
      <c r="AX715" s="123"/>
      <c r="AY715" s="123"/>
      <c r="AZ715" s="123"/>
      <c r="BA715" s="123"/>
      <c r="BB715" s="123"/>
      <c r="BC715" s="123"/>
    </row>
    <row r="716" spans="44:55">
      <c r="AR716" s="123"/>
      <c r="AS716" s="123"/>
      <c r="AT716" s="123"/>
      <c r="AU716" s="123"/>
      <c r="AV716" s="123"/>
      <c r="AW716" s="123"/>
      <c r="AX716" s="123"/>
      <c r="AY716" s="123"/>
      <c r="AZ716" s="123"/>
      <c r="BA716" s="123"/>
      <c r="BB716" s="123"/>
      <c r="BC716" s="123"/>
    </row>
    <row r="717" spans="44:55">
      <c r="AR717" s="123"/>
      <c r="AS717" s="123"/>
      <c r="AT717" s="123"/>
      <c r="AU717" s="123"/>
      <c r="AV717" s="123"/>
      <c r="AW717" s="123"/>
      <c r="AX717" s="123"/>
      <c r="AY717" s="123"/>
      <c r="AZ717" s="123"/>
      <c r="BA717" s="123"/>
      <c r="BB717" s="123"/>
      <c r="BC717" s="123"/>
    </row>
    <row r="718" spans="44:55">
      <c r="AR718" s="123"/>
      <c r="AS718" s="123"/>
      <c r="AT718" s="123"/>
      <c r="AU718" s="123"/>
      <c r="AV718" s="123"/>
      <c r="AW718" s="123"/>
      <c r="AX718" s="123"/>
      <c r="AY718" s="123"/>
      <c r="AZ718" s="123"/>
      <c r="BA718" s="123"/>
      <c r="BB718" s="123"/>
      <c r="BC718" s="123"/>
    </row>
    <row r="719" spans="44:55">
      <c r="AR719" s="123"/>
      <c r="AS719" s="123"/>
      <c r="AT719" s="123"/>
      <c r="AU719" s="123"/>
      <c r="AV719" s="123"/>
      <c r="AW719" s="123"/>
      <c r="AX719" s="123"/>
      <c r="AY719" s="123"/>
      <c r="AZ719" s="123"/>
      <c r="BA719" s="123"/>
      <c r="BB719" s="123"/>
      <c r="BC719" s="123"/>
    </row>
    <row r="720" spans="44:55">
      <c r="AR720" s="123"/>
      <c r="AS720" s="123"/>
      <c r="AT720" s="123"/>
      <c r="AU720" s="123"/>
      <c r="AV720" s="123"/>
      <c r="AW720" s="123"/>
      <c r="AX720" s="123"/>
      <c r="AY720" s="123"/>
      <c r="AZ720" s="123"/>
      <c r="BA720" s="123"/>
      <c r="BB720" s="123"/>
      <c r="BC720" s="123"/>
    </row>
    <row r="721" spans="44:55">
      <c r="AR721" s="123"/>
      <c r="AS721" s="123"/>
      <c r="AT721" s="123"/>
      <c r="AU721" s="123"/>
      <c r="AV721" s="123"/>
      <c r="AW721" s="123"/>
      <c r="AX721" s="123"/>
      <c r="AY721" s="123"/>
      <c r="AZ721" s="123"/>
      <c r="BA721" s="123"/>
      <c r="BB721" s="123"/>
      <c r="BC721" s="123"/>
    </row>
    <row r="722" spans="44:55">
      <c r="AR722" s="123"/>
      <c r="AS722" s="123"/>
      <c r="AT722" s="123"/>
      <c r="AU722" s="123"/>
      <c r="AV722" s="123"/>
      <c r="AW722" s="123"/>
      <c r="AX722" s="123"/>
      <c r="AY722" s="123"/>
      <c r="AZ722" s="123"/>
      <c r="BA722" s="123"/>
      <c r="BB722" s="123"/>
      <c r="BC722" s="123"/>
    </row>
    <row r="723" spans="44:55">
      <c r="AR723" s="123"/>
      <c r="AS723" s="123"/>
      <c r="AT723" s="123"/>
      <c r="AU723" s="123"/>
      <c r="AV723" s="123"/>
      <c r="AW723" s="123"/>
      <c r="AX723" s="123"/>
      <c r="AY723" s="123"/>
      <c r="AZ723" s="123"/>
      <c r="BA723" s="123"/>
      <c r="BB723" s="123"/>
      <c r="BC723" s="123"/>
    </row>
    <row r="724" spans="44:55">
      <c r="AR724" s="123"/>
      <c r="AS724" s="123"/>
      <c r="AT724" s="123"/>
      <c r="AU724" s="123"/>
      <c r="AV724" s="123"/>
      <c r="AW724" s="123"/>
      <c r="AX724" s="123"/>
      <c r="AY724" s="123"/>
      <c r="AZ724" s="123"/>
      <c r="BA724" s="123"/>
      <c r="BB724" s="123"/>
      <c r="BC724" s="123"/>
    </row>
    <row r="725" spans="44:55">
      <c r="AR725" s="123"/>
      <c r="AS725" s="123"/>
      <c r="AT725" s="123"/>
      <c r="AU725" s="123"/>
      <c r="AV725" s="123"/>
      <c r="AW725" s="123"/>
      <c r="AX725" s="123"/>
      <c r="AY725" s="123"/>
      <c r="AZ725" s="123"/>
      <c r="BA725" s="123"/>
      <c r="BB725" s="123"/>
      <c r="BC725" s="123"/>
    </row>
    <row r="726" spans="44:55">
      <c r="AR726" s="123"/>
      <c r="AS726" s="123"/>
      <c r="AT726" s="123"/>
      <c r="AU726" s="123"/>
      <c r="AV726" s="123"/>
      <c r="AW726" s="123"/>
      <c r="AX726" s="123"/>
      <c r="AY726" s="123"/>
      <c r="AZ726" s="123"/>
      <c r="BA726" s="123"/>
      <c r="BB726" s="123"/>
      <c r="BC726" s="123"/>
    </row>
    <row r="727" spans="44:55">
      <c r="AR727" s="123"/>
      <c r="AS727" s="123"/>
      <c r="AT727" s="123"/>
      <c r="AU727" s="123"/>
      <c r="AV727" s="123"/>
      <c r="AW727" s="123"/>
      <c r="AX727" s="123"/>
      <c r="AY727" s="123"/>
      <c r="AZ727" s="123"/>
      <c r="BA727" s="123"/>
      <c r="BB727" s="123"/>
      <c r="BC727" s="123"/>
    </row>
    <row r="728" spans="44:55">
      <c r="AR728" s="123"/>
      <c r="AS728" s="123"/>
      <c r="AT728" s="123"/>
      <c r="AU728" s="123"/>
      <c r="AV728" s="123"/>
      <c r="AW728" s="123"/>
      <c r="AX728" s="123"/>
      <c r="AY728" s="123"/>
      <c r="AZ728" s="123"/>
      <c r="BA728" s="123"/>
      <c r="BB728" s="123"/>
      <c r="BC728" s="123"/>
    </row>
    <row r="729" spans="44:55">
      <c r="AR729" s="123"/>
      <c r="AS729" s="123"/>
      <c r="AT729" s="123"/>
      <c r="AU729" s="123"/>
      <c r="AV729" s="123"/>
      <c r="AW729" s="123"/>
      <c r="AX729" s="123"/>
      <c r="AY729" s="123"/>
      <c r="AZ729" s="123"/>
      <c r="BA729" s="123"/>
      <c r="BB729" s="123"/>
      <c r="BC729" s="123"/>
    </row>
    <row r="730" spans="44:55">
      <c r="AR730" s="123"/>
      <c r="AS730" s="123"/>
      <c r="AT730" s="123"/>
      <c r="AU730" s="123"/>
      <c r="AV730" s="123"/>
      <c r="AW730" s="123"/>
      <c r="AX730" s="123"/>
      <c r="AY730" s="123"/>
      <c r="AZ730" s="123"/>
      <c r="BA730" s="123"/>
      <c r="BB730" s="123"/>
      <c r="BC730" s="123"/>
    </row>
    <row r="731" spans="44:55">
      <c r="AR731" s="123"/>
      <c r="AS731" s="123"/>
      <c r="AT731" s="123"/>
      <c r="AU731" s="123"/>
      <c r="AV731" s="123"/>
      <c r="AW731" s="123"/>
      <c r="AX731" s="123"/>
      <c r="AY731" s="123"/>
      <c r="AZ731" s="123"/>
      <c r="BA731" s="123"/>
      <c r="BB731" s="123"/>
      <c r="BC731" s="123"/>
    </row>
    <row r="732" spans="44:55">
      <c r="AR732" s="123"/>
      <c r="AS732" s="123"/>
      <c r="AT732" s="123"/>
      <c r="AU732" s="123"/>
      <c r="AV732" s="123"/>
      <c r="AW732" s="123"/>
      <c r="AX732" s="123"/>
      <c r="AY732" s="123"/>
      <c r="AZ732" s="123"/>
      <c r="BA732" s="123"/>
      <c r="BB732" s="123"/>
      <c r="BC732" s="123"/>
    </row>
    <row r="733" spans="44:55">
      <c r="AR733" s="123"/>
      <c r="AS733" s="123"/>
      <c r="AT733" s="123"/>
      <c r="AU733" s="123"/>
      <c r="AV733" s="123"/>
      <c r="AW733" s="123"/>
      <c r="AX733" s="123"/>
      <c r="AY733" s="123"/>
      <c r="AZ733" s="123"/>
      <c r="BA733" s="123"/>
      <c r="BB733" s="123"/>
      <c r="BC733" s="123"/>
    </row>
    <row r="734" spans="44:55">
      <c r="AR734" s="123"/>
      <c r="AS734" s="123"/>
      <c r="AT734" s="123"/>
      <c r="AU734" s="123"/>
      <c r="AV734" s="123"/>
      <c r="AW734" s="123"/>
      <c r="AX734" s="123"/>
      <c r="AY734" s="123"/>
      <c r="AZ734" s="123"/>
      <c r="BA734" s="123"/>
      <c r="BB734" s="123"/>
      <c r="BC734" s="123"/>
    </row>
    <row r="735" spans="44:55">
      <c r="AR735" s="123"/>
      <c r="AS735" s="123"/>
      <c r="AT735" s="123"/>
      <c r="AU735" s="123"/>
      <c r="AV735" s="123"/>
      <c r="AW735" s="123"/>
      <c r="AX735" s="123"/>
      <c r="AY735" s="123"/>
      <c r="AZ735" s="123"/>
      <c r="BA735" s="123"/>
      <c r="BB735" s="123"/>
      <c r="BC735" s="123"/>
    </row>
    <row r="736" spans="44:55">
      <c r="AR736" s="123"/>
      <c r="AS736" s="123"/>
      <c r="AT736" s="123"/>
      <c r="AU736" s="123"/>
      <c r="AV736" s="123"/>
      <c r="AW736" s="123"/>
      <c r="AX736" s="123"/>
      <c r="AY736" s="123"/>
      <c r="AZ736" s="123"/>
      <c r="BA736" s="123"/>
      <c r="BB736" s="123"/>
      <c r="BC736" s="123"/>
    </row>
    <row r="737" spans="44:55">
      <c r="AR737" s="123"/>
      <c r="AS737" s="123"/>
      <c r="AT737" s="123"/>
      <c r="AU737" s="123"/>
      <c r="AV737" s="123"/>
      <c r="AW737" s="123"/>
      <c r="AX737" s="123"/>
      <c r="AY737" s="123"/>
      <c r="AZ737" s="123"/>
      <c r="BA737" s="123"/>
      <c r="BB737" s="123"/>
      <c r="BC737" s="123"/>
    </row>
    <row r="738" spans="44:55">
      <c r="AR738" s="123"/>
      <c r="AS738" s="123"/>
      <c r="AT738" s="123"/>
      <c r="AU738" s="123"/>
      <c r="AV738" s="123"/>
      <c r="AW738" s="123"/>
      <c r="AX738" s="123"/>
      <c r="AY738" s="123"/>
      <c r="AZ738" s="123"/>
      <c r="BA738" s="123"/>
      <c r="BB738" s="123"/>
      <c r="BC738" s="123"/>
    </row>
    <row r="739" spans="44:55">
      <c r="AR739" s="123"/>
      <c r="AS739" s="123"/>
      <c r="AT739" s="123"/>
      <c r="AU739" s="123"/>
      <c r="AV739" s="123"/>
      <c r="AW739" s="123"/>
      <c r="AX739" s="123"/>
      <c r="AY739" s="123"/>
      <c r="AZ739" s="123"/>
      <c r="BA739" s="123"/>
      <c r="BB739" s="123"/>
      <c r="BC739" s="123"/>
    </row>
    <row r="740" spans="44:55">
      <c r="AR740" s="123"/>
      <c r="AS740" s="123"/>
      <c r="AT740" s="123"/>
      <c r="AU740" s="123"/>
      <c r="AV740" s="123"/>
      <c r="AW740" s="123"/>
      <c r="AX740" s="123"/>
      <c r="AY740" s="123"/>
      <c r="AZ740" s="123"/>
      <c r="BA740" s="123"/>
      <c r="BB740" s="123"/>
      <c r="BC740" s="123"/>
    </row>
    <row r="741" spans="44:55">
      <c r="AR741" s="123"/>
      <c r="AS741" s="123"/>
      <c r="AT741" s="123"/>
      <c r="AU741" s="123"/>
      <c r="AV741" s="123"/>
      <c r="AW741" s="123"/>
      <c r="AX741" s="123"/>
      <c r="AY741" s="123"/>
      <c r="AZ741" s="123"/>
      <c r="BA741" s="123"/>
      <c r="BB741" s="123"/>
      <c r="BC741" s="123"/>
    </row>
    <row r="742" spans="44:55">
      <c r="AR742" s="123"/>
      <c r="AS742" s="123"/>
      <c r="AT742" s="123"/>
      <c r="AU742" s="123"/>
      <c r="AV742" s="123"/>
      <c r="AW742" s="123"/>
      <c r="AX742" s="123"/>
      <c r="AY742" s="123"/>
      <c r="AZ742" s="123"/>
      <c r="BA742" s="123"/>
      <c r="BB742" s="123"/>
      <c r="BC742" s="123"/>
    </row>
    <row r="743" spans="44:55">
      <c r="AR743" s="123"/>
      <c r="AS743" s="123"/>
      <c r="AT743" s="123"/>
      <c r="AU743" s="123"/>
      <c r="AV743" s="123"/>
      <c r="AW743" s="123"/>
      <c r="AX743" s="123"/>
      <c r="AY743" s="123"/>
      <c r="AZ743" s="123"/>
      <c r="BA743" s="123"/>
      <c r="BB743" s="123"/>
      <c r="BC743" s="123"/>
    </row>
    <row r="744" spans="44:55">
      <c r="AR744" s="123"/>
      <c r="AS744" s="123"/>
      <c r="AT744" s="123"/>
      <c r="AU744" s="123"/>
      <c r="AV744" s="123"/>
      <c r="AW744" s="123"/>
      <c r="AX744" s="123"/>
      <c r="AY744" s="123"/>
      <c r="AZ744" s="123"/>
      <c r="BA744" s="123"/>
      <c r="BB744" s="123"/>
      <c r="BC744" s="123"/>
    </row>
    <row r="745" spans="44:55">
      <c r="AR745" s="123"/>
      <c r="AS745" s="123"/>
      <c r="AT745" s="123"/>
      <c r="AU745" s="123"/>
      <c r="AV745" s="123"/>
      <c r="AW745" s="123"/>
      <c r="AX745" s="123"/>
      <c r="AY745" s="123"/>
      <c r="AZ745" s="123"/>
      <c r="BA745" s="123"/>
      <c r="BB745" s="123"/>
      <c r="BC745" s="123"/>
    </row>
    <row r="746" spans="44:55">
      <c r="AR746" s="123"/>
      <c r="AS746" s="123"/>
      <c r="AT746" s="123"/>
      <c r="AU746" s="123"/>
      <c r="AV746" s="123"/>
      <c r="AW746" s="123"/>
      <c r="AX746" s="123"/>
      <c r="AY746" s="123"/>
      <c r="AZ746" s="123"/>
      <c r="BA746" s="123"/>
      <c r="BB746" s="123"/>
      <c r="BC746" s="123"/>
    </row>
    <row r="747" spans="44:55">
      <c r="AR747" s="123"/>
      <c r="AS747" s="123"/>
      <c r="AT747" s="123"/>
      <c r="AU747" s="123"/>
      <c r="AV747" s="123"/>
      <c r="AW747" s="123"/>
      <c r="AX747" s="123"/>
      <c r="AY747" s="123"/>
      <c r="AZ747" s="123"/>
      <c r="BA747" s="123"/>
      <c r="BB747" s="123"/>
      <c r="BC747" s="123"/>
    </row>
    <row r="748" spans="44:55">
      <c r="AR748" s="123"/>
      <c r="AS748" s="123"/>
      <c r="AT748" s="123"/>
      <c r="AU748" s="123"/>
      <c r="AV748" s="123"/>
      <c r="AW748" s="123"/>
      <c r="AX748" s="123"/>
      <c r="AY748" s="123"/>
      <c r="AZ748" s="123"/>
      <c r="BA748" s="123"/>
      <c r="BB748" s="123"/>
      <c r="BC748" s="123"/>
    </row>
    <row r="749" spans="44:55">
      <c r="AR749" s="123"/>
      <c r="AS749" s="123"/>
      <c r="AT749" s="123"/>
      <c r="AU749" s="123"/>
      <c r="AV749" s="123"/>
      <c r="AW749" s="123"/>
      <c r="AX749" s="123"/>
      <c r="AY749" s="123"/>
      <c r="AZ749" s="123"/>
      <c r="BA749" s="123"/>
      <c r="BB749" s="123"/>
      <c r="BC749" s="123"/>
    </row>
    <row r="750" spans="44:55">
      <c r="AR750" s="123"/>
      <c r="AS750" s="123"/>
      <c r="AT750" s="123"/>
      <c r="AU750" s="123"/>
      <c r="AV750" s="123"/>
      <c r="AW750" s="123"/>
      <c r="AX750" s="123"/>
      <c r="AY750" s="123"/>
      <c r="AZ750" s="123"/>
      <c r="BA750" s="123"/>
      <c r="BB750" s="123"/>
      <c r="BC750" s="123"/>
    </row>
    <row r="751" spans="44:55">
      <c r="AR751" s="123"/>
      <c r="AS751" s="123"/>
      <c r="AT751" s="123"/>
      <c r="AU751" s="123"/>
      <c r="AV751" s="123"/>
      <c r="AW751" s="123"/>
      <c r="AX751" s="123"/>
      <c r="AY751" s="123"/>
      <c r="AZ751" s="123"/>
      <c r="BA751" s="123"/>
      <c r="BB751" s="123"/>
      <c r="BC751" s="123"/>
    </row>
    <row r="752" spans="44:55">
      <c r="AR752" s="123"/>
      <c r="AS752" s="123"/>
      <c r="AT752" s="123"/>
      <c r="AU752" s="123"/>
      <c r="AV752" s="123"/>
      <c r="AW752" s="123"/>
      <c r="AX752" s="123"/>
      <c r="AY752" s="123"/>
      <c r="AZ752" s="123"/>
      <c r="BA752" s="123"/>
      <c r="BB752" s="123"/>
      <c r="BC752" s="123"/>
    </row>
    <row r="753" spans="44:55">
      <c r="AR753" s="123"/>
      <c r="AS753" s="123"/>
      <c r="AT753" s="123"/>
      <c r="AU753" s="123"/>
      <c r="AV753" s="123"/>
      <c r="AW753" s="123"/>
      <c r="AX753" s="123"/>
      <c r="AY753" s="123"/>
      <c r="AZ753" s="123"/>
      <c r="BA753" s="123"/>
      <c r="BB753" s="123"/>
      <c r="BC753" s="123"/>
    </row>
    <row r="754" spans="44:55">
      <c r="AR754" s="123"/>
      <c r="AS754" s="123"/>
      <c r="AT754" s="123"/>
      <c r="AU754" s="123"/>
      <c r="AV754" s="123"/>
      <c r="AW754" s="123"/>
      <c r="AX754" s="123"/>
      <c r="AY754" s="123"/>
      <c r="AZ754" s="123"/>
      <c r="BA754" s="123"/>
      <c r="BB754" s="123"/>
      <c r="BC754" s="123"/>
    </row>
    <row r="755" spans="44:55">
      <c r="AR755" s="123"/>
      <c r="AS755" s="123"/>
      <c r="AT755" s="123"/>
      <c r="AU755" s="123"/>
      <c r="AV755" s="123"/>
      <c r="AW755" s="123"/>
      <c r="AX755" s="123"/>
      <c r="AY755" s="123"/>
      <c r="AZ755" s="123"/>
      <c r="BA755" s="123"/>
      <c r="BB755" s="123"/>
      <c r="BC755" s="123"/>
    </row>
    <row r="756" spans="44:55">
      <c r="AR756" s="123"/>
      <c r="AS756" s="123"/>
      <c r="AT756" s="123"/>
      <c r="AU756" s="123"/>
      <c r="AV756" s="123"/>
      <c r="AW756" s="123"/>
      <c r="AX756" s="123"/>
      <c r="AY756" s="123"/>
      <c r="AZ756" s="123"/>
      <c r="BA756" s="123"/>
      <c r="BB756" s="123"/>
      <c r="BC756" s="123"/>
    </row>
    <row r="757" spans="44:55">
      <c r="AR757" s="123"/>
      <c r="AS757" s="123"/>
      <c r="AT757" s="123"/>
      <c r="AU757" s="123"/>
      <c r="AV757" s="123"/>
      <c r="AW757" s="123"/>
      <c r="AX757" s="123"/>
      <c r="AY757" s="123"/>
      <c r="AZ757" s="123"/>
      <c r="BA757" s="123"/>
      <c r="BB757" s="123"/>
      <c r="BC757" s="123"/>
    </row>
    <row r="758" spans="44:55">
      <c r="AR758" s="123"/>
      <c r="AS758" s="123"/>
      <c r="AT758" s="123"/>
      <c r="AU758" s="123"/>
      <c r="AV758" s="123"/>
      <c r="AW758" s="123"/>
      <c r="AX758" s="123"/>
      <c r="AY758" s="123"/>
      <c r="AZ758" s="123"/>
      <c r="BA758" s="123"/>
      <c r="BB758" s="123"/>
      <c r="BC758" s="123"/>
    </row>
    <row r="759" spans="44:55">
      <c r="AR759" s="123"/>
      <c r="AS759" s="123"/>
      <c r="AT759" s="123"/>
      <c r="AU759" s="123"/>
      <c r="AV759" s="123"/>
      <c r="AW759" s="123"/>
      <c r="AX759" s="123"/>
      <c r="AY759" s="123"/>
      <c r="AZ759" s="123"/>
      <c r="BA759" s="123"/>
      <c r="BB759" s="123"/>
      <c r="BC759" s="123"/>
    </row>
    <row r="760" spans="44:55">
      <c r="AR760" s="123"/>
      <c r="AS760" s="123"/>
      <c r="AT760" s="123"/>
      <c r="AU760" s="123"/>
      <c r="AV760" s="123"/>
      <c r="AW760" s="123"/>
      <c r="AX760" s="123"/>
      <c r="AY760" s="123"/>
      <c r="AZ760" s="123"/>
      <c r="BA760" s="123"/>
      <c r="BB760" s="123"/>
      <c r="BC760" s="123"/>
    </row>
    <row r="761" spans="44:55">
      <c r="AR761" s="123"/>
      <c r="AS761" s="123"/>
      <c r="AT761" s="123"/>
      <c r="AU761" s="123"/>
      <c r="AV761" s="123"/>
      <c r="AW761" s="123"/>
      <c r="AX761" s="123"/>
      <c r="AY761" s="123"/>
      <c r="AZ761" s="123"/>
      <c r="BA761" s="123"/>
      <c r="BB761" s="123"/>
      <c r="BC761" s="123"/>
    </row>
    <row r="762" spans="44:55">
      <c r="AR762" s="123"/>
      <c r="AS762" s="123"/>
      <c r="AT762" s="123"/>
      <c r="AU762" s="123"/>
      <c r="AV762" s="123"/>
      <c r="AW762" s="123"/>
      <c r="AX762" s="123"/>
      <c r="AY762" s="123"/>
      <c r="AZ762" s="123"/>
      <c r="BA762" s="123"/>
      <c r="BB762" s="123"/>
      <c r="BC762" s="123"/>
    </row>
    <row r="763" spans="44:55">
      <c r="AR763" s="123"/>
      <c r="AS763" s="123"/>
      <c r="AT763" s="123"/>
      <c r="AU763" s="123"/>
      <c r="AV763" s="123"/>
      <c r="AW763" s="123"/>
      <c r="AX763" s="123"/>
      <c r="AY763" s="123"/>
      <c r="AZ763" s="123"/>
      <c r="BA763" s="123"/>
      <c r="BB763" s="123"/>
      <c r="BC763" s="123"/>
    </row>
    <row r="764" spans="44:55">
      <c r="AR764" s="123"/>
      <c r="AS764" s="123"/>
      <c r="AT764" s="123"/>
      <c r="AU764" s="123"/>
      <c r="AV764" s="123"/>
      <c r="AW764" s="123"/>
      <c r="AX764" s="123"/>
      <c r="AY764" s="123"/>
      <c r="AZ764" s="123"/>
      <c r="BA764" s="123"/>
      <c r="BB764" s="123"/>
      <c r="BC764" s="123"/>
    </row>
    <row r="765" spans="44:55">
      <c r="AR765" s="123"/>
      <c r="AS765" s="123"/>
      <c r="AT765" s="123"/>
      <c r="AU765" s="123"/>
      <c r="AV765" s="123"/>
      <c r="AW765" s="123"/>
      <c r="AX765" s="123"/>
      <c r="AY765" s="123"/>
      <c r="AZ765" s="123"/>
      <c r="BA765" s="123"/>
      <c r="BB765" s="123"/>
      <c r="BC765" s="123"/>
    </row>
    <row r="766" spans="44:55">
      <c r="AR766" s="123"/>
      <c r="AS766" s="123"/>
      <c r="AT766" s="123"/>
      <c r="AU766" s="123"/>
      <c r="AV766" s="123"/>
      <c r="AW766" s="123"/>
      <c r="AX766" s="123"/>
      <c r="AY766" s="123"/>
      <c r="AZ766" s="123"/>
      <c r="BA766" s="123"/>
      <c r="BB766" s="123"/>
      <c r="BC766" s="123"/>
    </row>
    <row r="767" spans="44:55">
      <c r="AR767" s="123"/>
      <c r="AS767" s="123"/>
      <c r="AT767" s="123"/>
      <c r="AU767" s="123"/>
      <c r="AV767" s="123"/>
      <c r="AW767" s="123"/>
      <c r="AX767" s="123"/>
      <c r="AY767" s="123"/>
      <c r="AZ767" s="123"/>
      <c r="BA767" s="123"/>
      <c r="BB767" s="123"/>
      <c r="BC767" s="123"/>
    </row>
    <row r="768" spans="44:55">
      <c r="AR768" s="123"/>
      <c r="AS768" s="123"/>
      <c r="AT768" s="123"/>
      <c r="AU768" s="123"/>
      <c r="AV768" s="123"/>
      <c r="AW768" s="123"/>
      <c r="AX768" s="123"/>
      <c r="AY768" s="123"/>
      <c r="AZ768" s="123"/>
      <c r="BA768" s="123"/>
      <c r="BB768" s="123"/>
      <c r="BC768" s="123"/>
    </row>
    <row r="769" spans="44:55">
      <c r="AR769" s="123"/>
      <c r="AS769" s="123"/>
      <c r="AT769" s="123"/>
      <c r="AU769" s="123"/>
      <c r="AV769" s="123"/>
      <c r="AW769" s="123"/>
      <c r="AX769" s="123"/>
      <c r="AY769" s="123"/>
      <c r="AZ769" s="123"/>
      <c r="BA769" s="123"/>
      <c r="BB769" s="123"/>
      <c r="BC769" s="123"/>
    </row>
    <row r="770" spans="44:55">
      <c r="AR770" s="123"/>
      <c r="AS770" s="123"/>
      <c r="AT770" s="123"/>
      <c r="AU770" s="123"/>
      <c r="AV770" s="123"/>
      <c r="AW770" s="123"/>
      <c r="AX770" s="123"/>
      <c r="AY770" s="123"/>
      <c r="AZ770" s="123"/>
      <c r="BA770" s="123"/>
      <c r="BB770" s="123"/>
      <c r="BC770" s="123"/>
    </row>
    <row r="771" spans="44:55">
      <c r="AR771" s="123"/>
      <c r="AS771" s="123"/>
      <c r="AT771" s="123"/>
      <c r="AU771" s="123"/>
      <c r="AV771" s="123"/>
      <c r="AW771" s="123"/>
      <c r="AX771" s="123"/>
      <c r="AY771" s="123"/>
      <c r="AZ771" s="123"/>
      <c r="BA771" s="123"/>
      <c r="BB771" s="123"/>
      <c r="BC771" s="123"/>
    </row>
    <row r="772" spans="44:55">
      <c r="AR772" s="123"/>
      <c r="AS772" s="123"/>
      <c r="AT772" s="123"/>
      <c r="AU772" s="123"/>
      <c r="AV772" s="123"/>
      <c r="AW772" s="123"/>
      <c r="AX772" s="123"/>
      <c r="AY772" s="123"/>
      <c r="AZ772" s="123"/>
      <c r="BA772" s="123"/>
      <c r="BB772" s="123"/>
      <c r="BC772" s="123"/>
    </row>
    <row r="773" spans="44:55">
      <c r="AR773" s="123"/>
      <c r="AS773" s="123"/>
      <c r="AT773" s="123"/>
      <c r="AU773" s="123"/>
      <c r="AV773" s="123"/>
      <c r="AW773" s="123"/>
      <c r="AX773" s="123"/>
      <c r="AY773" s="123"/>
      <c r="AZ773" s="123"/>
      <c r="BA773" s="123"/>
      <c r="BB773" s="123"/>
      <c r="BC773" s="123"/>
    </row>
    <row r="774" spans="44:55">
      <c r="AR774" s="123"/>
      <c r="AS774" s="123"/>
      <c r="AT774" s="123"/>
      <c r="AU774" s="123"/>
      <c r="AV774" s="123"/>
      <c r="AW774" s="123"/>
      <c r="AX774" s="123"/>
      <c r="AY774" s="123"/>
      <c r="AZ774" s="123"/>
      <c r="BA774" s="123"/>
      <c r="BB774" s="123"/>
      <c r="BC774" s="123"/>
    </row>
    <row r="775" spans="44:55">
      <c r="AR775" s="123"/>
      <c r="AS775" s="123"/>
      <c r="AT775" s="123"/>
      <c r="AU775" s="123"/>
      <c r="AV775" s="123"/>
      <c r="AW775" s="123"/>
      <c r="AX775" s="123"/>
      <c r="AY775" s="123"/>
      <c r="AZ775" s="123"/>
      <c r="BA775" s="123"/>
      <c r="BB775" s="123"/>
      <c r="BC775" s="123"/>
    </row>
    <row r="776" spans="44:55">
      <c r="AR776" s="123"/>
      <c r="AS776" s="123"/>
      <c r="AT776" s="123"/>
      <c r="AU776" s="123"/>
      <c r="AV776" s="123"/>
      <c r="AW776" s="123"/>
      <c r="AX776" s="123"/>
      <c r="AY776" s="123"/>
      <c r="AZ776" s="123"/>
      <c r="BA776" s="123"/>
      <c r="BB776" s="123"/>
      <c r="BC776" s="123"/>
    </row>
    <row r="777" spans="44:55">
      <c r="AR777" s="123"/>
      <c r="AS777" s="123"/>
      <c r="AT777" s="123"/>
      <c r="AU777" s="123"/>
      <c r="AV777" s="123"/>
      <c r="AW777" s="123"/>
      <c r="AX777" s="123"/>
      <c r="AY777" s="123"/>
      <c r="AZ777" s="123"/>
      <c r="BA777" s="123"/>
      <c r="BB777" s="123"/>
      <c r="BC777" s="123"/>
    </row>
    <row r="778" spans="44:55">
      <c r="AR778" s="123"/>
      <c r="AS778" s="123"/>
      <c r="AT778" s="123"/>
      <c r="AU778" s="123"/>
      <c r="AV778" s="123"/>
      <c r="AW778" s="123"/>
      <c r="AX778" s="123"/>
      <c r="AY778" s="123"/>
      <c r="AZ778" s="123"/>
      <c r="BA778" s="123"/>
      <c r="BB778" s="123"/>
      <c r="BC778" s="123"/>
    </row>
    <row r="779" spans="44:55">
      <c r="AR779" s="123"/>
      <c r="AS779" s="123"/>
      <c r="AT779" s="123"/>
      <c r="AU779" s="123"/>
      <c r="AV779" s="123"/>
      <c r="AW779" s="123"/>
      <c r="AX779" s="123"/>
      <c r="AY779" s="123"/>
      <c r="AZ779" s="123"/>
      <c r="BA779" s="123"/>
      <c r="BB779" s="123"/>
      <c r="BC779" s="123"/>
    </row>
    <row r="780" spans="44:55">
      <c r="AR780" s="123"/>
      <c r="AS780" s="123"/>
      <c r="AT780" s="123"/>
      <c r="AU780" s="123"/>
      <c r="AV780" s="123"/>
      <c r="AW780" s="123"/>
      <c r="AX780" s="123"/>
      <c r="AY780" s="123"/>
      <c r="AZ780" s="123"/>
      <c r="BA780" s="123"/>
      <c r="BB780" s="123"/>
      <c r="BC780" s="123"/>
    </row>
    <row r="781" spans="44:55">
      <c r="AR781" s="123"/>
      <c r="AS781" s="123"/>
      <c r="AT781" s="123"/>
      <c r="AU781" s="123"/>
      <c r="AV781" s="123"/>
      <c r="AW781" s="123"/>
      <c r="AX781" s="123"/>
      <c r="AY781" s="123"/>
      <c r="AZ781" s="123"/>
      <c r="BA781" s="123"/>
      <c r="BB781" s="123"/>
      <c r="BC781" s="123"/>
    </row>
    <row r="782" spans="44:55">
      <c r="AR782" s="123"/>
      <c r="AS782" s="123"/>
      <c r="AT782" s="123"/>
      <c r="AU782" s="123"/>
      <c r="AV782" s="123"/>
      <c r="AW782" s="123"/>
      <c r="AX782" s="123"/>
      <c r="AY782" s="123"/>
      <c r="AZ782" s="123"/>
      <c r="BA782" s="123"/>
      <c r="BB782" s="123"/>
      <c r="BC782" s="123"/>
    </row>
    <row r="783" spans="44:55">
      <c r="AR783" s="123"/>
      <c r="AS783" s="123"/>
      <c r="AT783" s="123"/>
      <c r="AU783" s="123"/>
      <c r="AV783" s="123"/>
      <c r="AW783" s="123"/>
      <c r="AX783" s="123"/>
      <c r="AY783" s="123"/>
      <c r="AZ783" s="123"/>
      <c r="BA783" s="123"/>
      <c r="BB783" s="123"/>
      <c r="BC783" s="123"/>
    </row>
    <row r="784" spans="44:55">
      <c r="AR784" s="123"/>
      <c r="AS784" s="123"/>
      <c r="AT784" s="123"/>
      <c r="AU784" s="123"/>
      <c r="AV784" s="123"/>
      <c r="AW784" s="123"/>
      <c r="AX784" s="123"/>
      <c r="AY784" s="123"/>
      <c r="AZ784" s="123"/>
      <c r="BA784" s="123"/>
      <c r="BB784" s="123"/>
      <c r="BC784" s="123"/>
    </row>
    <row r="785" spans="44:55">
      <c r="AR785" s="123"/>
      <c r="AS785" s="123"/>
      <c r="AT785" s="123"/>
      <c r="AU785" s="123"/>
      <c r="AV785" s="123"/>
      <c r="AW785" s="123"/>
      <c r="AX785" s="123"/>
      <c r="AY785" s="123"/>
      <c r="AZ785" s="123"/>
      <c r="BA785" s="123"/>
      <c r="BB785" s="123"/>
      <c r="BC785" s="123"/>
    </row>
    <row r="786" spans="44:55">
      <c r="AR786" s="123"/>
      <c r="AS786" s="123"/>
      <c r="AT786" s="123"/>
      <c r="AU786" s="123"/>
      <c r="AV786" s="123"/>
      <c r="AW786" s="123"/>
      <c r="AX786" s="123"/>
      <c r="AY786" s="123"/>
      <c r="AZ786" s="123"/>
      <c r="BA786" s="123"/>
      <c r="BB786" s="123"/>
      <c r="BC786" s="123"/>
    </row>
    <row r="787" spans="44:55">
      <c r="AR787" s="123"/>
      <c r="AS787" s="123"/>
      <c r="AT787" s="123"/>
      <c r="AU787" s="123"/>
      <c r="AV787" s="123"/>
      <c r="AW787" s="123"/>
      <c r="AX787" s="123"/>
      <c r="AY787" s="123"/>
      <c r="AZ787" s="123"/>
      <c r="BA787" s="123"/>
      <c r="BB787" s="123"/>
      <c r="BC787" s="123"/>
    </row>
    <row r="788" spans="44:55">
      <c r="AR788" s="123"/>
      <c r="AS788" s="123"/>
      <c r="AT788" s="123"/>
      <c r="AU788" s="123"/>
      <c r="AV788" s="123"/>
      <c r="AW788" s="123"/>
      <c r="AX788" s="123"/>
      <c r="AY788" s="123"/>
      <c r="AZ788" s="123"/>
      <c r="BA788" s="123"/>
      <c r="BB788" s="123"/>
      <c r="BC788" s="123"/>
    </row>
    <row r="789" spans="44:55">
      <c r="AR789" s="123"/>
      <c r="AS789" s="123"/>
      <c r="AT789" s="123"/>
      <c r="AU789" s="123"/>
      <c r="AV789" s="123"/>
      <c r="AW789" s="123"/>
      <c r="AX789" s="123"/>
      <c r="AY789" s="123"/>
      <c r="AZ789" s="123"/>
      <c r="BA789" s="123"/>
      <c r="BB789" s="123"/>
      <c r="BC789" s="123"/>
    </row>
    <row r="790" spans="44:55">
      <c r="AR790" s="123"/>
      <c r="AS790" s="123"/>
      <c r="AT790" s="123"/>
      <c r="AU790" s="123"/>
      <c r="AV790" s="123"/>
      <c r="AW790" s="123"/>
      <c r="AX790" s="123"/>
      <c r="AY790" s="123"/>
      <c r="AZ790" s="123"/>
      <c r="BA790" s="123"/>
      <c r="BB790" s="123"/>
      <c r="BC790" s="123"/>
    </row>
    <row r="791" spans="44:55">
      <c r="AR791" s="123"/>
      <c r="AS791" s="123"/>
      <c r="AT791" s="123"/>
      <c r="AU791" s="123"/>
      <c r="AV791" s="123"/>
      <c r="AW791" s="123"/>
      <c r="AX791" s="123"/>
      <c r="AY791" s="123"/>
      <c r="AZ791" s="123"/>
      <c r="BA791" s="123"/>
      <c r="BB791" s="123"/>
      <c r="BC791" s="123"/>
    </row>
    <row r="792" spans="44:55">
      <c r="AR792" s="123"/>
      <c r="AS792" s="123"/>
      <c r="AT792" s="123"/>
      <c r="AU792" s="123"/>
      <c r="AV792" s="123"/>
      <c r="AW792" s="123"/>
      <c r="AX792" s="123"/>
      <c r="AY792" s="123"/>
      <c r="AZ792" s="123"/>
      <c r="BA792" s="123"/>
      <c r="BB792" s="123"/>
      <c r="BC792" s="123"/>
    </row>
    <row r="793" spans="44:55">
      <c r="AR793" s="123"/>
      <c r="AS793" s="123"/>
      <c r="AT793" s="123"/>
      <c r="AU793" s="123"/>
      <c r="AV793" s="123"/>
      <c r="AW793" s="123"/>
      <c r="AX793" s="123"/>
      <c r="AY793" s="123"/>
      <c r="AZ793" s="123"/>
      <c r="BA793" s="123"/>
      <c r="BB793" s="123"/>
      <c r="BC793" s="123"/>
    </row>
    <row r="794" spans="44:55">
      <c r="AR794" s="123"/>
      <c r="AS794" s="123"/>
      <c r="AT794" s="123"/>
      <c r="AU794" s="123"/>
      <c r="AV794" s="123"/>
      <c r="AW794" s="123"/>
      <c r="AX794" s="123"/>
      <c r="AY794" s="123"/>
      <c r="AZ794" s="123"/>
      <c r="BA794" s="123"/>
      <c r="BB794" s="123"/>
      <c r="BC794" s="123"/>
    </row>
    <row r="795" spans="44:55">
      <c r="AR795" s="123"/>
      <c r="AS795" s="123"/>
      <c r="AT795" s="123"/>
      <c r="AU795" s="123"/>
      <c r="AV795" s="123"/>
      <c r="AW795" s="123"/>
      <c r="AX795" s="123"/>
      <c r="AY795" s="123"/>
      <c r="AZ795" s="123"/>
      <c r="BA795" s="123"/>
      <c r="BB795" s="123"/>
      <c r="BC795" s="123"/>
    </row>
    <row r="796" spans="44:55">
      <c r="AR796" s="123"/>
      <c r="AS796" s="123"/>
      <c r="AT796" s="123"/>
      <c r="AU796" s="123"/>
      <c r="AV796" s="123"/>
      <c r="AW796" s="123"/>
      <c r="AX796" s="123"/>
      <c r="AY796" s="123"/>
      <c r="AZ796" s="123"/>
      <c r="BA796" s="123"/>
      <c r="BB796" s="123"/>
      <c r="BC796" s="123"/>
    </row>
    <row r="797" spans="44:55">
      <c r="AR797" s="123"/>
      <c r="AS797" s="123"/>
      <c r="AT797" s="123"/>
      <c r="AU797" s="123"/>
      <c r="AV797" s="123"/>
      <c r="AW797" s="123"/>
      <c r="AX797" s="123"/>
      <c r="AY797" s="123"/>
      <c r="AZ797" s="123"/>
      <c r="BA797" s="123"/>
      <c r="BB797" s="123"/>
      <c r="BC797" s="123"/>
    </row>
    <row r="798" spans="44:55">
      <c r="AR798" s="123"/>
      <c r="AS798" s="123"/>
      <c r="AT798" s="123"/>
      <c r="AU798" s="123"/>
      <c r="AV798" s="123"/>
      <c r="AW798" s="123"/>
      <c r="AX798" s="123"/>
      <c r="AY798" s="123"/>
      <c r="AZ798" s="123"/>
      <c r="BA798" s="123"/>
      <c r="BB798" s="123"/>
      <c r="BC798" s="123"/>
    </row>
    <row r="799" spans="44:55">
      <c r="AR799" s="123"/>
      <c r="AS799" s="123"/>
      <c r="AT799" s="123"/>
      <c r="AU799" s="123"/>
      <c r="AV799" s="123"/>
      <c r="AW799" s="123"/>
      <c r="AX799" s="123"/>
      <c r="AY799" s="123"/>
      <c r="AZ799" s="123"/>
      <c r="BA799" s="123"/>
      <c r="BB799" s="123"/>
      <c r="BC799" s="123"/>
    </row>
    <row r="800" spans="44:55">
      <c r="AR800" s="123"/>
      <c r="AS800" s="123"/>
      <c r="AT800" s="123"/>
      <c r="AU800" s="123"/>
      <c r="AV800" s="123"/>
      <c r="AW800" s="123"/>
      <c r="AX800" s="123"/>
      <c r="AY800" s="123"/>
      <c r="AZ800" s="123"/>
      <c r="BA800" s="123"/>
      <c r="BB800" s="123"/>
      <c r="BC800" s="123"/>
    </row>
    <row r="801" spans="44:55">
      <c r="AR801" s="123"/>
      <c r="AS801" s="123"/>
      <c r="AT801" s="123"/>
      <c r="AU801" s="123"/>
      <c r="AV801" s="123"/>
      <c r="AW801" s="123"/>
      <c r="AX801" s="123"/>
      <c r="AY801" s="123"/>
      <c r="AZ801" s="123"/>
      <c r="BA801" s="123"/>
      <c r="BB801" s="123"/>
      <c r="BC801" s="123"/>
    </row>
    <row r="802" spans="44:55">
      <c r="AR802" s="123"/>
      <c r="AS802" s="123"/>
      <c r="AT802" s="123"/>
      <c r="AU802" s="123"/>
      <c r="AV802" s="123"/>
      <c r="AW802" s="123"/>
      <c r="AX802" s="123"/>
      <c r="AY802" s="123"/>
      <c r="AZ802" s="123"/>
      <c r="BA802" s="123"/>
      <c r="BB802" s="123"/>
      <c r="BC802" s="123"/>
    </row>
    <row r="803" spans="44:55">
      <c r="AR803" s="123"/>
      <c r="AS803" s="123"/>
      <c r="AT803" s="123"/>
      <c r="AU803" s="123"/>
      <c r="AV803" s="123"/>
      <c r="AW803" s="123"/>
      <c r="AX803" s="123"/>
      <c r="AY803" s="123"/>
      <c r="AZ803" s="123"/>
      <c r="BA803" s="123"/>
      <c r="BB803" s="123"/>
      <c r="BC803" s="123"/>
    </row>
    <row r="804" spans="44:55">
      <c r="AR804" s="123"/>
      <c r="AS804" s="123"/>
      <c r="AT804" s="123"/>
      <c r="AU804" s="123"/>
      <c r="AV804" s="123"/>
      <c r="AW804" s="123"/>
      <c r="AX804" s="123"/>
      <c r="AY804" s="123"/>
      <c r="AZ804" s="123"/>
      <c r="BA804" s="123"/>
      <c r="BB804" s="123"/>
      <c r="BC804" s="123"/>
    </row>
    <row r="805" spans="44:55">
      <c r="AR805" s="123"/>
      <c r="AS805" s="123"/>
      <c r="AT805" s="123"/>
      <c r="AU805" s="123"/>
      <c r="AV805" s="123"/>
      <c r="AW805" s="123"/>
      <c r="AX805" s="123"/>
      <c r="AY805" s="123"/>
      <c r="AZ805" s="123"/>
      <c r="BA805" s="123"/>
      <c r="BB805" s="123"/>
      <c r="BC805" s="123"/>
    </row>
    <row r="806" spans="44:55">
      <c r="AR806" s="123"/>
      <c r="AS806" s="123"/>
      <c r="AT806" s="123"/>
      <c r="AU806" s="123"/>
      <c r="AV806" s="123"/>
      <c r="AW806" s="123"/>
      <c r="AX806" s="123"/>
      <c r="AY806" s="123"/>
      <c r="AZ806" s="123"/>
      <c r="BA806" s="123"/>
      <c r="BB806" s="123"/>
      <c r="BC806" s="123"/>
    </row>
    <row r="807" spans="44:55">
      <c r="AR807" s="123"/>
      <c r="AS807" s="123"/>
      <c r="AT807" s="123"/>
      <c r="AU807" s="123"/>
      <c r="AV807" s="123"/>
      <c r="AW807" s="123"/>
      <c r="AX807" s="123"/>
      <c r="AY807" s="123"/>
      <c r="AZ807" s="123"/>
      <c r="BA807" s="123"/>
      <c r="BB807" s="123"/>
      <c r="BC807" s="123"/>
    </row>
    <row r="808" spans="44:55">
      <c r="AR808" s="123"/>
      <c r="AS808" s="123"/>
      <c r="AT808" s="123"/>
      <c r="AU808" s="123"/>
      <c r="AV808" s="123"/>
      <c r="AW808" s="123"/>
      <c r="AX808" s="123"/>
      <c r="AY808" s="123"/>
      <c r="AZ808" s="123"/>
      <c r="BA808" s="123"/>
      <c r="BB808" s="123"/>
      <c r="BC808" s="123"/>
    </row>
    <row r="809" spans="44:55">
      <c r="AR809" s="123"/>
      <c r="AS809" s="123"/>
      <c r="AT809" s="123"/>
      <c r="AU809" s="123"/>
      <c r="AV809" s="123"/>
      <c r="AW809" s="123"/>
      <c r="AX809" s="123"/>
      <c r="AY809" s="123"/>
      <c r="AZ809" s="123"/>
      <c r="BA809" s="123"/>
      <c r="BB809" s="123"/>
      <c r="BC809" s="123"/>
    </row>
    <row r="810" spans="44:55">
      <c r="AR810" s="123"/>
      <c r="AS810" s="123"/>
      <c r="AT810" s="123"/>
      <c r="AU810" s="123"/>
      <c r="AV810" s="123"/>
      <c r="AW810" s="123"/>
      <c r="AX810" s="123"/>
      <c r="AY810" s="123"/>
      <c r="AZ810" s="123"/>
      <c r="BA810" s="123"/>
      <c r="BB810" s="123"/>
      <c r="BC810" s="123"/>
    </row>
    <row r="811" spans="44:55">
      <c r="AR811" s="123"/>
      <c r="AS811" s="123"/>
      <c r="AT811" s="123"/>
      <c r="AU811" s="123"/>
      <c r="AV811" s="123"/>
      <c r="AW811" s="123"/>
      <c r="AX811" s="123"/>
      <c r="AY811" s="123"/>
      <c r="AZ811" s="123"/>
      <c r="BA811" s="123"/>
      <c r="BB811" s="123"/>
      <c r="BC811" s="123"/>
    </row>
    <row r="812" spans="44:55">
      <c r="AR812" s="123"/>
      <c r="AS812" s="123"/>
      <c r="AT812" s="123"/>
      <c r="AU812" s="123"/>
      <c r="AV812" s="123"/>
      <c r="AW812" s="123"/>
      <c r="AX812" s="123"/>
      <c r="AY812" s="123"/>
      <c r="AZ812" s="123"/>
      <c r="BA812" s="123"/>
      <c r="BB812" s="123"/>
      <c r="BC812" s="123"/>
    </row>
    <row r="813" spans="44:55">
      <c r="AR813" s="123"/>
      <c r="AS813" s="123"/>
      <c r="AT813" s="123"/>
      <c r="AU813" s="123"/>
      <c r="AV813" s="123"/>
      <c r="AW813" s="123"/>
      <c r="AX813" s="123"/>
      <c r="AY813" s="123"/>
      <c r="AZ813" s="123"/>
      <c r="BA813" s="123"/>
      <c r="BB813" s="123"/>
      <c r="BC813" s="123"/>
    </row>
    <row r="814" spans="44:55">
      <c r="AR814" s="123"/>
      <c r="AS814" s="123"/>
      <c r="AT814" s="123"/>
      <c r="AU814" s="123"/>
      <c r="AV814" s="123"/>
      <c r="AW814" s="123"/>
      <c r="AX814" s="123"/>
      <c r="AY814" s="123"/>
      <c r="AZ814" s="123"/>
      <c r="BA814" s="123"/>
      <c r="BB814" s="123"/>
      <c r="BC814" s="123"/>
    </row>
    <row r="815" spans="44:55">
      <c r="AR815" s="123"/>
      <c r="AS815" s="123"/>
      <c r="AT815" s="123"/>
      <c r="AU815" s="123"/>
      <c r="AV815" s="123"/>
      <c r="AW815" s="123"/>
      <c r="AX815" s="123"/>
      <c r="AY815" s="123"/>
      <c r="AZ815" s="123"/>
      <c r="BA815" s="123"/>
      <c r="BB815" s="123"/>
      <c r="BC815" s="123"/>
    </row>
    <row r="816" spans="44:55">
      <c r="AR816" s="123"/>
      <c r="AS816" s="123"/>
      <c r="AT816" s="123"/>
      <c r="AU816" s="123"/>
      <c r="AV816" s="123"/>
      <c r="AW816" s="123"/>
      <c r="AX816" s="123"/>
      <c r="AY816" s="123"/>
      <c r="AZ816" s="123"/>
      <c r="BA816" s="123"/>
      <c r="BB816" s="123"/>
      <c r="BC816" s="123"/>
    </row>
    <row r="817" spans="44:55">
      <c r="AR817" s="123"/>
      <c r="AS817" s="123"/>
      <c r="AT817" s="123"/>
      <c r="AU817" s="123"/>
      <c r="AV817" s="123"/>
      <c r="AW817" s="123"/>
      <c r="AX817" s="123"/>
      <c r="AY817" s="123"/>
      <c r="AZ817" s="123"/>
      <c r="BA817" s="123"/>
      <c r="BB817" s="123"/>
      <c r="BC817" s="123"/>
    </row>
    <row r="818" spans="44:55">
      <c r="AR818" s="123"/>
      <c r="AS818" s="123"/>
      <c r="AT818" s="123"/>
      <c r="AU818" s="123"/>
      <c r="AV818" s="123"/>
      <c r="AW818" s="123"/>
      <c r="AX818" s="123"/>
      <c r="AY818" s="123"/>
      <c r="AZ818" s="123"/>
      <c r="BA818" s="123"/>
      <c r="BB818" s="123"/>
      <c r="BC818" s="123"/>
    </row>
    <row r="819" spans="44:55">
      <c r="AR819" s="123"/>
      <c r="AS819" s="123"/>
      <c r="AT819" s="123"/>
      <c r="AU819" s="123"/>
      <c r="AV819" s="123"/>
      <c r="AW819" s="123"/>
      <c r="AX819" s="123"/>
      <c r="AY819" s="123"/>
      <c r="AZ819" s="123"/>
      <c r="BA819" s="123"/>
      <c r="BB819" s="123"/>
      <c r="BC819" s="123"/>
    </row>
    <row r="820" spans="44:55">
      <c r="AR820" s="123"/>
      <c r="AS820" s="123"/>
      <c r="AT820" s="123"/>
      <c r="AU820" s="123"/>
      <c r="AV820" s="123"/>
      <c r="AW820" s="123"/>
      <c r="AX820" s="123"/>
      <c r="AY820" s="123"/>
      <c r="AZ820" s="123"/>
      <c r="BA820" s="123"/>
      <c r="BB820" s="123"/>
      <c r="BC820" s="123"/>
    </row>
    <row r="821" spans="44:55">
      <c r="AR821" s="123"/>
      <c r="AS821" s="123"/>
      <c r="AT821" s="123"/>
      <c r="AU821" s="123"/>
      <c r="AV821" s="123"/>
      <c r="AW821" s="123"/>
      <c r="AX821" s="123"/>
      <c r="AY821" s="123"/>
      <c r="AZ821" s="123"/>
      <c r="BA821" s="123"/>
      <c r="BB821" s="123"/>
      <c r="BC821" s="123"/>
    </row>
    <row r="822" spans="44:55">
      <c r="AR822" s="123"/>
      <c r="AS822" s="123"/>
      <c r="AT822" s="123"/>
      <c r="AU822" s="123"/>
      <c r="AV822" s="123"/>
      <c r="AW822" s="123"/>
      <c r="AX822" s="123"/>
      <c r="AY822" s="123"/>
      <c r="AZ822" s="123"/>
      <c r="BA822" s="123"/>
      <c r="BB822" s="123"/>
      <c r="BC822" s="123"/>
    </row>
    <row r="823" spans="44:55">
      <c r="AR823" s="123"/>
      <c r="AS823" s="123"/>
      <c r="AT823" s="123"/>
      <c r="AU823" s="123"/>
      <c r="AV823" s="123"/>
      <c r="AW823" s="123"/>
      <c r="AX823" s="123"/>
      <c r="AY823" s="123"/>
      <c r="AZ823" s="123"/>
      <c r="BA823" s="123"/>
      <c r="BB823" s="123"/>
      <c r="BC823" s="123"/>
    </row>
    <row r="824" spans="44:55">
      <c r="AR824" s="123"/>
      <c r="AS824" s="123"/>
      <c r="AT824" s="123"/>
      <c r="AU824" s="123"/>
      <c r="AV824" s="123"/>
      <c r="AW824" s="123"/>
      <c r="AX824" s="123"/>
      <c r="AY824" s="123"/>
      <c r="AZ824" s="123"/>
      <c r="BA824" s="123"/>
      <c r="BB824" s="123"/>
      <c r="BC824" s="123"/>
    </row>
    <row r="825" spans="44:55">
      <c r="AR825" s="123"/>
      <c r="AS825" s="123"/>
      <c r="AT825" s="123"/>
      <c r="AU825" s="123"/>
      <c r="AV825" s="123"/>
      <c r="AW825" s="123"/>
      <c r="AX825" s="123"/>
      <c r="AY825" s="123"/>
      <c r="AZ825" s="123"/>
      <c r="BA825" s="123"/>
      <c r="BB825" s="123"/>
      <c r="BC825" s="123"/>
    </row>
    <row r="826" spans="44:55">
      <c r="AR826" s="123"/>
      <c r="AS826" s="123"/>
      <c r="AT826" s="123"/>
      <c r="AU826" s="123"/>
      <c r="AV826" s="123"/>
      <c r="AW826" s="123"/>
      <c r="AX826" s="123"/>
      <c r="AY826" s="123"/>
      <c r="AZ826" s="123"/>
      <c r="BA826" s="123"/>
      <c r="BB826" s="123"/>
      <c r="BC826" s="123"/>
    </row>
    <row r="827" spans="44:55">
      <c r="AR827" s="123"/>
      <c r="AS827" s="123"/>
      <c r="AT827" s="123"/>
      <c r="AU827" s="123"/>
      <c r="AV827" s="123"/>
      <c r="AW827" s="123"/>
      <c r="AX827" s="123"/>
      <c r="AY827" s="123"/>
      <c r="AZ827" s="123"/>
      <c r="BA827" s="123"/>
      <c r="BB827" s="123"/>
      <c r="BC827" s="123"/>
    </row>
    <row r="828" spans="44:55">
      <c r="AR828" s="123"/>
      <c r="AS828" s="123"/>
      <c r="AT828" s="123"/>
      <c r="AU828" s="123"/>
      <c r="AV828" s="123"/>
      <c r="AW828" s="123"/>
      <c r="AX828" s="123"/>
      <c r="AY828" s="123"/>
      <c r="AZ828" s="123"/>
      <c r="BA828" s="123"/>
      <c r="BB828" s="123"/>
      <c r="BC828" s="123"/>
    </row>
    <row r="829" spans="44:55">
      <c r="AR829" s="123"/>
      <c r="AS829" s="123"/>
      <c r="AT829" s="123"/>
      <c r="AU829" s="123"/>
      <c r="AV829" s="123"/>
      <c r="AW829" s="123"/>
      <c r="AX829" s="123"/>
      <c r="AY829" s="123"/>
      <c r="AZ829" s="123"/>
      <c r="BA829" s="123"/>
      <c r="BB829" s="123"/>
      <c r="BC829" s="123"/>
    </row>
    <row r="830" spans="44:55">
      <c r="AR830" s="123"/>
      <c r="AS830" s="123"/>
      <c r="AT830" s="123"/>
      <c r="AU830" s="123"/>
      <c r="AV830" s="123"/>
      <c r="AW830" s="123"/>
      <c r="AX830" s="123"/>
      <c r="AY830" s="123"/>
      <c r="AZ830" s="123"/>
      <c r="BA830" s="123"/>
      <c r="BB830" s="123"/>
      <c r="BC830" s="123"/>
    </row>
    <row r="831" spans="44:55">
      <c r="AR831" s="123"/>
      <c r="AS831" s="123"/>
      <c r="AT831" s="123"/>
      <c r="AU831" s="123"/>
      <c r="AV831" s="123"/>
      <c r="AW831" s="123"/>
      <c r="AX831" s="123"/>
      <c r="AY831" s="123"/>
      <c r="AZ831" s="123"/>
      <c r="BA831" s="123"/>
      <c r="BB831" s="123"/>
      <c r="BC831" s="123"/>
    </row>
    <row r="832" spans="44:55">
      <c r="AR832" s="123"/>
      <c r="AS832" s="123"/>
      <c r="AT832" s="123"/>
      <c r="AU832" s="123"/>
      <c r="AV832" s="123"/>
      <c r="AW832" s="123"/>
      <c r="AX832" s="123"/>
      <c r="AY832" s="123"/>
      <c r="AZ832" s="123"/>
      <c r="BA832" s="123"/>
      <c r="BB832" s="123"/>
      <c r="BC832" s="123"/>
    </row>
    <row r="833" spans="44:55">
      <c r="AR833" s="123"/>
      <c r="AS833" s="123"/>
      <c r="AT833" s="123"/>
      <c r="AU833" s="123"/>
      <c r="AV833" s="123"/>
      <c r="AW833" s="123"/>
      <c r="AX833" s="123"/>
      <c r="AY833" s="123"/>
      <c r="AZ833" s="123"/>
      <c r="BA833" s="123"/>
      <c r="BB833" s="123"/>
      <c r="BC833" s="123"/>
    </row>
    <row r="834" spans="44:55">
      <c r="AR834" s="123"/>
      <c r="AS834" s="123"/>
      <c r="AT834" s="123"/>
      <c r="AU834" s="123"/>
      <c r="AV834" s="123"/>
      <c r="AW834" s="123"/>
      <c r="AX834" s="123"/>
      <c r="AY834" s="123"/>
      <c r="AZ834" s="123"/>
      <c r="BA834" s="123"/>
      <c r="BB834" s="123"/>
      <c r="BC834" s="123"/>
    </row>
    <row r="835" spans="44:55">
      <c r="AR835" s="123"/>
      <c r="AS835" s="123"/>
      <c r="AT835" s="123"/>
      <c r="AU835" s="123"/>
      <c r="AV835" s="123"/>
      <c r="AW835" s="123"/>
      <c r="AX835" s="123"/>
      <c r="AY835" s="123"/>
      <c r="AZ835" s="123"/>
      <c r="BA835" s="123"/>
      <c r="BB835" s="123"/>
      <c r="BC835" s="123"/>
    </row>
    <row r="836" spans="44:55">
      <c r="AR836" s="123"/>
      <c r="AS836" s="123"/>
      <c r="AT836" s="123"/>
      <c r="AU836" s="123"/>
      <c r="AV836" s="123"/>
      <c r="AW836" s="123"/>
      <c r="AX836" s="123"/>
      <c r="AY836" s="123"/>
      <c r="AZ836" s="123"/>
      <c r="BA836" s="123"/>
      <c r="BB836" s="123"/>
      <c r="BC836" s="123"/>
    </row>
    <row r="837" spans="44:55">
      <c r="AR837" s="123"/>
      <c r="AS837" s="123"/>
      <c r="AT837" s="123"/>
      <c r="AU837" s="123"/>
      <c r="AV837" s="123"/>
      <c r="AW837" s="123"/>
      <c r="AX837" s="123"/>
      <c r="AY837" s="123"/>
      <c r="AZ837" s="123"/>
      <c r="BA837" s="123"/>
      <c r="BB837" s="123"/>
      <c r="BC837" s="123"/>
    </row>
    <row r="838" spans="44:55">
      <c r="AR838" s="123"/>
      <c r="AS838" s="123"/>
      <c r="AT838" s="123"/>
      <c r="AU838" s="123"/>
      <c r="AV838" s="123"/>
      <c r="AW838" s="123"/>
      <c r="AX838" s="123"/>
      <c r="AY838" s="123"/>
      <c r="AZ838" s="123"/>
      <c r="BA838" s="123"/>
      <c r="BB838" s="123"/>
      <c r="BC838" s="123"/>
    </row>
    <row r="839" spans="44:55">
      <c r="AR839" s="123"/>
      <c r="AS839" s="123"/>
      <c r="AT839" s="123"/>
      <c r="AU839" s="123"/>
      <c r="AV839" s="123"/>
      <c r="AW839" s="123"/>
      <c r="AX839" s="123"/>
      <c r="AY839" s="123"/>
      <c r="AZ839" s="123"/>
      <c r="BA839" s="123"/>
      <c r="BB839" s="123"/>
      <c r="BC839" s="123"/>
    </row>
    <row r="840" spans="44:55">
      <c r="AR840" s="123"/>
      <c r="AS840" s="123"/>
      <c r="AT840" s="123"/>
      <c r="AU840" s="123"/>
      <c r="AV840" s="123"/>
      <c r="AW840" s="123"/>
      <c r="AX840" s="123"/>
      <c r="AY840" s="123"/>
      <c r="AZ840" s="123"/>
      <c r="BA840" s="123"/>
      <c r="BB840" s="123"/>
      <c r="BC840" s="123"/>
    </row>
    <row r="841" spans="44:55">
      <c r="AR841" s="123"/>
      <c r="AS841" s="123"/>
      <c r="AT841" s="123"/>
      <c r="AU841" s="123"/>
      <c r="AV841" s="123"/>
      <c r="AW841" s="123"/>
      <c r="AX841" s="123"/>
      <c r="AY841" s="123"/>
      <c r="AZ841" s="123"/>
      <c r="BA841" s="123"/>
      <c r="BB841" s="123"/>
      <c r="BC841" s="123"/>
    </row>
    <row r="842" spans="44:55">
      <c r="AR842" s="123"/>
      <c r="AS842" s="123"/>
      <c r="AT842" s="123"/>
      <c r="AU842" s="123"/>
      <c r="AV842" s="123"/>
      <c r="AW842" s="123"/>
      <c r="AX842" s="123"/>
      <c r="AY842" s="123"/>
      <c r="AZ842" s="123"/>
      <c r="BA842" s="123"/>
      <c r="BB842" s="123"/>
      <c r="BC842" s="123"/>
    </row>
    <row r="843" spans="44:55">
      <c r="AR843" s="123"/>
      <c r="AS843" s="123"/>
      <c r="AT843" s="123"/>
      <c r="AU843" s="123"/>
      <c r="AV843" s="123"/>
      <c r="AW843" s="123"/>
      <c r="AX843" s="123"/>
      <c r="AY843" s="123"/>
      <c r="AZ843" s="123"/>
      <c r="BA843" s="123"/>
      <c r="BB843" s="123"/>
      <c r="BC843" s="123"/>
    </row>
    <row r="844" spans="44:55">
      <c r="AR844" s="123"/>
      <c r="AS844" s="123"/>
      <c r="AT844" s="123"/>
      <c r="AU844" s="123"/>
      <c r="AV844" s="123"/>
      <c r="AW844" s="123"/>
      <c r="AX844" s="123"/>
      <c r="AY844" s="123"/>
      <c r="AZ844" s="123"/>
      <c r="BA844" s="123"/>
      <c r="BB844" s="123"/>
      <c r="BC844" s="123"/>
    </row>
    <row r="845" spans="44:55">
      <c r="AR845" s="123"/>
      <c r="AS845" s="123"/>
      <c r="AT845" s="123"/>
      <c r="AU845" s="123"/>
      <c r="AV845" s="123"/>
      <c r="AW845" s="123"/>
      <c r="AX845" s="123"/>
      <c r="AY845" s="123"/>
      <c r="AZ845" s="123"/>
      <c r="BA845" s="123"/>
      <c r="BB845" s="123"/>
      <c r="BC845" s="123"/>
    </row>
    <row r="846" spans="44:55">
      <c r="AR846" s="123"/>
      <c r="AS846" s="123"/>
      <c r="AT846" s="123"/>
      <c r="AU846" s="123"/>
      <c r="AV846" s="123"/>
      <c r="AW846" s="123"/>
      <c r="AX846" s="123"/>
      <c r="AY846" s="123"/>
      <c r="AZ846" s="123"/>
      <c r="BA846" s="123"/>
      <c r="BB846" s="123"/>
      <c r="BC846" s="123"/>
    </row>
    <row r="847" spans="44:55">
      <c r="AR847" s="123"/>
      <c r="AS847" s="123"/>
      <c r="AT847" s="123"/>
      <c r="AU847" s="123"/>
      <c r="AV847" s="123"/>
      <c r="AW847" s="123"/>
      <c r="AX847" s="123"/>
      <c r="AY847" s="123"/>
      <c r="AZ847" s="123"/>
      <c r="BA847" s="123"/>
      <c r="BB847" s="123"/>
      <c r="BC847" s="123"/>
    </row>
    <row r="848" spans="44:55">
      <c r="AR848" s="123"/>
      <c r="AS848" s="123"/>
      <c r="AT848" s="123"/>
      <c r="AU848" s="123"/>
      <c r="AV848" s="123"/>
      <c r="AW848" s="123"/>
      <c r="AX848" s="123"/>
      <c r="AY848" s="123"/>
      <c r="AZ848" s="123"/>
      <c r="BA848" s="123"/>
      <c r="BB848" s="123"/>
      <c r="BC848" s="123"/>
    </row>
    <row r="849" spans="44:55">
      <c r="AR849" s="123"/>
      <c r="AS849" s="123"/>
      <c r="AT849" s="123"/>
      <c r="AU849" s="123"/>
      <c r="AV849" s="123"/>
      <c r="AW849" s="123"/>
      <c r="AX849" s="123"/>
      <c r="AY849" s="123"/>
      <c r="AZ849" s="123"/>
      <c r="BA849" s="123"/>
      <c r="BB849" s="123"/>
      <c r="BC849" s="123"/>
    </row>
    <row r="850" spans="44:55">
      <c r="AR850" s="123"/>
      <c r="AS850" s="123"/>
      <c r="AT850" s="123"/>
      <c r="AU850" s="123"/>
      <c r="AV850" s="123"/>
      <c r="AW850" s="123"/>
      <c r="AX850" s="123"/>
      <c r="AY850" s="123"/>
      <c r="AZ850" s="123"/>
      <c r="BA850" s="123"/>
      <c r="BB850" s="123"/>
      <c r="BC850" s="123"/>
    </row>
    <row r="851" spans="44:55">
      <c r="AR851" s="123"/>
      <c r="AS851" s="123"/>
      <c r="AT851" s="123"/>
      <c r="AU851" s="123"/>
      <c r="AV851" s="123"/>
      <c r="AW851" s="123"/>
      <c r="AX851" s="123"/>
      <c r="AY851" s="123"/>
      <c r="AZ851" s="123"/>
      <c r="BA851" s="123"/>
      <c r="BB851" s="123"/>
      <c r="BC851" s="123"/>
    </row>
    <row r="852" spans="44:55">
      <c r="AR852" s="123"/>
      <c r="AS852" s="123"/>
      <c r="AT852" s="123"/>
      <c r="AU852" s="123"/>
      <c r="AV852" s="123"/>
      <c r="AW852" s="123"/>
      <c r="AX852" s="123"/>
      <c r="AY852" s="123"/>
      <c r="AZ852" s="123"/>
      <c r="BA852" s="123"/>
      <c r="BB852" s="123"/>
      <c r="BC852" s="123"/>
    </row>
    <row r="853" spans="44:55">
      <c r="AR853" s="123"/>
      <c r="AS853" s="123"/>
      <c r="AT853" s="123"/>
      <c r="AU853" s="123"/>
      <c r="AV853" s="123"/>
      <c r="AW853" s="123"/>
      <c r="AX853" s="123"/>
      <c r="AY853" s="123"/>
      <c r="AZ853" s="123"/>
      <c r="BA853" s="123"/>
      <c r="BB853" s="123"/>
      <c r="BC853" s="123"/>
    </row>
    <row r="854" spans="44:55">
      <c r="AR854" s="123"/>
      <c r="AS854" s="123"/>
      <c r="AT854" s="123"/>
      <c r="AU854" s="123"/>
      <c r="AV854" s="123"/>
      <c r="AW854" s="123"/>
      <c r="AX854" s="123"/>
      <c r="AY854" s="123"/>
      <c r="AZ854" s="123"/>
      <c r="BA854" s="123"/>
      <c r="BB854" s="123"/>
      <c r="BC854" s="123"/>
    </row>
    <row r="855" spans="44:55">
      <c r="AR855" s="123"/>
      <c r="AS855" s="123"/>
      <c r="AT855" s="123"/>
      <c r="AU855" s="123"/>
      <c r="AV855" s="123"/>
      <c r="AW855" s="123"/>
      <c r="AX855" s="123"/>
      <c r="AY855" s="123"/>
      <c r="AZ855" s="123"/>
      <c r="BA855" s="123"/>
      <c r="BB855" s="123"/>
      <c r="BC855" s="123"/>
    </row>
    <row r="856" spans="44:55">
      <c r="AR856" s="123"/>
      <c r="AS856" s="123"/>
      <c r="AT856" s="123"/>
      <c r="AU856" s="123"/>
      <c r="AV856" s="123"/>
      <c r="AW856" s="123"/>
      <c r="AX856" s="123"/>
      <c r="AY856" s="123"/>
      <c r="AZ856" s="123"/>
      <c r="BA856" s="123"/>
      <c r="BB856" s="123"/>
      <c r="BC856" s="123"/>
    </row>
    <row r="857" spans="44:55">
      <c r="AR857" s="123"/>
      <c r="AS857" s="123"/>
      <c r="AT857" s="123"/>
      <c r="AU857" s="123"/>
      <c r="AV857" s="123"/>
      <c r="AW857" s="123"/>
      <c r="AX857" s="123"/>
      <c r="AY857" s="123"/>
      <c r="AZ857" s="123"/>
      <c r="BA857" s="123"/>
      <c r="BB857" s="123"/>
      <c r="BC857" s="123"/>
    </row>
    <row r="858" spans="44:55">
      <c r="AR858" s="123"/>
      <c r="AS858" s="123"/>
      <c r="AT858" s="123"/>
      <c r="AU858" s="123"/>
      <c r="AV858" s="123"/>
      <c r="AW858" s="123"/>
      <c r="AX858" s="123"/>
      <c r="AY858" s="123"/>
      <c r="AZ858" s="123"/>
      <c r="BA858" s="123"/>
      <c r="BB858" s="123"/>
      <c r="BC858" s="123"/>
    </row>
    <row r="859" spans="44:55">
      <c r="AR859" s="123"/>
      <c r="AS859" s="123"/>
      <c r="AT859" s="123"/>
      <c r="AU859" s="123"/>
      <c r="AV859" s="123"/>
      <c r="AW859" s="123"/>
      <c r="AX859" s="123"/>
      <c r="AY859" s="123"/>
      <c r="AZ859" s="123"/>
      <c r="BA859" s="123"/>
      <c r="BB859" s="123"/>
      <c r="BC859" s="123"/>
    </row>
    <row r="860" spans="44:55">
      <c r="AR860" s="123"/>
      <c r="AS860" s="123"/>
      <c r="AT860" s="123"/>
      <c r="AU860" s="123"/>
      <c r="AV860" s="123"/>
      <c r="AW860" s="123"/>
      <c r="AX860" s="123"/>
      <c r="AY860" s="123"/>
      <c r="AZ860" s="123"/>
      <c r="BA860" s="123"/>
      <c r="BB860" s="123"/>
      <c r="BC860" s="123"/>
    </row>
    <row r="861" spans="44:55">
      <c r="AR861" s="123"/>
      <c r="AS861" s="123"/>
      <c r="AT861" s="123"/>
      <c r="AU861" s="123"/>
      <c r="AV861" s="123"/>
      <c r="AW861" s="123"/>
      <c r="AX861" s="123"/>
      <c r="AY861" s="123"/>
      <c r="AZ861" s="123"/>
      <c r="BA861" s="123"/>
      <c r="BB861" s="123"/>
      <c r="BC861" s="123"/>
    </row>
    <row r="862" spans="44:55">
      <c r="AR862" s="123"/>
      <c r="AS862" s="123"/>
      <c r="AT862" s="123"/>
      <c r="AU862" s="123"/>
      <c r="AV862" s="123"/>
      <c r="AW862" s="123"/>
      <c r="AX862" s="123"/>
      <c r="AY862" s="123"/>
      <c r="AZ862" s="123"/>
      <c r="BA862" s="123"/>
      <c r="BB862" s="123"/>
      <c r="BC862" s="123"/>
    </row>
    <row r="863" spans="44:55">
      <c r="AR863" s="123"/>
      <c r="AS863" s="123"/>
      <c r="AT863" s="123"/>
      <c r="AU863" s="123"/>
      <c r="AV863" s="123"/>
      <c r="AW863" s="123"/>
      <c r="AX863" s="123"/>
      <c r="AY863" s="123"/>
      <c r="AZ863" s="123"/>
      <c r="BA863" s="123"/>
      <c r="BB863" s="123"/>
      <c r="BC863" s="123"/>
    </row>
    <row r="864" spans="44:55">
      <c r="AR864" s="123"/>
      <c r="AS864" s="123"/>
      <c r="AT864" s="123"/>
      <c r="AU864" s="123"/>
      <c r="AV864" s="123"/>
      <c r="AW864" s="123"/>
      <c r="AX864" s="123"/>
      <c r="AY864" s="123"/>
      <c r="AZ864" s="123"/>
      <c r="BA864" s="123"/>
      <c r="BB864" s="123"/>
      <c r="BC864" s="123"/>
    </row>
    <row r="865" spans="44:55">
      <c r="AR865" s="123"/>
      <c r="AS865" s="123"/>
      <c r="AT865" s="123"/>
      <c r="AU865" s="123"/>
      <c r="AV865" s="123"/>
      <c r="AW865" s="123"/>
      <c r="AX865" s="123"/>
      <c r="AY865" s="123"/>
      <c r="AZ865" s="123"/>
      <c r="BA865" s="123"/>
      <c r="BB865" s="123"/>
      <c r="BC865" s="123"/>
    </row>
    <row r="866" spans="44:55">
      <c r="AR866" s="123"/>
      <c r="AS866" s="123"/>
      <c r="AT866" s="123"/>
      <c r="AU866" s="123"/>
      <c r="AV866" s="123"/>
      <c r="AW866" s="123"/>
      <c r="AX866" s="123"/>
      <c r="AY866" s="123"/>
      <c r="AZ866" s="123"/>
      <c r="BA866" s="123"/>
      <c r="BB866" s="123"/>
      <c r="BC866" s="123"/>
    </row>
    <row r="867" spans="44:55">
      <c r="AR867" s="123"/>
      <c r="AS867" s="123"/>
      <c r="AT867" s="123"/>
      <c r="AU867" s="123"/>
      <c r="AV867" s="123"/>
      <c r="AW867" s="123"/>
      <c r="AX867" s="123"/>
      <c r="AY867" s="123"/>
      <c r="AZ867" s="123"/>
      <c r="BA867" s="123"/>
      <c r="BB867" s="123"/>
      <c r="BC867" s="123"/>
    </row>
    <row r="868" spans="44:55">
      <c r="AR868" s="123"/>
      <c r="AS868" s="123"/>
      <c r="AT868" s="123"/>
      <c r="AU868" s="123"/>
      <c r="AV868" s="123"/>
      <c r="AW868" s="123"/>
      <c r="AX868" s="123"/>
      <c r="AY868" s="123"/>
      <c r="AZ868" s="123"/>
      <c r="BA868" s="123"/>
      <c r="BB868" s="123"/>
      <c r="BC868" s="123"/>
    </row>
    <row r="869" spans="44:55">
      <c r="AR869" s="123"/>
      <c r="AS869" s="123"/>
      <c r="AT869" s="123"/>
      <c r="AU869" s="123"/>
      <c r="AV869" s="123"/>
      <c r="AW869" s="123"/>
      <c r="AX869" s="123"/>
      <c r="AY869" s="123"/>
      <c r="AZ869" s="123"/>
      <c r="BA869" s="123"/>
      <c r="BB869" s="123"/>
      <c r="BC869" s="123"/>
    </row>
    <row r="870" spans="44:55">
      <c r="AR870" s="123"/>
      <c r="AS870" s="123"/>
      <c r="AT870" s="123"/>
      <c r="AU870" s="123"/>
      <c r="AV870" s="123"/>
      <c r="AW870" s="123"/>
      <c r="AX870" s="123"/>
      <c r="AY870" s="123"/>
      <c r="AZ870" s="123"/>
      <c r="BA870" s="123"/>
      <c r="BB870" s="123"/>
      <c r="BC870" s="123"/>
    </row>
    <row r="871" spans="44:55">
      <c r="AR871" s="123"/>
      <c r="AS871" s="123"/>
      <c r="AT871" s="123"/>
      <c r="AU871" s="123"/>
      <c r="AV871" s="123"/>
      <c r="AW871" s="123"/>
      <c r="AX871" s="123"/>
      <c r="AY871" s="123"/>
      <c r="AZ871" s="123"/>
      <c r="BA871" s="123"/>
      <c r="BB871" s="123"/>
      <c r="BC871" s="123"/>
    </row>
    <row r="872" spans="44:55">
      <c r="AR872" s="123"/>
      <c r="AS872" s="123"/>
      <c r="AT872" s="123"/>
      <c r="AU872" s="123"/>
      <c r="AV872" s="123"/>
      <c r="AW872" s="123"/>
      <c r="AX872" s="123"/>
      <c r="AY872" s="123"/>
      <c r="AZ872" s="123"/>
      <c r="BA872" s="123"/>
      <c r="BB872" s="123"/>
      <c r="BC872" s="123"/>
    </row>
    <row r="873" spans="44:55">
      <c r="AR873" s="123"/>
      <c r="AS873" s="123"/>
      <c r="AT873" s="123"/>
      <c r="AU873" s="123"/>
      <c r="AV873" s="123"/>
      <c r="AW873" s="123"/>
      <c r="AX873" s="123"/>
      <c r="AY873" s="123"/>
      <c r="AZ873" s="123"/>
      <c r="BA873" s="123"/>
      <c r="BB873" s="123"/>
      <c r="BC873" s="123"/>
    </row>
    <row r="874" spans="44:55">
      <c r="AR874" s="123"/>
      <c r="AS874" s="123"/>
      <c r="AT874" s="123"/>
      <c r="AU874" s="123"/>
      <c r="AV874" s="123"/>
      <c r="AW874" s="123"/>
      <c r="AX874" s="123"/>
      <c r="AY874" s="123"/>
      <c r="AZ874" s="123"/>
      <c r="BA874" s="123"/>
      <c r="BB874" s="123"/>
      <c r="BC874" s="123"/>
    </row>
    <row r="875" spans="44:55">
      <c r="AR875" s="123"/>
      <c r="AS875" s="123"/>
      <c r="AT875" s="123"/>
      <c r="AU875" s="123"/>
      <c r="AV875" s="123"/>
      <c r="AW875" s="123"/>
      <c r="AX875" s="123"/>
      <c r="AY875" s="123"/>
      <c r="AZ875" s="123"/>
      <c r="BA875" s="123"/>
      <c r="BB875" s="123"/>
      <c r="BC875" s="123"/>
    </row>
    <row r="876" spans="44:55">
      <c r="AR876" s="123"/>
      <c r="AS876" s="123"/>
      <c r="AT876" s="123"/>
      <c r="AU876" s="123"/>
      <c r="AV876" s="123"/>
      <c r="AW876" s="123"/>
      <c r="AX876" s="123"/>
      <c r="AY876" s="123"/>
      <c r="AZ876" s="123"/>
      <c r="BA876" s="123"/>
      <c r="BB876" s="123"/>
      <c r="BC876" s="123"/>
    </row>
    <row r="877" spans="44:55">
      <c r="AR877" s="123"/>
      <c r="AS877" s="123"/>
      <c r="AT877" s="123"/>
      <c r="AU877" s="123"/>
      <c r="AV877" s="123"/>
      <c r="AW877" s="123"/>
      <c r="AX877" s="123"/>
      <c r="AY877" s="123"/>
      <c r="AZ877" s="123"/>
      <c r="BA877" s="123"/>
      <c r="BB877" s="123"/>
      <c r="BC877" s="123"/>
    </row>
    <row r="878" spans="44:55">
      <c r="AR878" s="123"/>
      <c r="AS878" s="123"/>
      <c r="AT878" s="123"/>
      <c r="AU878" s="123"/>
      <c r="AV878" s="123"/>
      <c r="AW878" s="123"/>
      <c r="AX878" s="123"/>
      <c r="AY878" s="123"/>
      <c r="AZ878" s="123"/>
      <c r="BA878" s="123"/>
      <c r="BB878" s="123"/>
      <c r="BC878" s="123"/>
    </row>
    <row r="879" spans="44:55">
      <c r="AR879" s="123"/>
      <c r="AS879" s="123"/>
      <c r="AT879" s="123"/>
      <c r="AU879" s="123"/>
      <c r="AV879" s="123"/>
      <c r="AW879" s="123"/>
      <c r="AX879" s="123"/>
      <c r="AY879" s="123"/>
      <c r="AZ879" s="123"/>
      <c r="BA879" s="123"/>
      <c r="BB879" s="123"/>
      <c r="BC879" s="123"/>
    </row>
    <row r="880" spans="44:55">
      <c r="AR880" s="123"/>
      <c r="AS880" s="123"/>
      <c r="AT880" s="123"/>
      <c r="AU880" s="123"/>
      <c r="AV880" s="123"/>
      <c r="AW880" s="123"/>
      <c r="AX880" s="123"/>
      <c r="AY880" s="123"/>
      <c r="AZ880" s="123"/>
      <c r="BA880" s="123"/>
      <c r="BB880" s="123"/>
      <c r="BC880" s="123"/>
    </row>
    <row r="881" spans="44:55">
      <c r="AR881" s="123"/>
      <c r="AS881" s="123"/>
      <c r="AT881" s="123"/>
      <c r="AU881" s="123"/>
      <c r="AV881" s="123"/>
      <c r="AW881" s="123"/>
      <c r="AX881" s="123"/>
      <c r="AY881" s="123"/>
      <c r="AZ881" s="123"/>
      <c r="BA881" s="123"/>
      <c r="BB881" s="123"/>
      <c r="BC881" s="123"/>
    </row>
    <row r="882" spans="44:55">
      <c r="AR882" s="123"/>
      <c r="AS882" s="123"/>
      <c r="AT882" s="123"/>
      <c r="AU882" s="123"/>
      <c r="AV882" s="123"/>
      <c r="AW882" s="123"/>
      <c r="AX882" s="123"/>
      <c r="AY882" s="123"/>
      <c r="AZ882" s="123"/>
      <c r="BA882" s="123"/>
      <c r="BB882" s="123"/>
      <c r="BC882" s="123"/>
    </row>
    <row r="883" spans="44:55">
      <c r="AR883" s="123"/>
      <c r="AS883" s="123"/>
      <c r="AT883" s="123"/>
      <c r="AU883" s="123"/>
      <c r="AV883" s="123"/>
      <c r="AW883" s="123"/>
      <c r="AX883" s="123"/>
      <c r="AY883" s="123"/>
      <c r="AZ883" s="123"/>
      <c r="BA883" s="123"/>
      <c r="BB883" s="123"/>
      <c r="BC883" s="123"/>
    </row>
    <row r="884" spans="44:55">
      <c r="AR884" s="123"/>
      <c r="AS884" s="123"/>
      <c r="AT884" s="123"/>
      <c r="AU884" s="123"/>
      <c r="AV884" s="123"/>
      <c r="AW884" s="123"/>
      <c r="AX884" s="123"/>
      <c r="AY884" s="123"/>
      <c r="AZ884" s="123"/>
      <c r="BA884" s="123"/>
      <c r="BB884" s="123"/>
      <c r="BC884" s="123"/>
    </row>
    <row r="885" spans="44:55">
      <c r="AR885" s="123"/>
      <c r="AS885" s="123"/>
      <c r="AT885" s="123"/>
      <c r="AU885" s="123"/>
      <c r="AV885" s="123"/>
      <c r="AW885" s="123"/>
      <c r="AX885" s="123"/>
      <c r="AY885" s="123"/>
      <c r="AZ885" s="123"/>
      <c r="BA885" s="123"/>
      <c r="BB885" s="123"/>
      <c r="BC885" s="123"/>
    </row>
    <row r="886" spans="44:55">
      <c r="AR886" s="123"/>
      <c r="AS886" s="123"/>
      <c r="AT886" s="123"/>
      <c r="AU886" s="123"/>
      <c r="AV886" s="123"/>
      <c r="AW886" s="123"/>
      <c r="AX886" s="123"/>
      <c r="AY886" s="123"/>
      <c r="AZ886" s="123"/>
      <c r="BA886" s="123"/>
      <c r="BB886" s="123"/>
      <c r="BC886" s="123"/>
    </row>
    <row r="887" spans="44:55">
      <c r="AR887" s="123"/>
      <c r="AS887" s="123"/>
      <c r="AT887" s="123"/>
      <c r="AU887" s="123"/>
      <c r="AV887" s="123"/>
      <c r="AW887" s="123"/>
      <c r="AX887" s="123"/>
      <c r="AY887" s="123"/>
      <c r="AZ887" s="123"/>
      <c r="BA887" s="123"/>
      <c r="BB887" s="123"/>
      <c r="BC887" s="123"/>
    </row>
    <row r="888" spans="44:55">
      <c r="AR888" s="123"/>
      <c r="AS888" s="123"/>
      <c r="AT888" s="123"/>
      <c r="AU888" s="123"/>
      <c r="AV888" s="123"/>
      <c r="AW888" s="123"/>
      <c r="AX888" s="123"/>
      <c r="AY888" s="123"/>
      <c r="AZ888" s="123"/>
      <c r="BA888" s="123"/>
      <c r="BB888" s="123"/>
      <c r="BC888" s="123"/>
    </row>
    <row r="889" spans="44:55">
      <c r="AR889" s="123"/>
      <c r="AS889" s="123"/>
      <c r="AT889" s="123"/>
      <c r="AU889" s="123"/>
      <c r="AV889" s="123"/>
      <c r="AW889" s="123"/>
      <c r="AX889" s="123"/>
      <c r="AY889" s="123"/>
      <c r="AZ889" s="123"/>
      <c r="BA889" s="123"/>
      <c r="BB889" s="123"/>
      <c r="BC889" s="123"/>
    </row>
    <row r="890" spans="44:55">
      <c r="AR890" s="123"/>
      <c r="AS890" s="123"/>
      <c r="AT890" s="123"/>
      <c r="AU890" s="123"/>
      <c r="AV890" s="123"/>
      <c r="AW890" s="123"/>
      <c r="AX890" s="123"/>
      <c r="AY890" s="123"/>
      <c r="AZ890" s="123"/>
      <c r="BA890" s="123"/>
      <c r="BB890" s="123"/>
      <c r="BC890" s="123"/>
    </row>
    <row r="891" spans="44:55">
      <c r="AR891" s="123"/>
      <c r="AS891" s="123"/>
      <c r="AT891" s="123"/>
      <c r="AU891" s="123"/>
      <c r="AV891" s="123"/>
      <c r="AW891" s="123"/>
      <c r="AX891" s="123"/>
      <c r="AY891" s="123"/>
      <c r="AZ891" s="123"/>
      <c r="BA891" s="123"/>
      <c r="BB891" s="123"/>
      <c r="BC891" s="123"/>
    </row>
    <row r="892" spans="44:55">
      <c r="AR892" s="123"/>
      <c r="AS892" s="123"/>
      <c r="AT892" s="123"/>
      <c r="AU892" s="123"/>
      <c r="AV892" s="123"/>
      <c r="AW892" s="123"/>
      <c r="AX892" s="123"/>
      <c r="AY892" s="123"/>
      <c r="AZ892" s="123"/>
      <c r="BA892" s="123"/>
      <c r="BB892" s="123"/>
      <c r="BC892" s="123"/>
    </row>
    <row r="893" spans="44:55">
      <c r="AR893" s="123"/>
      <c r="AS893" s="123"/>
      <c r="AT893" s="123"/>
      <c r="AU893" s="123"/>
      <c r="AV893" s="123"/>
      <c r="AW893" s="123"/>
      <c r="AX893" s="123"/>
      <c r="AY893" s="123"/>
      <c r="AZ893" s="123"/>
      <c r="BA893" s="123"/>
      <c r="BB893" s="123"/>
      <c r="BC893" s="123"/>
    </row>
    <row r="894" spans="44:55">
      <c r="AR894" s="123"/>
      <c r="AS894" s="123"/>
      <c r="AT894" s="123"/>
      <c r="AU894" s="123"/>
      <c r="AV894" s="123"/>
      <c r="AW894" s="123"/>
      <c r="AX894" s="123"/>
      <c r="AY894" s="123"/>
      <c r="AZ894" s="123"/>
      <c r="BA894" s="123"/>
      <c r="BB894" s="123"/>
      <c r="BC894" s="123"/>
    </row>
    <row r="895" spans="44:55">
      <c r="AR895" s="123"/>
      <c r="AS895" s="123"/>
      <c r="AT895" s="123"/>
      <c r="AU895" s="123"/>
      <c r="AV895" s="123"/>
      <c r="AW895" s="123"/>
      <c r="AX895" s="123"/>
      <c r="AY895" s="123"/>
      <c r="AZ895" s="123"/>
      <c r="BA895" s="123"/>
      <c r="BB895" s="123"/>
      <c r="BC895" s="123"/>
    </row>
    <row r="896" spans="44:55">
      <c r="AR896" s="123"/>
      <c r="AS896" s="123"/>
      <c r="AT896" s="123"/>
      <c r="AU896" s="123"/>
      <c r="AV896" s="123"/>
      <c r="AW896" s="123"/>
      <c r="AX896" s="123"/>
      <c r="AY896" s="123"/>
      <c r="AZ896" s="123"/>
      <c r="BA896" s="123"/>
      <c r="BB896" s="123"/>
      <c r="BC896" s="123"/>
    </row>
    <row r="897" spans="44:55">
      <c r="AR897" s="123"/>
      <c r="AS897" s="123"/>
      <c r="AT897" s="123"/>
      <c r="AU897" s="123"/>
      <c r="AV897" s="123"/>
      <c r="AW897" s="123"/>
      <c r="AX897" s="123"/>
      <c r="AY897" s="123"/>
      <c r="AZ897" s="123"/>
      <c r="BA897" s="123"/>
      <c r="BB897" s="123"/>
      <c r="BC897" s="123"/>
    </row>
    <row r="898" spans="44:55">
      <c r="AR898" s="123"/>
      <c r="AS898" s="123"/>
      <c r="AT898" s="123"/>
      <c r="AU898" s="123"/>
      <c r="AV898" s="123"/>
      <c r="AW898" s="123"/>
      <c r="AX898" s="123"/>
      <c r="AY898" s="123"/>
      <c r="AZ898" s="123"/>
      <c r="BA898" s="123"/>
      <c r="BB898" s="123"/>
      <c r="BC898" s="123"/>
    </row>
    <row r="899" spans="44:55">
      <c r="AR899" s="123"/>
      <c r="AS899" s="123"/>
      <c r="AT899" s="123"/>
      <c r="AU899" s="123"/>
      <c r="AV899" s="123"/>
      <c r="AW899" s="123"/>
      <c r="AX899" s="123"/>
      <c r="AY899" s="123"/>
      <c r="AZ899" s="123"/>
      <c r="BA899" s="123"/>
      <c r="BB899" s="123"/>
      <c r="BC899" s="123"/>
    </row>
    <row r="900" spans="44:55">
      <c r="AR900" s="123"/>
      <c r="AS900" s="123"/>
      <c r="AT900" s="123"/>
      <c r="AU900" s="123"/>
      <c r="AV900" s="123"/>
      <c r="AW900" s="123"/>
      <c r="AX900" s="123"/>
      <c r="AY900" s="123"/>
      <c r="AZ900" s="123"/>
      <c r="BA900" s="123"/>
      <c r="BB900" s="123"/>
      <c r="BC900" s="123"/>
    </row>
    <row r="901" spans="44:55">
      <c r="AR901" s="123"/>
      <c r="AS901" s="123"/>
      <c r="AT901" s="123"/>
      <c r="AU901" s="123"/>
      <c r="AV901" s="123"/>
      <c r="AW901" s="123"/>
      <c r="AX901" s="123"/>
      <c r="AY901" s="123"/>
      <c r="AZ901" s="123"/>
      <c r="BA901" s="123"/>
      <c r="BB901" s="123"/>
      <c r="BC901" s="123"/>
    </row>
    <row r="902" spans="44:55">
      <c r="AR902" s="123"/>
      <c r="AS902" s="123"/>
      <c r="AT902" s="123"/>
      <c r="AU902" s="123"/>
      <c r="AV902" s="123"/>
      <c r="AW902" s="123"/>
      <c r="AX902" s="123"/>
      <c r="AY902" s="123"/>
      <c r="AZ902" s="123"/>
      <c r="BA902" s="123"/>
      <c r="BB902" s="123"/>
      <c r="BC902" s="123"/>
    </row>
    <row r="903" spans="44:55">
      <c r="AR903" s="123"/>
      <c r="AS903" s="123"/>
      <c r="AT903" s="123"/>
      <c r="AU903" s="123"/>
      <c r="AV903" s="123"/>
      <c r="AW903" s="123"/>
      <c r="AX903" s="123"/>
      <c r="AY903" s="123"/>
      <c r="AZ903" s="123"/>
      <c r="BA903" s="123"/>
      <c r="BB903" s="123"/>
      <c r="BC903" s="123"/>
    </row>
    <row r="904" spans="44:55">
      <c r="AR904" s="123"/>
      <c r="AS904" s="123"/>
      <c r="AT904" s="123"/>
      <c r="AU904" s="123"/>
      <c r="AV904" s="123"/>
      <c r="AW904" s="123"/>
      <c r="AX904" s="123"/>
      <c r="AY904" s="123"/>
      <c r="AZ904" s="123"/>
      <c r="BA904" s="123"/>
      <c r="BB904" s="123"/>
      <c r="BC904" s="123"/>
    </row>
    <row r="905" spans="44:55">
      <c r="AR905" s="123"/>
      <c r="AS905" s="123"/>
      <c r="AT905" s="123"/>
      <c r="AU905" s="123"/>
      <c r="AV905" s="123"/>
      <c r="AW905" s="123"/>
      <c r="AX905" s="123"/>
      <c r="AY905" s="123"/>
      <c r="AZ905" s="123"/>
      <c r="BA905" s="123"/>
      <c r="BB905" s="123"/>
      <c r="BC905" s="123"/>
    </row>
    <row r="906" spans="44:55">
      <c r="AR906" s="123"/>
      <c r="AS906" s="123"/>
      <c r="AT906" s="123"/>
      <c r="AU906" s="123"/>
      <c r="AV906" s="123"/>
      <c r="AW906" s="123"/>
      <c r="AX906" s="123"/>
      <c r="AY906" s="123"/>
      <c r="AZ906" s="123"/>
      <c r="BA906" s="123"/>
      <c r="BB906" s="123"/>
      <c r="BC906" s="123"/>
    </row>
    <row r="907" spans="44:55">
      <c r="AR907" s="123"/>
      <c r="AS907" s="123"/>
      <c r="AT907" s="123"/>
      <c r="AU907" s="123"/>
      <c r="AV907" s="123"/>
      <c r="AW907" s="123"/>
      <c r="AX907" s="123"/>
      <c r="AY907" s="123"/>
      <c r="AZ907" s="123"/>
      <c r="BA907" s="123"/>
      <c r="BB907" s="123"/>
      <c r="BC907" s="123"/>
    </row>
    <row r="908" spans="44:55">
      <c r="AR908" s="123"/>
      <c r="AS908" s="123"/>
      <c r="AT908" s="123"/>
      <c r="AU908" s="123"/>
      <c r="AV908" s="123"/>
      <c r="AW908" s="123"/>
      <c r="AX908" s="123"/>
      <c r="AY908" s="123"/>
      <c r="AZ908" s="123"/>
      <c r="BA908" s="123"/>
      <c r="BB908" s="123"/>
      <c r="BC908" s="123"/>
    </row>
    <row r="909" spans="44:55">
      <c r="AR909" s="123"/>
      <c r="AS909" s="123"/>
      <c r="AT909" s="123"/>
      <c r="AU909" s="123"/>
      <c r="AV909" s="123"/>
      <c r="AW909" s="123"/>
      <c r="AX909" s="123"/>
      <c r="AY909" s="123"/>
      <c r="AZ909" s="123"/>
      <c r="BA909" s="123"/>
      <c r="BB909" s="123"/>
      <c r="BC909" s="123"/>
    </row>
    <row r="910" spans="44:55">
      <c r="AR910" s="123"/>
      <c r="AS910" s="123"/>
      <c r="AT910" s="123"/>
      <c r="AU910" s="123"/>
      <c r="AV910" s="123"/>
      <c r="AW910" s="123"/>
      <c r="AX910" s="123"/>
      <c r="AY910" s="123"/>
      <c r="AZ910" s="123"/>
      <c r="BA910" s="123"/>
      <c r="BB910" s="123"/>
      <c r="BC910" s="123"/>
    </row>
    <row r="911" spans="44:55">
      <c r="AR911" s="123"/>
      <c r="AS911" s="123"/>
      <c r="AT911" s="123"/>
      <c r="AU911" s="123"/>
      <c r="AV911" s="123"/>
      <c r="AW911" s="123"/>
      <c r="AX911" s="123"/>
      <c r="AY911" s="123"/>
      <c r="AZ911" s="123"/>
      <c r="BA911" s="123"/>
      <c r="BB911" s="123"/>
      <c r="BC911" s="123"/>
    </row>
    <row r="912" spans="44:55">
      <c r="AR912" s="123"/>
      <c r="AS912" s="123"/>
      <c r="AT912" s="123"/>
      <c r="AU912" s="123"/>
      <c r="AV912" s="123"/>
      <c r="AW912" s="123"/>
      <c r="AX912" s="123"/>
      <c r="AY912" s="123"/>
      <c r="AZ912" s="123"/>
      <c r="BA912" s="123"/>
      <c r="BB912" s="123"/>
      <c r="BC912" s="123"/>
    </row>
    <row r="913" spans="44:55">
      <c r="AR913" s="123"/>
      <c r="AS913" s="123"/>
      <c r="AT913" s="123"/>
      <c r="AU913" s="123"/>
      <c r="AV913" s="123"/>
      <c r="AW913" s="123"/>
      <c r="AX913" s="123"/>
      <c r="AY913" s="123"/>
      <c r="AZ913" s="123"/>
      <c r="BA913" s="123"/>
      <c r="BB913" s="123"/>
      <c r="BC913" s="123"/>
    </row>
    <row r="914" spans="44:55">
      <c r="AR914" s="123"/>
      <c r="AS914" s="123"/>
      <c r="AT914" s="123"/>
      <c r="AU914" s="123"/>
      <c r="AV914" s="123"/>
      <c r="AW914" s="123"/>
      <c r="AX914" s="123"/>
      <c r="AY914" s="123"/>
      <c r="AZ914" s="123"/>
      <c r="BA914" s="123"/>
      <c r="BB914" s="123"/>
      <c r="BC914" s="123"/>
    </row>
    <row r="915" spans="44:55">
      <c r="AR915" s="123"/>
      <c r="AS915" s="123"/>
      <c r="AT915" s="123"/>
      <c r="AU915" s="123"/>
      <c r="AV915" s="123"/>
      <c r="AW915" s="123"/>
      <c r="AX915" s="123"/>
      <c r="AY915" s="123"/>
      <c r="AZ915" s="123"/>
      <c r="BA915" s="123"/>
      <c r="BB915" s="123"/>
      <c r="BC915" s="123"/>
    </row>
    <row r="916" spans="44:55">
      <c r="AR916" s="123"/>
      <c r="AS916" s="123"/>
      <c r="AT916" s="123"/>
      <c r="AU916" s="123"/>
      <c r="AV916" s="123"/>
      <c r="AW916" s="123"/>
      <c r="AX916" s="123"/>
      <c r="AY916" s="123"/>
      <c r="AZ916" s="123"/>
      <c r="BA916" s="123"/>
      <c r="BB916" s="123"/>
      <c r="BC916" s="123"/>
    </row>
    <row r="917" spans="44:55">
      <c r="AR917" s="123"/>
      <c r="AS917" s="123"/>
      <c r="AT917" s="123"/>
      <c r="AU917" s="123"/>
      <c r="AV917" s="123"/>
      <c r="AW917" s="123"/>
      <c r="AX917" s="123"/>
      <c r="AY917" s="123"/>
      <c r="AZ917" s="123"/>
      <c r="BA917" s="123"/>
      <c r="BB917" s="123"/>
      <c r="BC917" s="123"/>
    </row>
    <row r="918" spans="44:55">
      <c r="AR918" s="123"/>
      <c r="AS918" s="123"/>
      <c r="AT918" s="123"/>
      <c r="AU918" s="123"/>
      <c r="AV918" s="123"/>
      <c r="AW918" s="123"/>
      <c r="AX918" s="123"/>
      <c r="AY918" s="123"/>
      <c r="AZ918" s="123"/>
      <c r="BA918" s="123"/>
      <c r="BB918" s="123"/>
      <c r="BC918" s="123"/>
    </row>
    <row r="919" spans="44:55">
      <c r="AR919" s="123"/>
      <c r="AS919" s="123"/>
      <c r="AT919" s="123"/>
      <c r="AU919" s="123"/>
      <c r="AV919" s="123"/>
      <c r="AW919" s="123"/>
      <c r="AX919" s="123"/>
      <c r="AY919" s="123"/>
      <c r="AZ919" s="123"/>
      <c r="BA919" s="123"/>
      <c r="BB919" s="123"/>
      <c r="BC919" s="123"/>
    </row>
    <row r="920" spans="44:55">
      <c r="AR920" s="123"/>
      <c r="AS920" s="123"/>
      <c r="AT920" s="123"/>
      <c r="AU920" s="123"/>
      <c r="AV920" s="123"/>
      <c r="AW920" s="123"/>
      <c r="AX920" s="123"/>
      <c r="AY920" s="123"/>
      <c r="AZ920" s="123"/>
      <c r="BA920" s="123"/>
      <c r="BB920" s="123"/>
      <c r="BC920" s="123"/>
    </row>
    <row r="921" spans="44:55">
      <c r="AR921" s="123"/>
      <c r="AS921" s="123"/>
      <c r="AT921" s="123"/>
      <c r="AU921" s="123"/>
      <c r="AV921" s="123"/>
      <c r="AW921" s="123"/>
      <c r="AX921" s="123"/>
      <c r="AY921" s="123"/>
      <c r="AZ921" s="123"/>
      <c r="BA921" s="123"/>
      <c r="BB921" s="123"/>
      <c r="BC921" s="123"/>
    </row>
    <row r="922" spans="44:55">
      <c r="AR922" s="123"/>
      <c r="AS922" s="123"/>
      <c r="AT922" s="123"/>
      <c r="AU922" s="123"/>
      <c r="AV922" s="123"/>
      <c r="AW922" s="123"/>
      <c r="AX922" s="123"/>
      <c r="AY922" s="123"/>
      <c r="AZ922" s="123"/>
      <c r="BA922" s="123"/>
      <c r="BB922" s="123"/>
      <c r="BC922" s="123"/>
    </row>
    <row r="923" spans="44:55">
      <c r="AR923" s="123"/>
      <c r="AS923" s="123"/>
      <c r="AT923" s="123"/>
      <c r="AU923" s="123"/>
      <c r="AV923" s="123"/>
      <c r="AW923" s="123"/>
      <c r="AX923" s="123"/>
      <c r="AY923" s="123"/>
      <c r="AZ923" s="123"/>
      <c r="BA923" s="123"/>
      <c r="BB923" s="123"/>
      <c r="BC923" s="123"/>
    </row>
    <row r="924" spans="44:55">
      <c r="AR924" s="123"/>
      <c r="AS924" s="123"/>
      <c r="AT924" s="123"/>
      <c r="AU924" s="123"/>
      <c r="AV924" s="123"/>
      <c r="AW924" s="123"/>
      <c r="AX924" s="123"/>
      <c r="AY924" s="123"/>
      <c r="AZ924" s="123"/>
      <c r="BA924" s="123"/>
      <c r="BB924" s="123"/>
      <c r="BC924" s="123"/>
    </row>
    <row r="925" spans="44:55">
      <c r="AR925" s="123"/>
      <c r="AS925" s="123"/>
      <c r="AT925" s="123"/>
      <c r="AU925" s="123"/>
      <c r="AV925" s="123"/>
      <c r="AW925" s="123"/>
      <c r="AX925" s="123"/>
      <c r="AY925" s="123"/>
      <c r="AZ925" s="123"/>
      <c r="BA925" s="123"/>
      <c r="BB925" s="123"/>
      <c r="BC925" s="123"/>
    </row>
    <row r="926" spans="44:55">
      <c r="AR926" s="123"/>
      <c r="AS926" s="123"/>
      <c r="AT926" s="123"/>
      <c r="AU926" s="123"/>
      <c r="AV926" s="123"/>
      <c r="AW926" s="123"/>
      <c r="AX926" s="123"/>
      <c r="AY926" s="123"/>
      <c r="AZ926" s="123"/>
      <c r="BA926" s="123"/>
      <c r="BB926" s="123"/>
      <c r="BC926" s="123"/>
    </row>
    <row r="927" spans="44:55">
      <c r="AR927" s="123"/>
      <c r="AS927" s="123"/>
      <c r="AT927" s="123"/>
      <c r="AU927" s="123"/>
      <c r="AV927" s="123"/>
      <c r="AW927" s="123"/>
      <c r="AX927" s="123"/>
      <c r="AY927" s="123"/>
      <c r="AZ927" s="123"/>
      <c r="BA927" s="123"/>
      <c r="BB927" s="123"/>
      <c r="BC927" s="123"/>
    </row>
    <row r="928" spans="44:55">
      <c r="AR928" s="123"/>
      <c r="AS928" s="123"/>
      <c r="AT928" s="123"/>
      <c r="AU928" s="123"/>
      <c r="AV928" s="123"/>
      <c r="AW928" s="123"/>
      <c r="AX928" s="123"/>
      <c r="AY928" s="123"/>
      <c r="AZ928" s="123"/>
      <c r="BA928" s="123"/>
      <c r="BB928" s="123"/>
      <c r="BC928" s="123"/>
    </row>
    <row r="929" spans="44:55">
      <c r="AR929" s="123"/>
      <c r="AS929" s="123"/>
      <c r="AT929" s="123"/>
      <c r="AU929" s="123"/>
      <c r="AV929" s="123"/>
      <c r="AW929" s="123"/>
      <c r="AX929" s="123"/>
      <c r="AY929" s="123"/>
      <c r="AZ929" s="123"/>
      <c r="BA929" s="123"/>
      <c r="BB929" s="123"/>
      <c r="BC929" s="123"/>
    </row>
    <row r="930" spans="44:55">
      <c r="AR930" s="123"/>
      <c r="AS930" s="123"/>
      <c r="AT930" s="123"/>
      <c r="AU930" s="123"/>
      <c r="AV930" s="123"/>
      <c r="AW930" s="123"/>
      <c r="AX930" s="123"/>
      <c r="AY930" s="123"/>
      <c r="AZ930" s="123"/>
      <c r="BA930" s="123"/>
      <c r="BB930" s="123"/>
      <c r="BC930" s="123"/>
    </row>
    <row r="931" spans="44:55">
      <c r="AR931" s="123"/>
      <c r="AS931" s="123"/>
      <c r="AT931" s="123"/>
      <c r="AU931" s="123"/>
      <c r="AV931" s="123"/>
      <c r="AW931" s="123"/>
      <c r="AX931" s="123"/>
      <c r="AY931" s="123"/>
      <c r="AZ931" s="123"/>
      <c r="BA931" s="123"/>
      <c r="BB931" s="123"/>
      <c r="BC931" s="123"/>
    </row>
    <row r="932" spans="44:55">
      <c r="AR932" s="123"/>
      <c r="AS932" s="123"/>
      <c r="AT932" s="123"/>
      <c r="AU932" s="123"/>
      <c r="AV932" s="123"/>
      <c r="AW932" s="123"/>
      <c r="AX932" s="123"/>
      <c r="AY932" s="123"/>
      <c r="AZ932" s="123"/>
      <c r="BA932" s="123"/>
      <c r="BB932" s="123"/>
      <c r="BC932" s="123"/>
    </row>
    <row r="933" spans="44:55">
      <c r="AR933" s="123"/>
      <c r="AS933" s="123"/>
      <c r="AT933" s="123"/>
      <c r="AU933" s="123"/>
      <c r="AV933" s="123"/>
      <c r="AW933" s="123"/>
      <c r="AX933" s="123"/>
      <c r="AY933" s="123"/>
      <c r="AZ933" s="123"/>
      <c r="BA933" s="123"/>
      <c r="BB933" s="123"/>
      <c r="BC933" s="123"/>
    </row>
    <row r="934" spans="44:55">
      <c r="AR934" s="123"/>
      <c r="AS934" s="123"/>
      <c r="AT934" s="123"/>
      <c r="AU934" s="123"/>
      <c r="AV934" s="123"/>
      <c r="AW934" s="123"/>
      <c r="AX934" s="123"/>
      <c r="AY934" s="123"/>
      <c r="AZ934" s="123"/>
      <c r="BA934" s="123"/>
      <c r="BB934" s="123"/>
      <c r="BC934" s="123"/>
    </row>
    <row r="935" spans="44:55">
      <c r="AR935" s="123"/>
      <c r="AS935" s="123"/>
      <c r="AT935" s="123"/>
      <c r="AU935" s="123"/>
      <c r="AV935" s="123"/>
      <c r="AW935" s="123"/>
      <c r="AX935" s="123"/>
      <c r="AY935" s="123"/>
      <c r="AZ935" s="123"/>
      <c r="BA935" s="123"/>
      <c r="BB935" s="123"/>
      <c r="BC935" s="123"/>
    </row>
    <row r="936" spans="44:55">
      <c r="AR936" s="123"/>
      <c r="AS936" s="123"/>
      <c r="AT936" s="123"/>
      <c r="AU936" s="123"/>
      <c r="AV936" s="123"/>
      <c r="AW936" s="123"/>
      <c r="AX936" s="123"/>
      <c r="AY936" s="123"/>
      <c r="AZ936" s="123"/>
      <c r="BA936" s="123"/>
      <c r="BB936" s="123"/>
      <c r="BC936" s="123"/>
    </row>
    <row r="937" spans="44:55">
      <c r="AR937" s="123"/>
      <c r="AS937" s="123"/>
      <c r="AT937" s="123"/>
      <c r="AU937" s="123"/>
      <c r="AV937" s="123"/>
      <c r="AW937" s="123"/>
      <c r="AX937" s="123"/>
      <c r="AY937" s="123"/>
      <c r="AZ937" s="123"/>
      <c r="BA937" s="123"/>
      <c r="BB937" s="123"/>
      <c r="BC937" s="123"/>
    </row>
    <row r="938" spans="44:55">
      <c r="AR938" s="123"/>
      <c r="AS938" s="123"/>
      <c r="AT938" s="123"/>
      <c r="AU938" s="123"/>
      <c r="AV938" s="123"/>
      <c r="AW938" s="123"/>
      <c r="AX938" s="123"/>
      <c r="AY938" s="123"/>
      <c r="AZ938" s="123"/>
      <c r="BA938" s="123"/>
      <c r="BB938" s="123"/>
      <c r="BC938" s="123"/>
    </row>
    <row r="939" spans="44:55">
      <c r="AR939" s="123"/>
      <c r="AS939" s="123"/>
      <c r="AT939" s="123"/>
      <c r="AU939" s="123"/>
      <c r="AV939" s="123"/>
      <c r="AW939" s="123"/>
      <c r="AX939" s="123"/>
      <c r="AY939" s="123"/>
      <c r="AZ939" s="123"/>
      <c r="BA939" s="123"/>
      <c r="BB939" s="123"/>
      <c r="BC939" s="123"/>
    </row>
    <row r="940" spans="44:55">
      <c r="AR940" s="123"/>
      <c r="AS940" s="123"/>
      <c r="AT940" s="123"/>
      <c r="AU940" s="123"/>
      <c r="AV940" s="123"/>
      <c r="AW940" s="123"/>
      <c r="AX940" s="123"/>
      <c r="AY940" s="123"/>
      <c r="AZ940" s="123"/>
      <c r="BA940" s="123"/>
      <c r="BB940" s="123"/>
      <c r="BC940" s="123"/>
    </row>
    <row r="941" spans="44:55">
      <c r="AR941" s="123"/>
      <c r="AS941" s="123"/>
      <c r="AT941" s="123"/>
      <c r="AU941" s="123"/>
      <c r="AV941" s="123"/>
      <c r="AW941" s="123"/>
      <c r="AX941" s="123"/>
      <c r="AY941" s="123"/>
      <c r="AZ941" s="123"/>
      <c r="BA941" s="123"/>
      <c r="BB941" s="123"/>
      <c r="BC941" s="123"/>
    </row>
    <row r="942" spans="44:55">
      <c r="AR942" s="123"/>
      <c r="AS942" s="123"/>
      <c r="AT942" s="123"/>
      <c r="AU942" s="123"/>
      <c r="AV942" s="123"/>
      <c r="AW942" s="123"/>
      <c r="AX942" s="123"/>
      <c r="AY942" s="123"/>
      <c r="AZ942" s="123"/>
      <c r="BA942" s="123"/>
      <c r="BB942" s="123"/>
      <c r="BC942" s="123"/>
    </row>
    <row r="943" spans="44:55">
      <c r="AR943" s="123"/>
      <c r="AS943" s="123"/>
      <c r="AT943" s="123"/>
      <c r="AU943" s="123"/>
      <c r="AV943" s="123"/>
      <c r="AW943" s="123"/>
      <c r="AX943" s="123"/>
      <c r="AY943" s="123"/>
      <c r="AZ943" s="123"/>
      <c r="BA943" s="123"/>
      <c r="BB943" s="123"/>
      <c r="BC943" s="123"/>
    </row>
    <row r="944" spans="44:55">
      <c r="AR944" s="123"/>
      <c r="AS944" s="123"/>
      <c r="AT944" s="123"/>
      <c r="AU944" s="123"/>
      <c r="AV944" s="123"/>
      <c r="AW944" s="123"/>
      <c r="AX944" s="123"/>
      <c r="AY944" s="123"/>
      <c r="AZ944" s="123"/>
      <c r="BA944" s="123"/>
      <c r="BB944" s="123"/>
      <c r="BC944" s="123"/>
    </row>
    <row r="945" spans="44:55">
      <c r="AR945" s="123"/>
      <c r="AS945" s="123"/>
      <c r="AT945" s="123"/>
      <c r="AU945" s="123"/>
      <c r="AV945" s="123"/>
      <c r="AW945" s="123"/>
      <c r="AX945" s="123"/>
      <c r="AY945" s="123"/>
      <c r="AZ945" s="123"/>
      <c r="BA945" s="123"/>
      <c r="BB945" s="123"/>
      <c r="BC945" s="123"/>
    </row>
    <row r="946" spans="44:55">
      <c r="AR946" s="123"/>
      <c r="AS946" s="123"/>
      <c r="AT946" s="123"/>
      <c r="AU946" s="123"/>
      <c r="AV946" s="123"/>
      <c r="AW946" s="123"/>
      <c r="AX946" s="123"/>
      <c r="AY946" s="123"/>
      <c r="AZ946" s="123"/>
      <c r="BA946" s="123"/>
      <c r="BB946" s="123"/>
      <c r="BC946" s="123"/>
    </row>
    <row r="947" spans="44:55">
      <c r="AR947" s="123"/>
      <c r="AS947" s="123"/>
      <c r="AT947" s="123"/>
      <c r="AU947" s="123"/>
      <c r="AV947" s="123"/>
      <c r="AW947" s="123"/>
      <c r="AX947" s="123"/>
      <c r="AY947" s="123"/>
      <c r="AZ947" s="123"/>
      <c r="BA947" s="123"/>
      <c r="BB947" s="123"/>
      <c r="BC947" s="123"/>
    </row>
    <row r="948" spans="44:55">
      <c r="AR948" s="123"/>
      <c r="AS948" s="123"/>
      <c r="AT948" s="123"/>
      <c r="AU948" s="123"/>
      <c r="AV948" s="123"/>
      <c r="AW948" s="123"/>
      <c r="AX948" s="123"/>
      <c r="AY948" s="123"/>
      <c r="AZ948" s="123"/>
      <c r="BA948" s="123"/>
      <c r="BB948" s="123"/>
      <c r="BC948" s="123"/>
    </row>
    <row r="949" spans="44:55">
      <c r="AR949" s="123"/>
      <c r="AS949" s="123"/>
      <c r="AT949" s="123"/>
      <c r="AU949" s="123"/>
      <c r="AV949" s="123"/>
      <c r="AW949" s="123"/>
      <c r="AX949" s="123"/>
      <c r="AY949" s="123"/>
      <c r="AZ949" s="123"/>
      <c r="BA949" s="123"/>
      <c r="BB949" s="123"/>
      <c r="BC949" s="123"/>
    </row>
    <row r="950" spans="44:55">
      <c r="AR950" s="123"/>
      <c r="AS950" s="123"/>
      <c r="AT950" s="123"/>
      <c r="AU950" s="123"/>
      <c r="AV950" s="123"/>
      <c r="AW950" s="123"/>
      <c r="AX950" s="123"/>
      <c r="AY950" s="123"/>
      <c r="AZ950" s="123"/>
      <c r="BA950" s="123"/>
      <c r="BB950" s="123"/>
      <c r="BC950" s="123"/>
    </row>
    <row r="951" spans="44:55">
      <c r="AR951" s="123"/>
      <c r="AS951" s="123"/>
      <c r="AT951" s="123"/>
      <c r="AU951" s="123"/>
      <c r="AV951" s="123"/>
      <c r="AW951" s="123"/>
      <c r="AX951" s="123"/>
      <c r="AY951" s="123"/>
      <c r="AZ951" s="123"/>
      <c r="BA951" s="123"/>
      <c r="BB951" s="123"/>
      <c r="BC951" s="123"/>
    </row>
    <row r="952" spans="44:55">
      <c r="AR952" s="123"/>
      <c r="AS952" s="123"/>
      <c r="AT952" s="123"/>
      <c r="AU952" s="123"/>
      <c r="AV952" s="123"/>
      <c r="AW952" s="123"/>
      <c r="AX952" s="123"/>
      <c r="AY952" s="123"/>
      <c r="AZ952" s="123"/>
      <c r="BA952" s="123"/>
      <c r="BB952" s="123"/>
      <c r="BC952" s="123"/>
    </row>
    <row r="953" spans="44:55">
      <c r="AR953" s="123"/>
      <c r="AS953" s="123"/>
      <c r="AT953" s="123"/>
      <c r="AU953" s="123"/>
      <c r="AV953" s="123"/>
      <c r="AW953" s="123"/>
      <c r="AX953" s="123"/>
      <c r="AY953" s="123"/>
      <c r="AZ953" s="123"/>
      <c r="BA953" s="123"/>
      <c r="BB953" s="123"/>
      <c r="BC953" s="123"/>
    </row>
    <row r="954" spans="44:55">
      <c r="AR954" s="123"/>
      <c r="AS954" s="123"/>
      <c r="AT954" s="123"/>
      <c r="AU954" s="123"/>
      <c r="AV954" s="123"/>
      <c r="AW954" s="123"/>
      <c r="AX954" s="123"/>
      <c r="AY954" s="123"/>
      <c r="AZ954" s="123"/>
      <c r="BA954" s="123"/>
      <c r="BB954" s="123"/>
      <c r="BC954" s="123"/>
    </row>
    <row r="955" spans="44:55">
      <c r="AR955" s="123"/>
      <c r="AS955" s="123"/>
      <c r="AT955" s="123"/>
      <c r="AU955" s="123"/>
      <c r="AV955" s="123"/>
      <c r="AW955" s="123"/>
      <c r="AX955" s="123"/>
      <c r="AY955" s="123"/>
      <c r="AZ955" s="123"/>
      <c r="BA955" s="123"/>
      <c r="BB955" s="123"/>
      <c r="BC955" s="123"/>
    </row>
    <row r="956" spans="44:55">
      <c r="AR956" s="123"/>
      <c r="AS956" s="123"/>
      <c r="AT956" s="123"/>
      <c r="AU956" s="123"/>
      <c r="AV956" s="123"/>
      <c r="AW956" s="123"/>
      <c r="AX956" s="123"/>
      <c r="AY956" s="123"/>
      <c r="AZ956" s="123"/>
      <c r="BA956" s="123"/>
      <c r="BB956" s="123"/>
      <c r="BC956" s="123"/>
    </row>
    <row r="957" spans="44:55">
      <c r="AR957" s="123"/>
      <c r="AS957" s="123"/>
      <c r="AT957" s="123"/>
      <c r="AU957" s="123"/>
      <c r="AV957" s="123"/>
      <c r="AW957" s="123"/>
      <c r="AX957" s="123"/>
      <c r="AY957" s="123"/>
      <c r="AZ957" s="123"/>
      <c r="BA957" s="123"/>
      <c r="BB957" s="123"/>
      <c r="BC957" s="123"/>
    </row>
    <row r="958" spans="44:55">
      <c r="AR958" s="123"/>
      <c r="AS958" s="123"/>
      <c r="AT958" s="123"/>
      <c r="AU958" s="123"/>
      <c r="AV958" s="123"/>
      <c r="AW958" s="123"/>
      <c r="AX958" s="123"/>
      <c r="AY958" s="123"/>
      <c r="AZ958" s="123"/>
      <c r="BA958" s="123"/>
      <c r="BB958" s="123"/>
      <c r="BC958" s="123"/>
    </row>
    <row r="959" spans="44:55">
      <c r="AR959" s="123"/>
      <c r="AS959" s="123"/>
      <c r="AT959" s="123"/>
      <c r="AU959" s="123"/>
      <c r="AV959" s="123"/>
      <c r="AW959" s="123"/>
      <c r="AX959" s="123"/>
      <c r="AY959" s="123"/>
      <c r="AZ959" s="123"/>
      <c r="BA959" s="123"/>
      <c r="BB959" s="123"/>
      <c r="BC959" s="123"/>
    </row>
    <row r="960" spans="44:55">
      <c r="AR960" s="123"/>
      <c r="AS960" s="123"/>
      <c r="AT960" s="123"/>
      <c r="AU960" s="123"/>
      <c r="AV960" s="123"/>
      <c r="AW960" s="123"/>
      <c r="AX960" s="123"/>
      <c r="AY960" s="123"/>
      <c r="AZ960" s="123"/>
      <c r="BA960" s="123"/>
      <c r="BB960" s="123"/>
      <c r="BC960" s="123"/>
    </row>
    <row r="961" spans="44:55">
      <c r="AR961" s="123"/>
      <c r="AS961" s="123"/>
      <c r="AT961" s="123"/>
      <c r="AU961" s="123"/>
      <c r="AV961" s="123"/>
      <c r="AW961" s="123"/>
      <c r="AX961" s="123"/>
      <c r="AY961" s="123"/>
      <c r="AZ961" s="123"/>
      <c r="BA961" s="123"/>
      <c r="BB961" s="123"/>
      <c r="BC961" s="123"/>
    </row>
    <row r="962" spans="44:55">
      <c r="AR962" s="123"/>
      <c r="AS962" s="123"/>
      <c r="AT962" s="123"/>
      <c r="AU962" s="123"/>
      <c r="AV962" s="123"/>
      <c r="AW962" s="123"/>
      <c r="AX962" s="123"/>
      <c r="AY962" s="123"/>
      <c r="AZ962" s="123"/>
      <c r="BA962" s="123"/>
      <c r="BB962" s="123"/>
      <c r="BC962" s="123"/>
    </row>
    <row r="963" spans="44:55">
      <c r="AR963" s="123"/>
      <c r="AS963" s="123"/>
      <c r="AT963" s="123"/>
      <c r="AU963" s="123"/>
      <c r="AV963" s="123"/>
      <c r="AW963" s="123"/>
      <c r="AX963" s="123"/>
      <c r="AY963" s="123"/>
      <c r="AZ963" s="123"/>
      <c r="BA963" s="123"/>
      <c r="BB963" s="123"/>
      <c r="BC963" s="123"/>
    </row>
    <row r="964" spans="44:55">
      <c r="AR964" s="123"/>
      <c r="AS964" s="123"/>
      <c r="AT964" s="123"/>
      <c r="AU964" s="123"/>
      <c r="AV964" s="123"/>
      <c r="AW964" s="123"/>
      <c r="AX964" s="123"/>
      <c r="AY964" s="123"/>
      <c r="AZ964" s="123"/>
      <c r="BA964" s="123"/>
      <c r="BB964" s="123"/>
      <c r="BC964" s="123"/>
    </row>
    <row r="965" spans="44:55">
      <c r="AR965" s="123"/>
      <c r="AS965" s="123"/>
      <c r="AT965" s="123"/>
      <c r="AU965" s="123"/>
      <c r="AV965" s="123"/>
      <c r="AW965" s="123"/>
      <c r="AX965" s="123"/>
      <c r="AY965" s="123"/>
      <c r="AZ965" s="123"/>
      <c r="BA965" s="123"/>
      <c r="BB965" s="123"/>
      <c r="BC965" s="123"/>
    </row>
    <row r="966" spans="44:55">
      <c r="AR966" s="123"/>
      <c r="AS966" s="123"/>
      <c r="AT966" s="123"/>
      <c r="AU966" s="123"/>
      <c r="AV966" s="123"/>
      <c r="AW966" s="123"/>
      <c r="AX966" s="123"/>
      <c r="AY966" s="123"/>
      <c r="AZ966" s="123"/>
      <c r="BA966" s="123"/>
      <c r="BB966" s="123"/>
      <c r="BC966" s="123"/>
    </row>
    <row r="967" spans="44:55">
      <c r="AR967" s="123"/>
      <c r="AS967" s="123"/>
      <c r="AT967" s="123"/>
      <c r="AU967" s="123"/>
      <c r="AV967" s="123"/>
      <c r="AW967" s="123"/>
      <c r="AX967" s="123"/>
      <c r="AY967" s="123"/>
      <c r="AZ967" s="123"/>
      <c r="BA967" s="123"/>
      <c r="BB967" s="123"/>
      <c r="BC967" s="123"/>
    </row>
    <row r="968" spans="44:55">
      <c r="AR968" s="123"/>
      <c r="AS968" s="123"/>
      <c r="AT968" s="123"/>
      <c r="AU968" s="123"/>
      <c r="AV968" s="123"/>
      <c r="AW968" s="123"/>
      <c r="AX968" s="123"/>
      <c r="AY968" s="123"/>
      <c r="AZ968" s="123"/>
      <c r="BA968" s="123"/>
      <c r="BB968" s="123"/>
      <c r="BC968" s="123"/>
    </row>
    <row r="969" spans="44:55">
      <c r="AR969" s="123"/>
      <c r="AS969" s="123"/>
      <c r="AT969" s="123"/>
      <c r="AU969" s="123"/>
      <c r="AV969" s="123"/>
      <c r="AW969" s="123"/>
      <c r="AX969" s="123"/>
      <c r="AY969" s="123"/>
      <c r="AZ969" s="123"/>
      <c r="BA969" s="123"/>
      <c r="BB969" s="123"/>
      <c r="BC969" s="123"/>
    </row>
    <row r="970" spans="44:55">
      <c r="AR970" s="123"/>
      <c r="AS970" s="123"/>
      <c r="AT970" s="123"/>
      <c r="AU970" s="123"/>
      <c r="AV970" s="123"/>
      <c r="AW970" s="123"/>
      <c r="AX970" s="123"/>
      <c r="AY970" s="123"/>
      <c r="AZ970" s="123"/>
      <c r="BA970" s="123"/>
      <c r="BB970" s="123"/>
      <c r="BC970" s="123"/>
    </row>
    <row r="971" spans="44:55">
      <c r="AR971" s="123"/>
      <c r="AS971" s="123"/>
      <c r="AT971" s="123"/>
      <c r="AU971" s="123"/>
      <c r="AV971" s="123"/>
      <c r="AW971" s="123"/>
      <c r="AX971" s="123"/>
      <c r="AY971" s="123"/>
      <c r="AZ971" s="123"/>
      <c r="BA971" s="123"/>
      <c r="BB971" s="123"/>
      <c r="BC971" s="123"/>
    </row>
    <row r="972" spans="44:55">
      <c r="AR972" s="123"/>
      <c r="AS972" s="123"/>
      <c r="AT972" s="123"/>
      <c r="AU972" s="123"/>
      <c r="AV972" s="123"/>
      <c r="AW972" s="123"/>
      <c r="AX972" s="123"/>
      <c r="AY972" s="123"/>
      <c r="AZ972" s="123"/>
      <c r="BA972" s="123"/>
      <c r="BB972" s="123"/>
      <c r="BC972" s="123"/>
    </row>
    <row r="973" spans="44:55">
      <c r="AR973" s="123"/>
      <c r="AS973" s="123"/>
      <c r="AT973" s="123"/>
      <c r="AU973" s="123"/>
      <c r="AV973" s="123"/>
      <c r="AW973" s="123"/>
      <c r="AX973" s="123"/>
      <c r="AY973" s="123"/>
      <c r="AZ973" s="123"/>
      <c r="BA973" s="123"/>
      <c r="BB973" s="123"/>
      <c r="BC973" s="123"/>
    </row>
    <row r="974" spans="44:55">
      <c r="AR974" s="123"/>
      <c r="AS974" s="123"/>
      <c r="AT974" s="123"/>
      <c r="AU974" s="123"/>
      <c r="AV974" s="123"/>
      <c r="AW974" s="123"/>
      <c r="AX974" s="123"/>
      <c r="AY974" s="123"/>
      <c r="AZ974" s="123"/>
      <c r="BA974" s="123"/>
      <c r="BB974" s="123"/>
      <c r="BC974" s="123"/>
    </row>
    <row r="975" spans="44:55">
      <c r="AR975" s="123"/>
      <c r="AS975" s="123"/>
      <c r="AT975" s="123"/>
      <c r="AU975" s="123"/>
      <c r="AV975" s="123"/>
      <c r="AW975" s="123"/>
      <c r="AX975" s="123"/>
      <c r="AY975" s="123"/>
      <c r="AZ975" s="123"/>
      <c r="BA975" s="123"/>
      <c r="BB975" s="123"/>
      <c r="BC975" s="123"/>
    </row>
    <row r="976" spans="44:55">
      <c r="AR976" s="123"/>
      <c r="AS976" s="123"/>
      <c r="AT976" s="123"/>
      <c r="AU976" s="123"/>
      <c r="AV976" s="123"/>
      <c r="AW976" s="123"/>
      <c r="AX976" s="123"/>
      <c r="AY976" s="123"/>
      <c r="AZ976" s="123"/>
      <c r="BA976" s="123"/>
      <c r="BB976" s="123"/>
      <c r="BC976" s="123"/>
    </row>
    <row r="977" spans="44:55">
      <c r="AR977" s="123"/>
      <c r="AS977" s="123"/>
      <c r="AT977" s="123"/>
      <c r="AU977" s="123"/>
      <c r="AV977" s="123"/>
      <c r="AW977" s="123"/>
      <c r="AX977" s="123"/>
      <c r="AY977" s="123"/>
      <c r="AZ977" s="123"/>
      <c r="BA977" s="123"/>
      <c r="BB977" s="123"/>
      <c r="BC977" s="12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008"/>
  <sheetViews>
    <sheetView workbookViewId="0"/>
  </sheetViews>
  <sheetFormatPr defaultColWidth="12.6640625" defaultRowHeight="15.75" customHeight="1"/>
  <cols>
    <col min="1" max="1" width="9.33203125" customWidth="1"/>
    <col min="2" max="2" width="6.88671875" customWidth="1"/>
    <col min="3" max="3" width="8.33203125" customWidth="1"/>
    <col min="4" max="4" width="9.33203125" customWidth="1"/>
    <col min="5" max="5" width="10.88671875" customWidth="1"/>
    <col min="6" max="6" width="6.109375" customWidth="1"/>
    <col min="7" max="7" width="6.44140625" customWidth="1"/>
    <col min="8" max="8" width="8" customWidth="1"/>
    <col min="9" max="9" width="14.44140625" customWidth="1"/>
    <col min="10" max="10" width="20.77734375" customWidth="1"/>
    <col min="11" max="11" width="37" customWidth="1"/>
    <col min="12" max="12" width="16.44140625" customWidth="1"/>
    <col min="13" max="13" width="10.6640625" customWidth="1"/>
    <col min="14" max="14" width="12.6640625" customWidth="1"/>
    <col min="15" max="15" width="9" customWidth="1"/>
    <col min="16" max="16" width="14" customWidth="1"/>
    <col min="17" max="17" width="16" customWidth="1"/>
    <col min="18" max="19" width="6.88671875" customWidth="1"/>
    <col min="20" max="20" width="11.6640625" customWidth="1"/>
  </cols>
  <sheetData>
    <row r="1" spans="1:34">
      <c r="A1" s="124" t="s">
        <v>24</v>
      </c>
      <c r="B1" s="124" t="s">
        <v>10</v>
      </c>
      <c r="C1" s="124" t="s">
        <v>1578</v>
      </c>
      <c r="D1" s="124" t="s">
        <v>15</v>
      </c>
      <c r="E1" s="124" t="s">
        <v>21</v>
      </c>
      <c r="F1" s="124" t="s">
        <v>1579</v>
      </c>
      <c r="G1" s="124" t="s">
        <v>8</v>
      </c>
      <c r="H1" s="124" t="s">
        <v>16</v>
      </c>
      <c r="I1" s="124" t="s">
        <v>1083</v>
      </c>
      <c r="J1" s="124" t="s">
        <v>1580</v>
      </c>
      <c r="K1" s="124" t="s">
        <v>1581</v>
      </c>
      <c r="L1" s="124" t="s">
        <v>1582</v>
      </c>
      <c r="M1" s="124" t="s">
        <v>1583</v>
      </c>
      <c r="N1" s="124" t="s">
        <v>1584</v>
      </c>
      <c r="O1" s="124" t="s">
        <v>1585</v>
      </c>
      <c r="P1" s="124" t="s">
        <v>1586</v>
      </c>
      <c r="Q1" s="124" t="s">
        <v>1587</v>
      </c>
      <c r="R1" s="124" t="s">
        <v>1588</v>
      </c>
      <c r="S1" s="124" t="s">
        <v>1589</v>
      </c>
      <c r="T1" s="124" t="s">
        <v>1590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>
      <c r="A2" s="78" t="s">
        <v>30</v>
      </c>
      <c r="B2" s="78">
        <v>4</v>
      </c>
      <c r="C2" s="78" t="s">
        <v>1591</v>
      </c>
      <c r="D2" s="78" t="s">
        <v>1592</v>
      </c>
      <c r="E2" s="78" t="s">
        <v>1593</v>
      </c>
      <c r="F2" s="79"/>
      <c r="G2" s="79" t="s">
        <v>1469</v>
      </c>
      <c r="H2" s="79"/>
      <c r="I2" s="78"/>
      <c r="J2" s="78">
        <v>1000</v>
      </c>
      <c r="K2" s="78" t="s">
        <v>1594</v>
      </c>
      <c r="L2" s="125">
        <v>0.1</v>
      </c>
      <c r="M2" s="78" t="s">
        <v>1595</v>
      </c>
      <c r="N2" s="78">
        <v>1500</v>
      </c>
      <c r="O2" s="78">
        <v>1500</v>
      </c>
      <c r="P2" s="78">
        <v>600</v>
      </c>
      <c r="Q2" s="78">
        <v>100</v>
      </c>
      <c r="R2" s="78">
        <v>0</v>
      </c>
      <c r="S2" s="78"/>
      <c r="T2" s="78" t="s">
        <v>1596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>
      <c r="A3" s="78" t="s">
        <v>30</v>
      </c>
      <c r="B3" s="78">
        <v>4</v>
      </c>
      <c r="C3" s="78" t="s">
        <v>1591</v>
      </c>
      <c r="D3" s="78" t="s">
        <v>1592</v>
      </c>
      <c r="E3" s="78" t="s">
        <v>1593</v>
      </c>
      <c r="F3" s="79"/>
      <c r="G3" s="79" t="s">
        <v>1467</v>
      </c>
      <c r="H3" s="79"/>
      <c r="I3" s="78"/>
      <c r="J3" s="78">
        <v>1000</v>
      </c>
      <c r="K3" s="78" t="s">
        <v>1594</v>
      </c>
      <c r="L3" s="125">
        <v>0.1</v>
      </c>
      <c r="M3" s="78" t="s">
        <v>1595</v>
      </c>
      <c r="N3" s="78">
        <v>1500</v>
      </c>
      <c r="O3" s="78">
        <v>1500</v>
      </c>
      <c r="P3" s="78">
        <v>600</v>
      </c>
      <c r="Q3" s="78">
        <v>100</v>
      </c>
      <c r="R3" s="78">
        <v>0</v>
      </c>
      <c r="S3" s="78"/>
      <c r="T3" s="78" t="s">
        <v>1596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>
      <c r="A4" s="78" t="s">
        <v>30</v>
      </c>
      <c r="B4" s="78">
        <v>4</v>
      </c>
      <c r="C4" s="78" t="s">
        <v>1591</v>
      </c>
      <c r="D4" s="78" t="s">
        <v>1592</v>
      </c>
      <c r="E4" s="78" t="s">
        <v>1593</v>
      </c>
      <c r="F4" s="79"/>
      <c r="G4" s="79" t="s">
        <v>1597</v>
      </c>
      <c r="H4" s="79"/>
      <c r="I4" s="78"/>
      <c r="J4" s="78">
        <v>1000</v>
      </c>
      <c r="K4" s="78" t="s">
        <v>1594</v>
      </c>
      <c r="L4" s="125">
        <v>0</v>
      </c>
      <c r="M4" s="78" t="s">
        <v>1598</v>
      </c>
      <c r="N4" s="78">
        <v>1500</v>
      </c>
      <c r="O4" s="78">
        <v>0</v>
      </c>
      <c r="P4" s="78">
        <v>600</v>
      </c>
      <c r="Q4" s="78">
        <v>100</v>
      </c>
      <c r="R4" s="78">
        <v>0</v>
      </c>
      <c r="S4" s="78"/>
      <c r="T4" s="78" t="s">
        <v>1596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>
      <c r="A5" s="78" t="s">
        <v>30</v>
      </c>
      <c r="B5" s="78">
        <v>4</v>
      </c>
      <c r="C5" s="78" t="s">
        <v>1591</v>
      </c>
      <c r="D5" s="78" t="s">
        <v>1592</v>
      </c>
      <c r="E5" s="78" t="s">
        <v>1599</v>
      </c>
      <c r="F5" s="79"/>
      <c r="G5" s="79" t="s">
        <v>1469</v>
      </c>
      <c r="H5" s="79"/>
      <c r="I5" s="78"/>
      <c r="J5" s="78">
        <v>1000</v>
      </c>
      <c r="K5" s="78" t="s">
        <v>1594</v>
      </c>
      <c r="L5" s="125">
        <v>0.11</v>
      </c>
      <c r="M5" s="78" t="s">
        <v>1595</v>
      </c>
      <c r="N5" s="78">
        <v>1500</v>
      </c>
      <c r="O5" s="78">
        <v>1500</v>
      </c>
      <c r="P5" s="78">
        <v>600</v>
      </c>
      <c r="Q5" s="78">
        <v>100</v>
      </c>
      <c r="R5" s="78">
        <v>0</v>
      </c>
      <c r="S5" s="78"/>
      <c r="T5" s="78" t="s">
        <v>1596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4">
      <c r="A6" s="78" t="s">
        <v>30</v>
      </c>
      <c r="B6" s="78">
        <v>4</v>
      </c>
      <c r="C6" s="78" t="s">
        <v>1591</v>
      </c>
      <c r="D6" s="78" t="s">
        <v>1592</v>
      </c>
      <c r="E6" s="78" t="s">
        <v>1599</v>
      </c>
      <c r="F6" s="79"/>
      <c r="G6" s="79" t="s">
        <v>1467</v>
      </c>
      <c r="H6" s="79"/>
      <c r="I6" s="78"/>
      <c r="J6" s="78">
        <v>1000</v>
      </c>
      <c r="K6" s="78" t="s">
        <v>1594</v>
      </c>
      <c r="L6" s="125">
        <v>0.11</v>
      </c>
      <c r="M6" s="78" t="s">
        <v>1595</v>
      </c>
      <c r="N6" s="78">
        <v>1500</v>
      </c>
      <c r="O6" s="78">
        <v>1500</v>
      </c>
      <c r="P6" s="78">
        <v>600</v>
      </c>
      <c r="Q6" s="78">
        <v>100</v>
      </c>
      <c r="R6" s="78">
        <v>0</v>
      </c>
      <c r="S6" s="78"/>
      <c r="T6" s="78" t="s">
        <v>1596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>
      <c r="A7" s="78" t="s">
        <v>30</v>
      </c>
      <c r="B7" s="78">
        <v>4</v>
      </c>
      <c r="C7" s="78" t="s">
        <v>1591</v>
      </c>
      <c r="D7" s="78" t="s">
        <v>1592</v>
      </c>
      <c r="E7" s="78" t="s">
        <v>1599</v>
      </c>
      <c r="F7" s="79"/>
      <c r="G7" s="79" t="s">
        <v>1597</v>
      </c>
      <c r="H7" s="79"/>
      <c r="I7" s="78"/>
      <c r="J7" s="78">
        <v>1000</v>
      </c>
      <c r="K7" s="78" t="s">
        <v>1594</v>
      </c>
      <c r="L7" s="125">
        <v>0</v>
      </c>
      <c r="M7" s="78" t="s">
        <v>1598</v>
      </c>
      <c r="N7" s="78">
        <v>1500</v>
      </c>
      <c r="O7" s="78">
        <v>0</v>
      </c>
      <c r="P7" s="78">
        <v>600</v>
      </c>
      <c r="Q7" s="78">
        <v>100</v>
      </c>
      <c r="R7" s="78">
        <v>0</v>
      </c>
      <c r="S7" s="78"/>
      <c r="T7" s="78" t="s">
        <v>1596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>
      <c r="A8" s="78" t="s">
        <v>30</v>
      </c>
      <c r="B8" s="78">
        <v>3</v>
      </c>
      <c r="C8" s="78" t="s">
        <v>1591</v>
      </c>
      <c r="D8" s="78" t="s">
        <v>1592</v>
      </c>
      <c r="E8" s="78"/>
      <c r="F8" s="79"/>
      <c r="G8" s="79" t="s">
        <v>1469</v>
      </c>
      <c r="H8" s="79"/>
      <c r="I8" s="78"/>
      <c r="J8" s="78">
        <v>1000</v>
      </c>
      <c r="K8" s="78" t="s">
        <v>1594</v>
      </c>
      <c r="L8" s="125">
        <v>0.09</v>
      </c>
      <c r="M8" s="78" t="s">
        <v>1595</v>
      </c>
      <c r="N8" s="78">
        <v>1500</v>
      </c>
      <c r="O8" s="78">
        <v>500</v>
      </c>
      <c r="P8" s="78">
        <v>600</v>
      </c>
      <c r="Q8" s="78">
        <v>100</v>
      </c>
      <c r="R8" s="78">
        <v>0</v>
      </c>
      <c r="S8" s="78"/>
      <c r="T8" s="78" t="s">
        <v>1596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>
      <c r="A9" s="78" t="s">
        <v>30</v>
      </c>
      <c r="B9" s="78">
        <v>3</v>
      </c>
      <c r="C9" s="78" t="s">
        <v>1591</v>
      </c>
      <c r="D9" s="78" t="s">
        <v>1592</v>
      </c>
      <c r="E9" s="78"/>
      <c r="F9" s="79"/>
      <c r="G9" s="79" t="s">
        <v>1467</v>
      </c>
      <c r="H9" s="79"/>
      <c r="I9" s="78"/>
      <c r="J9" s="78">
        <v>1000</v>
      </c>
      <c r="K9" s="78" t="s">
        <v>1594</v>
      </c>
      <c r="L9" s="125">
        <v>0.09</v>
      </c>
      <c r="M9" s="78" t="s">
        <v>1595</v>
      </c>
      <c r="N9" s="78">
        <v>1500</v>
      </c>
      <c r="O9" s="78">
        <v>500</v>
      </c>
      <c r="P9" s="78">
        <v>600</v>
      </c>
      <c r="Q9" s="78">
        <v>100</v>
      </c>
      <c r="R9" s="78">
        <v>0</v>
      </c>
      <c r="S9" s="78"/>
      <c r="T9" s="78" t="s">
        <v>1596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>
      <c r="A10" s="78" t="s">
        <v>30</v>
      </c>
      <c r="B10" s="78">
        <v>3</v>
      </c>
      <c r="C10" s="78" t="s">
        <v>1591</v>
      </c>
      <c r="D10" s="78" t="s">
        <v>1592</v>
      </c>
      <c r="E10" s="78"/>
      <c r="F10" s="79"/>
      <c r="G10" s="79" t="s">
        <v>1597</v>
      </c>
      <c r="H10" s="79"/>
      <c r="I10" s="78"/>
      <c r="J10" s="78">
        <v>1000</v>
      </c>
      <c r="K10" s="78" t="s">
        <v>1594</v>
      </c>
      <c r="L10" s="125">
        <v>0</v>
      </c>
      <c r="M10" s="78" t="s">
        <v>1598</v>
      </c>
      <c r="N10" s="78">
        <v>1500</v>
      </c>
      <c r="O10" s="78">
        <v>0</v>
      </c>
      <c r="P10" s="78">
        <v>600</v>
      </c>
      <c r="Q10" s="78">
        <v>100</v>
      </c>
      <c r="R10" s="78">
        <v>0</v>
      </c>
      <c r="S10" s="78"/>
      <c r="T10" s="78" t="s">
        <v>1596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>
      <c r="A11" s="126" t="s">
        <v>30</v>
      </c>
      <c r="B11" s="126">
        <v>4</v>
      </c>
      <c r="C11" s="126" t="s">
        <v>1591</v>
      </c>
      <c r="D11" s="126" t="s">
        <v>679</v>
      </c>
      <c r="E11" s="126" t="s">
        <v>1593</v>
      </c>
      <c r="F11" s="126"/>
      <c r="G11" s="126" t="s">
        <v>1469</v>
      </c>
      <c r="H11" s="126"/>
      <c r="I11" s="126"/>
      <c r="J11" s="126">
        <v>1000</v>
      </c>
      <c r="K11" s="126" t="s">
        <v>1594</v>
      </c>
      <c r="L11" s="127">
        <v>0.1</v>
      </c>
      <c r="M11" s="126" t="s">
        <v>1595</v>
      </c>
      <c r="N11" s="126">
        <v>1500</v>
      </c>
      <c r="O11" s="128">
        <v>1500</v>
      </c>
      <c r="P11" s="126">
        <v>600</v>
      </c>
      <c r="Q11" s="126">
        <v>100</v>
      </c>
      <c r="R11" s="128">
        <v>0</v>
      </c>
      <c r="S11" s="126">
        <v>5000</v>
      </c>
      <c r="T11" s="126" t="s">
        <v>1596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>
      <c r="A12" s="126" t="s">
        <v>30</v>
      </c>
      <c r="B12" s="126">
        <v>4</v>
      </c>
      <c r="C12" s="126" t="s">
        <v>1591</v>
      </c>
      <c r="D12" s="126" t="s">
        <v>679</v>
      </c>
      <c r="E12" s="126" t="s">
        <v>1593</v>
      </c>
      <c r="F12" s="126"/>
      <c r="G12" s="126" t="s">
        <v>1467</v>
      </c>
      <c r="H12" s="126"/>
      <c r="I12" s="126"/>
      <c r="J12" s="126">
        <v>1000</v>
      </c>
      <c r="K12" s="126" t="s">
        <v>1594</v>
      </c>
      <c r="L12" s="127">
        <v>0.1</v>
      </c>
      <c r="M12" s="126" t="s">
        <v>1595</v>
      </c>
      <c r="N12" s="126">
        <v>1500</v>
      </c>
      <c r="O12" s="128">
        <v>1500</v>
      </c>
      <c r="P12" s="126">
        <v>600</v>
      </c>
      <c r="Q12" s="126">
        <v>100</v>
      </c>
      <c r="R12" s="128">
        <v>0</v>
      </c>
      <c r="S12" s="126">
        <v>5000</v>
      </c>
      <c r="T12" s="126" t="s">
        <v>1596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>
      <c r="A13" s="126" t="s">
        <v>30</v>
      </c>
      <c r="B13" s="126">
        <v>4</v>
      </c>
      <c r="C13" s="126" t="s">
        <v>1591</v>
      </c>
      <c r="D13" s="126" t="s">
        <v>679</v>
      </c>
      <c r="E13" s="126" t="s">
        <v>1593</v>
      </c>
      <c r="F13" s="126"/>
      <c r="G13" s="126" t="s">
        <v>1597</v>
      </c>
      <c r="H13" s="126"/>
      <c r="I13" s="126"/>
      <c r="J13" s="126">
        <v>1000</v>
      </c>
      <c r="K13" s="126" t="s">
        <v>1594</v>
      </c>
      <c r="L13" s="127">
        <v>0</v>
      </c>
      <c r="M13" s="126" t="s">
        <v>1598</v>
      </c>
      <c r="N13" s="126">
        <v>1500</v>
      </c>
      <c r="O13" s="128">
        <v>0</v>
      </c>
      <c r="P13" s="126">
        <v>600</v>
      </c>
      <c r="Q13" s="126">
        <v>100</v>
      </c>
      <c r="R13" s="128">
        <v>0</v>
      </c>
      <c r="S13" s="126">
        <v>5000</v>
      </c>
      <c r="T13" s="126" t="s">
        <v>1596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>
      <c r="A14" s="126" t="s">
        <v>30</v>
      </c>
      <c r="B14" s="126">
        <v>4</v>
      </c>
      <c r="C14" s="126" t="s">
        <v>1591</v>
      </c>
      <c r="D14" s="126" t="s">
        <v>679</v>
      </c>
      <c r="E14" s="126" t="s">
        <v>1599</v>
      </c>
      <c r="F14" s="126"/>
      <c r="G14" s="126" t="s">
        <v>1469</v>
      </c>
      <c r="H14" s="126"/>
      <c r="I14" s="126"/>
      <c r="J14" s="126">
        <v>1000</v>
      </c>
      <c r="K14" s="126" t="s">
        <v>1594</v>
      </c>
      <c r="L14" s="127">
        <v>0.11</v>
      </c>
      <c r="M14" s="126" t="s">
        <v>1595</v>
      </c>
      <c r="N14" s="126">
        <v>1500</v>
      </c>
      <c r="O14" s="128">
        <v>1500</v>
      </c>
      <c r="P14" s="126">
        <v>600</v>
      </c>
      <c r="Q14" s="126">
        <v>100</v>
      </c>
      <c r="R14" s="128">
        <v>0</v>
      </c>
      <c r="S14" s="126">
        <v>5000</v>
      </c>
      <c r="T14" s="126" t="s">
        <v>1596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>
      <c r="A15" s="126" t="s">
        <v>30</v>
      </c>
      <c r="B15" s="126">
        <v>4</v>
      </c>
      <c r="C15" s="126" t="s">
        <v>1591</v>
      </c>
      <c r="D15" s="126" t="s">
        <v>679</v>
      </c>
      <c r="E15" s="126" t="s">
        <v>1599</v>
      </c>
      <c r="F15" s="126"/>
      <c r="G15" s="126" t="s">
        <v>1467</v>
      </c>
      <c r="H15" s="126"/>
      <c r="I15" s="126"/>
      <c r="J15" s="126">
        <v>1000</v>
      </c>
      <c r="K15" s="126" t="s">
        <v>1594</v>
      </c>
      <c r="L15" s="127">
        <v>0.11</v>
      </c>
      <c r="M15" s="126" t="s">
        <v>1595</v>
      </c>
      <c r="N15" s="126">
        <v>1500</v>
      </c>
      <c r="O15" s="128">
        <v>1500</v>
      </c>
      <c r="P15" s="126">
        <v>600</v>
      </c>
      <c r="Q15" s="126">
        <v>100</v>
      </c>
      <c r="R15" s="128">
        <v>0</v>
      </c>
      <c r="S15" s="126">
        <v>5000</v>
      </c>
      <c r="T15" s="126" t="s">
        <v>1596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>
      <c r="A16" s="126" t="s">
        <v>30</v>
      </c>
      <c r="B16" s="126">
        <v>4</v>
      </c>
      <c r="C16" s="126" t="s">
        <v>1591</v>
      </c>
      <c r="D16" s="126" t="s">
        <v>679</v>
      </c>
      <c r="E16" s="126" t="s">
        <v>1599</v>
      </c>
      <c r="F16" s="126"/>
      <c r="G16" s="126" t="s">
        <v>1597</v>
      </c>
      <c r="H16" s="126"/>
      <c r="I16" s="126"/>
      <c r="J16" s="126">
        <v>1000</v>
      </c>
      <c r="K16" s="126" t="s">
        <v>1594</v>
      </c>
      <c r="L16" s="127">
        <v>0</v>
      </c>
      <c r="M16" s="126" t="s">
        <v>1598</v>
      </c>
      <c r="N16" s="126">
        <v>1500</v>
      </c>
      <c r="O16" s="128">
        <v>0</v>
      </c>
      <c r="P16" s="126">
        <v>600</v>
      </c>
      <c r="Q16" s="126">
        <v>100</v>
      </c>
      <c r="R16" s="128">
        <v>0</v>
      </c>
      <c r="S16" s="126">
        <v>5000</v>
      </c>
      <c r="T16" s="126" t="s">
        <v>1596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>
      <c r="A17" s="126" t="s">
        <v>30</v>
      </c>
      <c r="B17" s="126">
        <v>3</v>
      </c>
      <c r="C17" s="126" t="s">
        <v>1591</v>
      </c>
      <c r="D17" s="126" t="s">
        <v>679</v>
      </c>
      <c r="E17" s="126"/>
      <c r="F17" s="126"/>
      <c r="G17" s="126" t="s">
        <v>1469</v>
      </c>
      <c r="H17" s="126"/>
      <c r="I17" s="126"/>
      <c r="J17" s="126">
        <v>1000</v>
      </c>
      <c r="K17" s="126" t="s">
        <v>1594</v>
      </c>
      <c r="L17" s="127">
        <v>0.09</v>
      </c>
      <c r="M17" s="126" t="s">
        <v>1595</v>
      </c>
      <c r="N17" s="126">
        <v>1500</v>
      </c>
      <c r="O17" s="128">
        <v>500</v>
      </c>
      <c r="P17" s="126">
        <v>600</v>
      </c>
      <c r="Q17" s="126">
        <v>100</v>
      </c>
      <c r="R17" s="128">
        <v>0</v>
      </c>
      <c r="S17" s="126">
        <v>5000</v>
      </c>
      <c r="T17" s="126" t="s">
        <v>1596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>
      <c r="A18" s="126" t="s">
        <v>30</v>
      </c>
      <c r="B18" s="126">
        <v>3</v>
      </c>
      <c r="C18" s="126" t="s">
        <v>1591</v>
      </c>
      <c r="D18" s="126" t="s">
        <v>679</v>
      </c>
      <c r="E18" s="126"/>
      <c r="F18" s="126"/>
      <c r="G18" s="126" t="s">
        <v>1467</v>
      </c>
      <c r="H18" s="126"/>
      <c r="I18" s="126"/>
      <c r="J18" s="126">
        <v>1000</v>
      </c>
      <c r="K18" s="126" t="s">
        <v>1594</v>
      </c>
      <c r="L18" s="127">
        <v>0.09</v>
      </c>
      <c r="M18" s="126" t="s">
        <v>1595</v>
      </c>
      <c r="N18" s="126">
        <v>1500</v>
      </c>
      <c r="O18" s="128">
        <v>500</v>
      </c>
      <c r="P18" s="126">
        <v>600</v>
      </c>
      <c r="Q18" s="126">
        <v>100</v>
      </c>
      <c r="R18" s="128">
        <v>0</v>
      </c>
      <c r="S18" s="126">
        <v>5000</v>
      </c>
      <c r="T18" s="126" t="s">
        <v>1596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>
      <c r="A19" s="126" t="s">
        <v>30</v>
      </c>
      <c r="B19" s="126">
        <v>3</v>
      </c>
      <c r="C19" s="126" t="s">
        <v>1591</v>
      </c>
      <c r="D19" s="126" t="s">
        <v>679</v>
      </c>
      <c r="E19" s="126"/>
      <c r="F19" s="126"/>
      <c r="G19" s="126" t="s">
        <v>1597</v>
      </c>
      <c r="H19" s="126"/>
      <c r="I19" s="126"/>
      <c r="J19" s="126">
        <v>1000</v>
      </c>
      <c r="K19" s="126" t="s">
        <v>1594</v>
      </c>
      <c r="L19" s="127">
        <v>0</v>
      </c>
      <c r="M19" s="126" t="s">
        <v>1598</v>
      </c>
      <c r="N19" s="126">
        <v>1500</v>
      </c>
      <c r="O19" s="128">
        <v>0</v>
      </c>
      <c r="P19" s="126">
        <v>600</v>
      </c>
      <c r="Q19" s="126">
        <v>100</v>
      </c>
      <c r="R19" s="128">
        <v>0</v>
      </c>
      <c r="S19" s="126">
        <v>5000</v>
      </c>
      <c r="T19" s="126" t="s">
        <v>1596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>
      <c r="A20" s="78" t="s">
        <v>44</v>
      </c>
      <c r="B20" s="78">
        <v>3</v>
      </c>
      <c r="C20" s="78" t="s">
        <v>1591</v>
      </c>
      <c r="D20" s="78"/>
      <c r="E20" s="78"/>
      <c r="F20" s="79" t="s">
        <v>1600</v>
      </c>
      <c r="G20" s="79" t="s">
        <v>1469</v>
      </c>
      <c r="H20" s="79"/>
      <c r="I20" s="78"/>
      <c r="J20" s="78">
        <v>1000</v>
      </c>
      <c r="K20" s="78" t="s">
        <v>1601</v>
      </c>
      <c r="L20" s="78">
        <v>3000</v>
      </c>
      <c r="M20" s="78" t="s">
        <v>1595</v>
      </c>
      <c r="N20" s="78">
        <v>1500</v>
      </c>
      <c r="O20" s="78">
        <v>500</v>
      </c>
      <c r="P20" s="78">
        <v>600</v>
      </c>
      <c r="Q20" s="78">
        <v>100</v>
      </c>
      <c r="R20" s="78">
        <v>0</v>
      </c>
      <c r="S20" s="78">
        <v>0</v>
      </c>
      <c r="T20" s="78" t="s">
        <v>1596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>
      <c r="A21" s="78" t="s">
        <v>44</v>
      </c>
      <c r="B21" s="78">
        <v>3</v>
      </c>
      <c r="C21" s="78" t="s">
        <v>1591</v>
      </c>
      <c r="D21" s="78"/>
      <c r="E21" s="78"/>
      <c r="F21" s="79" t="s">
        <v>1600</v>
      </c>
      <c r="G21" s="79" t="s">
        <v>1467</v>
      </c>
      <c r="H21" s="79"/>
      <c r="I21" s="78"/>
      <c r="J21" s="78">
        <v>1000</v>
      </c>
      <c r="K21" s="78" t="s">
        <v>1601</v>
      </c>
      <c r="L21" s="78">
        <v>3000</v>
      </c>
      <c r="M21" s="78" t="s">
        <v>1595</v>
      </c>
      <c r="N21" s="78">
        <v>1500</v>
      </c>
      <c r="O21" s="78">
        <v>500</v>
      </c>
      <c r="P21" s="78">
        <v>600</v>
      </c>
      <c r="Q21" s="78">
        <v>100</v>
      </c>
      <c r="R21" s="78">
        <v>0</v>
      </c>
      <c r="S21" s="78">
        <v>0</v>
      </c>
      <c r="T21" s="78" t="s">
        <v>1596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1:34">
      <c r="A22" s="78" t="s">
        <v>44</v>
      </c>
      <c r="B22" s="78">
        <v>3</v>
      </c>
      <c r="C22" s="78" t="s">
        <v>1591</v>
      </c>
      <c r="D22" s="78"/>
      <c r="E22" s="78"/>
      <c r="F22" s="79" t="s">
        <v>1600</v>
      </c>
      <c r="G22" s="79" t="s">
        <v>1597</v>
      </c>
      <c r="H22" s="79"/>
      <c r="I22" s="78"/>
      <c r="J22" s="78">
        <v>1000</v>
      </c>
      <c r="K22" s="78" t="s">
        <v>1594</v>
      </c>
      <c r="L22" s="125">
        <v>0</v>
      </c>
      <c r="M22" s="78" t="s">
        <v>1598</v>
      </c>
      <c r="N22" s="78">
        <v>1500</v>
      </c>
      <c r="O22" s="78">
        <v>0</v>
      </c>
      <c r="P22" s="78">
        <v>600</v>
      </c>
      <c r="Q22" s="78">
        <v>100</v>
      </c>
      <c r="R22" s="78">
        <v>0</v>
      </c>
      <c r="S22" s="78">
        <v>0</v>
      </c>
      <c r="T22" s="78" t="s">
        <v>1596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1:34">
      <c r="A23" s="78" t="s">
        <v>44</v>
      </c>
      <c r="B23" s="78">
        <v>3</v>
      </c>
      <c r="C23" s="78" t="s">
        <v>1591</v>
      </c>
      <c r="D23" s="78"/>
      <c r="E23" s="78"/>
      <c r="F23" s="79">
        <v>4</v>
      </c>
      <c r="G23" s="79" t="s">
        <v>1469</v>
      </c>
      <c r="H23" s="79"/>
      <c r="I23" s="78"/>
      <c r="J23" s="78">
        <v>1000</v>
      </c>
      <c r="K23" s="78" t="s">
        <v>1601</v>
      </c>
      <c r="L23" s="78">
        <v>6000</v>
      </c>
      <c r="M23" s="78" t="s">
        <v>1595</v>
      </c>
      <c r="N23" s="78">
        <v>1500</v>
      </c>
      <c r="O23" s="78">
        <v>500</v>
      </c>
      <c r="P23" s="78">
        <v>600</v>
      </c>
      <c r="Q23" s="78">
        <v>100</v>
      </c>
      <c r="R23" s="78">
        <v>0</v>
      </c>
      <c r="S23" s="78">
        <v>0</v>
      </c>
      <c r="T23" s="78" t="s">
        <v>1596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1:34">
      <c r="A24" s="78" t="s">
        <v>44</v>
      </c>
      <c r="B24" s="78">
        <v>3</v>
      </c>
      <c r="C24" s="78" t="s">
        <v>1591</v>
      </c>
      <c r="D24" s="78"/>
      <c r="E24" s="78"/>
      <c r="F24" s="79">
        <v>4</v>
      </c>
      <c r="G24" s="79" t="s">
        <v>1467</v>
      </c>
      <c r="H24" s="79"/>
      <c r="I24" s="78"/>
      <c r="J24" s="78">
        <v>1000</v>
      </c>
      <c r="K24" s="78" t="s">
        <v>1601</v>
      </c>
      <c r="L24" s="78">
        <v>6000</v>
      </c>
      <c r="M24" s="78" t="s">
        <v>1595</v>
      </c>
      <c r="N24" s="78">
        <v>1500</v>
      </c>
      <c r="O24" s="78">
        <v>500</v>
      </c>
      <c r="P24" s="78">
        <v>600</v>
      </c>
      <c r="Q24" s="78">
        <v>100</v>
      </c>
      <c r="R24" s="78">
        <v>0</v>
      </c>
      <c r="S24" s="78">
        <v>0</v>
      </c>
      <c r="T24" s="78" t="s">
        <v>1596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>
      <c r="A25" s="78" t="s">
        <v>44</v>
      </c>
      <c r="B25" s="78">
        <v>3</v>
      </c>
      <c r="C25" s="78" t="s">
        <v>1591</v>
      </c>
      <c r="D25" s="78"/>
      <c r="E25" s="78"/>
      <c r="F25" s="79">
        <v>4</v>
      </c>
      <c r="G25" s="79" t="s">
        <v>1597</v>
      </c>
      <c r="H25" s="79"/>
      <c r="I25" s="78"/>
      <c r="J25" s="78">
        <v>1000</v>
      </c>
      <c r="K25" s="78" t="s">
        <v>1594</v>
      </c>
      <c r="L25" s="125">
        <v>0</v>
      </c>
      <c r="M25" s="78" t="s">
        <v>1598</v>
      </c>
      <c r="N25" s="78">
        <v>1500</v>
      </c>
      <c r="O25" s="78">
        <v>0</v>
      </c>
      <c r="P25" s="78">
        <v>600</v>
      </c>
      <c r="Q25" s="78">
        <v>100</v>
      </c>
      <c r="R25" s="78">
        <v>0</v>
      </c>
      <c r="S25" s="78">
        <v>0</v>
      </c>
      <c r="T25" s="78" t="s">
        <v>1596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1:34">
      <c r="A26" s="78" t="s">
        <v>44</v>
      </c>
      <c r="B26" s="78">
        <v>3</v>
      </c>
      <c r="C26" s="78" t="s">
        <v>1591</v>
      </c>
      <c r="D26" s="78"/>
      <c r="E26" s="78"/>
      <c r="F26" s="79" t="s">
        <v>1602</v>
      </c>
      <c r="G26" s="79" t="s">
        <v>1469</v>
      </c>
      <c r="H26" s="79"/>
      <c r="I26" s="78"/>
      <c r="J26" s="78">
        <v>1000</v>
      </c>
      <c r="K26" s="78" t="s">
        <v>1601</v>
      </c>
      <c r="L26" s="78">
        <v>8000</v>
      </c>
      <c r="M26" s="78" t="s">
        <v>1595</v>
      </c>
      <c r="N26" s="78">
        <v>1500</v>
      </c>
      <c r="O26" s="78">
        <v>500</v>
      </c>
      <c r="P26" s="78">
        <v>600</v>
      </c>
      <c r="Q26" s="78">
        <v>100</v>
      </c>
      <c r="R26" s="78">
        <v>0</v>
      </c>
      <c r="S26" s="78">
        <v>0</v>
      </c>
      <c r="T26" s="78" t="s">
        <v>1596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1:34">
      <c r="A27" s="78" t="s">
        <v>44</v>
      </c>
      <c r="B27" s="78">
        <v>3</v>
      </c>
      <c r="C27" s="78" t="s">
        <v>1591</v>
      </c>
      <c r="D27" s="78"/>
      <c r="E27" s="78"/>
      <c r="F27" s="79" t="s">
        <v>1602</v>
      </c>
      <c r="G27" s="79" t="s">
        <v>1467</v>
      </c>
      <c r="H27" s="79"/>
      <c r="I27" s="78"/>
      <c r="J27" s="78">
        <v>1000</v>
      </c>
      <c r="K27" s="78" t="s">
        <v>1601</v>
      </c>
      <c r="L27" s="78">
        <v>8000</v>
      </c>
      <c r="M27" s="78" t="s">
        <v>1595</v>
      </c>
      <c r="N27" s="78">
        <v>1500</v>
      </c>
      <c r="O27" s="78">
        <v>500</v>
      </c>
      <c r="P27" s="78">
        <v>600</v>
      </c>
      <c r="Q27" s="78">
        <v>100</v>
      </c>
      <c r="R27" s="78">
        <v>0</v>
      </c>
      <c r="S27" s="78">
        <v>0</v>
      </c>
      <c r="T27" s="78" t="s">
        <v>1596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1:34">
      <c r="A28" s="78" t="s">
        <v>44</v>
      </c>
      <c r="B28" s="78">
        <v>3</v>
      </c>
      <c r="C28" s="78" t="s">
        <v>1591</v>
      </c>
      <c r="D28" s="78"/>
      <c r="E28" s="78"/>
      <c r="F28" s="79" t="s">
        <v>1602</v>
      </c>
      <c r="G28" s="79" t="s">
        <v>1597</v>
      </c>
      <c r="H28" s="79"/>
      <c r="I28" s="78"/>
      <c r="J28" s="78">
        <v>1000</v>
      </c>
      <c r="K28" s="78" t="s">
        <v>1594</v>
      </c>
      <c r="L28" s="125">
        <v>0</v>
      </c>
      <c r="M28" s="78" t="s">
        <v>1598</v>
      </c>
      <c r="N28" s="78">
        <v>1500</v>
      </c>
      <c r="O28" s="78">
        <v>0</v>
      </c>
      <c r="P28" s="78">
        <v>600</v>
      </c>
      <c r="Q28" s="78">
        <v>100</v>
      </c>
      <c r="R28" s="78">
        <v>0</v>
      </c>
      <c r="S28" s="78">
        <v>0</v>
      </c>
      <c r="T28" s="78" t="s">
        <v>1596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1:34">
      <c r="A29" s="126" t="s">
        <v>1603</v>
      </c>
      <c r="B29" s="126">
        <v>4</v>
      </c>
      <c r="C29" s="126" t="s">
        <v>1591</v>
      </c>
      <c r="D29" s="126"/>
      <c r="E29" s="126"/>
      <c r="F29" s="126" t="s">
        <v>1604</v>
      </c>
      <c r="G29" s="126"/>
      <c r="H29" s="126"/>
      <c r="I29" s="126"/>
      <c r="J29" s="126">
        <v>1000</v>
      </c>
      <c r="K29" s="126" t="s">
        <v>1594</v>
      </c>
      <c r="L29" s="127">
        <v>0.1</v>
      </c>
      <c r="M29" s="126" t="s">
        <v>1595</v>
      </c>
      <c r="N29" s="126">
        <v>1500</v>
      </c>
      <c r="O29" s="128">
        <v>1500</v>
      </c>
      <c r="P29" s="126">
        <v>600</v>
      </c>
      <c r="Q29" s="126">
        <v>100</v>
      </c>
      <c r="R29" s="128">
        <v>0</v>
      </c>
      <c r="S29" s="126">
        <v>0</v>
      </c>
      <c r="T29" s="126" t="s">
        <v>1596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1:34">
      <c r="A30" s="78" t="s">
        <v>1605</v>
      </c>
      <c r="B30" s="78">
        <v>4</v>
      </c>
      <c r="C30" s="78" t="s">
        <v>1591</v>
      </c>
      <c r="D30" s="78"/>
      <c r="E30" s="78"/>
      <c r="F30" s="79"/>
      <c r="G30" s="79"/>
      <c r="H30" s="79"/>
      <c r="I30" s="78"/>
      <c r="J30" s="78">
        <v>1000</v>
      </c>
      <c r="K30" s="78" t="s">
        <v>1594</v>
      </c>
      <c r="L30" s="125">
        <v>0</v>
      </c>
      <c r="M30" s="78" t="s">
        <v>1598</v>
      </c>
      <c r="N30" s="78">
        <v>1500</v>
      </c>
      <c r="O30" s="78">
        <v>1500</v>
      </c>
      <c r="P30" s="78">
        <v>600</v>
      </c>
      <c r="Q30" s="78">
        <v>100</v>
      </c>
      <c r="R30" s="78">
        <v>0</v>
      </c>
      <c r="S30" s="78">
        <v>0</v>
      </c>
      <c r="T30" s="78" t="s">
        <v>1596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1:34">
      <c r="A31" s="126" t="s">
        <v>13</v>
      </c>
      <c r="B31" s="126">
        <v>4</v>
      </c>
      <c r="C31" s="126" t="s">
        <v>1591</v>
      </c>
      <c r="D31" s="126"/>
      <c r="E31" s="126"/>
      <c r="F31" s="126" t="s">
        <v>1606</v>
      </c>
      <c r="G31" s="126" t="s">
        <v>1469</v>
      </c>
      <c r="H31" s="126" t="s">
        <v>1607</v>
      </c>
      <c r="I31" s="126"/>
      <c r="J31" s="126">
        <v>1000</v>
      </c>
      <c r="K31" s="126" t="s">
        <v>1594</v>
      </c>
      <c r="L31" s="127">
        <v>0.08</v>
      </c>
      <c r="M31" s="126" t="s">
        <v>1595</v>
      </c>
      <c r="N31" s="126">
        <v>1500</v>
      </c>
      <c r="O31" s="128"/>
      <c r="P31" s="126">
        <v>600</v>
      </c>
      <c r="Q31" s="126">
        <v>100</v>
      </c>
      <c r="R31" s="128"/>
      <c r="S31" s="126">
        <v>0</v>
      </c>
      <c r="T31" s="126" t="s">
        <v>1596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1:34">
      <c r="A32" s="126" t="s">
        <v>13</v>
      </c>
      <c r="B32" s="126">
        <v>4</v>
      </c>
      <c r="C32" s="126" t="s">
        <v>1591</v>
      </c>
      <c r="D32" s="126"/>
      <c r="E32" s="126"/>
      <c r="F32" s="126" t="s">
        <v>1606</v>
      </c>
      <c r="G32" s="126" t="s">
        <v>1467</v>
      </c>
      <c r="H32" s="126" t="s">
        <v>1607</v>
      </c>
      <c r="I32" s="126"/>
      <c r="J32" s="126">
        <v>1000</v>
      </c>
      <c r="K32" s="126" t="s">
        <v>1594</v>
      </c>
      <c r="L32" s="127">
        <v>0.06</v>
      </c>
      <c r="M32" s="126" t="s">
        <v>1595</v>
      </c>
      <c r="N32" s="126">
        <v>1500</v>
      </c>
      <c r="O32" s="128"/>
      <c r="P32" s="126">
        <v>600</v>
      </c>
      <c r="Q32" s="126">
        <v>100</v>
      </c>
      <c r="R32" s="128"/>
      <c r="S32" s="126">
        <v>0</v>
      </c>
      <c r="T32" s="126" t="s">
        <v>1596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1:34">
      <c r="A33" s="126" t="s">
        <v>13</v>
      </c>
      <c r="B33" s="126">
        <v>4</v>
      </c>
      <c r="C33" s="126" t="s">
        <v>1591</v>
      </c>
      <c r="D33" s="126"/>
      <c r="E33" s="126"/>
      <c r="F33" s="126" t="s">
        <v>1606</v>
      </c>
      <c r="G33" s="126" t="s">
        <v>1469</v>
      </c>
      <c r="H33" s="126" t="s">
        <v>1608</v>
      </c>
      <c r="I33" s="126"/>
      <c r="J33" s="126">
        <v>1000</v>
      </c>
      <c r="K33" s="126" t="s">
        <v>1594</v>
      </c>
      <c r="L33" s="127">
        <v>0.12</v>
      </c>
      <c r="M33" s="126" t="s">
        <v>1595</v>
      </c>
      <c r="N33" s="126">
        <v>1500</v>
      </c>
      <c r="O33" s="126">
        <v>2500</v>
      </c>
      <c r="P33" s="126">
        <v>600</v>
      </c>
      <c r="Q33" s="126">
        <v>100</v>
      </c>
      <c r="R33" s="126">
        <v>0</v>
      </c>
      <c r="S33" s="126">
        <v>0</v>
      </c>
      <c r="T33" s="126" t="s">
        <v>1596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1:34">
      <c r="A34" s="126" t="s">
        <v>13</v>
      </c>
      <c r="B34" s="126">
        <v>4</v>
      </c>
      <c r="C34" s="126" t="s">
        <v>1591</v>
      </c>
      <c r="D34" s="126"/>
      <c r="E34" s="126"/>
      <c r="F34" s="126" t="s">
        <v>1606</v>
      </c>
      <c r="G34" s="126" t="s">
        <v>1467</v>
      </c>
      <c r="H34" s="126" t="s">
        <v>1608</v>
      </c>
      <c r="I34" s="126"/>
      <c r="J34" s="126">
        <v>1000</v>
      </c>
      <c r="K34" s="126" t="s">
        <v>1594</v>
      </c>
      <c r="L34" s="127">
        <v>0.09</v>
      </c>
      <c r="M34" s="126" t="s">
        <v>1595</v>
      </c>
      <c r="N34" s="126">
        <v>1500</v>
      </c>
      <c r="O34" s="126">
        <v>2500</v>
      </c>
      <c r="P34" s="126">
        <v>600</v>
      </c>
      <c r="Q34" s="126">
        <v>100</v>
      </c>
      <c r="R34" s="126">
        <v>0</v>
      </c>
      <c r="S34" s="126">
        <v>0</v>
      </c>
      <c r="T34" s="126" t="s">
        <v>1596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1:34">
      <c r="A35" s="126" t="s">
        <v>13</v>
      </c>
      <c r="B35" s="126">
        <v>4</v>
      </c>
      <c r="C35" s="126" t="s">
        <v>1591</v>
      </c>
      <c r="D35" s="126"/>
      <c r="E35" s="126"/>
      <c r="F35" s="126" t="s">
        <v>1606</v>
      </c>
      <c r="G35" s="126" t="s">
        <v>1469</v>
      </c>
      <c r="H35" s="126" t="s">
        <v>1609</v>
      </c>
      <c r="I35" s="126"/>
      <c r="J35" s="126">
        <v>1000</v>
      </c>
      <c r="K35" s="126" t="s">
        <v>1594</v>
      </c>
      <c r="L35" s="127">
        <v>0.12</v>
      </c>
      <c r="M35" s="126" t="s">
        <v>1595</v>
      </c>
      <c r="N35" s="126">
        <v>1500</v>
      </c>
      <c r="O35" s="126">
        <v>7500</v>
      </c>
      <c r="P35" s="126">
        <v>600</v>
      </c>
      <c r="Q35" s="126">
        <v>100</v>
      </c>
      <c r="R35" s="126">
        <v>0</v>
      </c>
      <c r="S35" s="126">
        <v>0</v>
      </c>
      <c r="T35" s="126" t="s">
        <v>1596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:34">
      <c r="A36" s="126" t="s">
        <v>13</v>
      </c>
      <c r="B36" s="126">
        <v>4</v>
      </c>
      <c r="C36" s="126" t="s">
        <v>1591</v>
      </c>
      <c r="D36" s="126"/>
      <c r="E36" s="126"/>
      <c r="F36" s="126" t="s">
        <v>1606</v>
      </c>
      <c r="G36" s="126" t="s">
        <v>1467</v>
      </c>
      <c r="H36" s="126" t="s">
        <v>1609</v>
      </c>
      <c r="I36" s="126"/>
      <c r="J36" s="126">
        <v>1000</v>
      </c>
      <c r="K36" s="126" t="s">
        <v>1594</v>
      </c>
      <c r="L36" s="127">
        <v>0.1</v>
      </c>
      <c r="M36" s="126" t="s">
        <v>1595</v>
      </c>
      <c r="N36" s="126">
        <v>1500</v>
      </c>
      <c r="O36" s="126">
        <v>1500</v>
      </c>
      <c r="P36" s="126">
        <v>600</v>
      </c>
      <c r="Q36" s="126">
        <v>100</v>
      </c>
      <c r="R36" s="126">
        <v>0</v>
      </c>
      <c r="S36" s="126">
        <v>0</v>
      </c>
      <c r="T36" s="126" t="s">
        <v>1596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1:34">
      <c r="A37" s="126" t="s">
        <v>13</v>
      </c>
      <c r="B37" s="126">
        <v>4</v>
      </c>
      <c r="C37" s="126" t="s">
        <v>1591</v>
      </c>
      <c r="D37" s="126"/>
      <c r="E37" s="126"/>
      <c r="F37" s="126" t="s">
        <v>1606</v>
      </c>
      <c r="G37" s="126" t="s">
        <v>1597</v>
      </c>
      <c r="H37" s="126"/>
      <c r="I37" s="126"/>
      <c r="J37" s="126">
        <v>1000</v>
      </c>
      <c r="K37" s="126" t="s">
        <v>1594</v>
      </c>
      <c r="L37" s="127">
        <v>0</v>
      </c>
      <c r="M37" s="126" t="s">
        <v>1598</v>
      </c>
      <c r="N37" s="126">
        <v>1500</v>
      </c>
      <c r="O37" s="126">
        <v>0</v>
      </c>
      <c r="P37" s="126">
        <v>600</v>
      </c>
      <c r="Q37" s="126">
        <v>100</v>
      </c>
      <c r="R37" s="126">
        <v>0</v>
      </c>
      <c r="S37" s="126">
        <v>0</v>
      </c>
      <c r="T37" s="126" t="s">
        <v>1596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1:34">
      <c r="A38" s="78" t="s">
        <v>13</v>
      </c>
      <c r="B38" s="78">
        <v>4</v>
      </c>
      <c r="C38" s="78" t="s">
        <v>1610</v>
      </c>
      <c r="D38" s="78"/>
      <c r="E38" s="78"/>
      <c r="F38" s="78"/>
      <c r="G38" s="78" t="s">
        <v>1469</v>
      </c>
      <c r="H38" s="78"/>
      <c r="I38" s="78" t="s">
        <v>1611</v>
      </c>
      <c r="J38" s="78">
        <v>1000</v>
      </c>
      <c r="K38" s="78" t="s">
        <v>1612</v>
      </c>
      <c r="L38" s="78" t="s">
        <v>1613</v>
      </c>
      <c r="M38" s="78" t="s">
        <v>1598</v>
      </c>
      <c r="N38" s="78">
        <v>1500</v>
      </c>
      <c r="O38" s="78">
        <v>2500</v>
      </c>
      <c r="P38" s="78">
        <v>600</v>
      </c>
      <c r="Q38" s="78">
        <v>100</v>
      </c>
      <c r="R38" s="78">
        <v>0</v>
      </c>
      <c r="S38" s="78">
        <v>2500</v>
      </c>
      <c r="T38" s="78" t="s">
        <v>1596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1:34">
      <c r="A39" s="78" t="s">
        <v>13</v>
      </c>
      <c r="B39" s="78">
        <v>4</v>
      </c>
      <c r="C39" s="78" t="s">
        <v>1610</v>
      </c>
      <c r="D39" s="78"/>
      <c r="E39" s="78"/>
      <c r="F39" s="78"/>
      <c r="G39" s="78" t="s">
        <v>1467</v>
      </c>
      <c r="H39" s="78"/>
      <c r="I39" s="78" t="s">
        <v>1611</v>
      </c>
      <c r="J39" s="78">
        <v>1000</v>
      </c>
      <c r="K39" s="78" t="s">
        <v>1612</v>
      </c>
      <c r="L39" s="78" t="s">
        <v>1614</v>
      </c>
      <c r="M39" s="78" t="s">
        <v>1598</v>
      </c>
      <c r="N39" s="78">
        <v>1500</v>
      </c>
      <c r="O39" s="78">
        <v>2500</v>
      </c>
      <c r="P39" s="78">
        <v>600</v>
      </c>
      <c r="Q39" s="78">
        <v>100</v>
      </c>
      <c r="R39" s="78">
        <v>0</v>
      </c>
      <c r="S39" s="78">
        <v>2500</v>
      </c>
      <c r="T39" s="78" t="s">
        <v>1596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1:34">
      <c r="A40" s="78" t="s">
        <v>13</v>
      </c>
      <c r="B40" s="78">
        <v>4</v>
      </c>
      <c r="C40" s="78" t="s">
        <v>1610</v>
      </c>
      <c r="D40" s="78"/>
      <c r="E40" s="78"/>
      <c r="F40" s="78"/>
      <c r="G40" s="78" t="s">
        <v>1597</v>
      </c>
      <c r="H40" s="78"/>
      <c r="I40" s="78" t="s">
        <v>1611</v>
      </c>
      <c r="J40" s="78">
        <v>1000</v>
      </c>
      <c r="K40" s="78" t="s">
        <v>1612</v>
      </c>
      <c r="L40" s="78" t="s">
        <v>1615</v>
      </c>
      <c r="M40" s="78" t="s">
        <v>1598</v>
      </c>
      <c r="N40" s="78">
        <v>1500</v>
      </c>
      <c r="O40" s="78">
        <v>0</v>
      </c>
      <c r="P40" s="78">
        <v>600</v>
      </c>
      <c r="Q40" s="78">
        <v>100</v>
      </c>
      <c r="R40" s="78">
        <v>0</v>
      </c>
      <c r="S40" s="78">
        <v>2500</v>
      </c>
      <c r="T40" s="78" t="s">
        <v>1596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34">
      <c r="A41" s="78" t="s">
        <v>13</v>
      </c>
      <c r="B41" s="78">
        <v>4</v>
      </c>
      <c r="C41" s="78" t="s">
        <v>1610</v>
      </c>
      <c r="D41" s="78"/>
      <c r="E41" s="78"/>
      <c r="F41" s="78"/>
      <c r="G41" s="78" t="s">
        <v>1469</v>
      </c>
      <c r="H41" s="78"/>
      <c r="I41" s="78" t="s">
        <v>1616</v>
      </c>
      <c r="J41" s="78">
        <v>1000</v>
      </c>
      <c r="K41" s="78" t="s">
        <v>1612</v>
      </c>
      <c r="L41" s="78" t="s">
        <v>1617</v>
      </c>
      <c r="M41" s="78" t="s">
        <v>1598</v>
      </c>
      <c r="N41" s="78">
        <v>1500</v>
      </c>
      <c r="O41" s="78">
        <v>2500</v>
      </c>
      <c r="P41" s="78">
        <v>600</v>
      </c>
      <c r="Q41" s="78">
        <v>100</v>
      </c>
      <c r="R41" s="78">
        <v>0</v>
      </c>
      <c r="S41" s="78">
        <v>2500</v>
      </c>
      <c r="T41" s="78" t="s">
        <v>1596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1:34">
      <c r="A42" s="78" t="s">
        <v>13</v>
      </c>
      <c r="B42" s="78">
        <v>4</v>
      </c>
      <c r="C42" s="78" t="s">
        <v>1610</v>
      </c>
      <c r="D42" s="78"/>
      <c r="E42" s="78"/>
      <c r="F42" s="78"/>
      <c r="G42" s="78" t="s">
        <v>1467</v>
      </c>
      <c r="H42" s="78"/>
      <c r="I42" s="78" t="s">
        <v>1616</v>
      </c>
      <c r="J42" s="78">
        <v>1000</v>
      </c>
      <c r="K42" s="78" t="s">
        <v>1612</v>
      </c>
      <c r="L42" s="78" t="s">
        <v>1613</v>
      </c>
      <c r="M42" s="78" t="s">
        <v>1598</v>
      </c>
      <c r="N42" s="78">
        <v>1500</v>
      </c>
      <c r="O42" s="78">
        <v>2500</v>
      </c>
      <c r="P42" s="78">
        <v>600</v>
      </c>
      <c r="Q42" s="78">
        <v>100</v>
      </c>
      <c r="R42" s="78">
        <v>0</v>
      </c>
      <c r="S42" s="78">
        <v>2500</v>
      </c>
      <c r="T42" s="78" t="s">
        <v>1596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1:34">
      <c r="A43" s="78" t="s">
        <v>13</v>
      </c>
      <c r="B43" s="78">
        <v>4</v>
      </c>
      <c r="C43" s="78" t="s">
        <v>1610</v>
      </c>
      <c r="D43" s="78"/>
      <c r="E43" s="78"/>
      <c r="F43" s="78"/>
      <c r="G43" s="78" t="s">
        <v>1597</v>
      </c>
      <c r="H43" s="78"/>
      <c r="I43" s="78" t="s">
        <v>1616</v>
      </c>
      <c r="J43" s="78">
        <v>1000</v>
      </c>
      <c r="K43" s="78" t="s">
        <v>1612</v>
      </c>
      <c r="L43" s="78" t="s">
        <v>1614</v>
      </c>
      <c r="M43" s="78" t="s">
        <v>1598</v>
      </c>
      <c r="N43" s="78">
        <v>1500</v>
      </c>
      <c r="O43" s="78">
        <v>0</v>
      </c>
      <c r="P43" s="78">
        <v>600</v>
      </c>
      <c r="Q43" s="78">
        <v>100</v>
      </c>
      <c r="R43" s="78">
        <v>0</v>
      </c>
      <c r="S43" s="78">
        <v>2500</v>
      </c>
      <c r="T43" s="78" t="s">
        <v>1596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1:34">
      <c r="A44" s="78" t="s">
        <v>13</v>
      </c>
      <c r="B44" s="78">
        <v>4</v>
      </c>
      <c r="C44" s="78" t="s">
        <v>1610</v>
      </c>
      <c r="D44" s="78"/>
      <c r="E44" s="78"/>
      <c r="F44" s="78"/>
      <c r="G44" s="78" t="s">
        <v>1469</v>
      </c>
      <c r="H44" s="78"/>
      <c r="I44" s="78" t="s">
        <v>1618</v>
      </c>
      <c r="J44" s="78">
        <v>1000</v>
      </c>
      <c r="K44" s="78" t="s">
        <v>1612</v>
      </c>
      <c r="L44" s="78" t="s">
        <v>1619</v>
      </c>
      <c r="M44" s="78" t="s">
        <v>1598</v>
      </c>
      <c r="N44" s="78">
        <v>1500</v>
      </c>
      <c r="O44" s="78">
        <v>2500</v>
      </c>
      <c r="P44" s="78">
        <v>600</v>
      </c>
      <c r="Q44" s="78">
        <v>100</v>
      </c>
      <c r="R44" s="78">
        <v>0</v>
      </c>
      <c r="S44" s="78">
        <v>2500</v>
      </c>
      <c r="T44" s="78" t="s">
        <v>1596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1:34">
      <c r="A45" s="78" t="s">
        <v>13</v>
      </c>
      <c r="B45" s="78">
        <v>4</v>
      </c>
      <c r="C45" s="78" t="s">
        <v>1610</v>
      </c>
      <c r="D45" s="78"/>
      <c r="E45" s="78"/>
      <c r="F45" s="78"/>
      <c r="G45" s="78" t="s">
        <v>1467</v>
      </c>
      <c r="H45" s="78"/>
      <c r="I45" s="78" t="s">
        <v>1618</v>
      </c>
      <c r="J45" s="78">
        <v>1000</v>
      </c>
      <c r="K45" s="78" t="s">
        <v>1612</v>
      </c>
      <c r="L45" s="78" t="s">
        <v>1620</v>
      </c>
      <c r="M45" s="78" t="s">
        <v>1598</v>
      </c>
      <c r="N45" s="78">
        <v>1500</v>
      </c>
      <c r="O45" s="78">
        <v>2500</v>
      </c>
      <c r="P45" s="78">
        <v>600</v>
      </c>
      <c r="Q45" s="78">
        <v>100</v>
      </c>
      <c r="R45" s="78">
        <v>0</v>
      </c>
      <c r="S45" s="78">
        <v>2500</v>
      </c>
      <c r="T45" s="78" t="s">
        <v>1596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1:34">
      <c r="A46" s="78" t="s">
        <v>13</v>
      </c>
      <c r="B46" s="78">
        <v>4</v>
      </c>
      <c r="C46" s="78" t="s">
        <v>1610</v>
      </c>
      <c r="D46" s="78"/>
      <c r="E46" s="78"/>
      <c r="F46" s="78"/>
      <c r="G46" s="78" t="s">
        <v>1597</v>
      </c>
      <c r="H46" s="78"/>
      <c r="I46" s="78" t="s">
        <v>1618</v>
      </c>
      <c r="J46" s="78">
        <v>1000</v>
      </c>
      <c r="K46" s="78" t="s">
        <v>1612</v>
      </c>
      <c r="L46" s="78" t="s">
        <v>1613</v>
      </c>
      <c r="M46" s="78" t="s">
        <v>1598</v>
      </c>
      <c r="N46" s="78">
        <v>1500</v>
      </c>
      <c r="O46" s="78">
        <v>0</v>
      </c>
      <c r="P46" s="78">
        <v>600</v>
      </c>
      <c r="Q46" s="78">
        <v>100</v>
      </c>
      <c r="R46" s="78">
        <v>0</v>
      </c>
      <c r="S46" s="78">
        <v>2500</v>
      </c>
      <c r="T46" s="78" t="s">
        <v>1596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spans="1:3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spans="1:34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spans="1:34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spans="1:34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spans="1:34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spans="1:3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spans="1:34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spans="1:34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spans="1:34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spans="1:34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"/>
  <sheetViews>
    <sheetView tabSelected="1" workbookViewId="0"/>
  </sheetViews>
  <sheetFormatPr defaultColWidth="12.6640625" defaultRowHeight="15.75" customHeight="1"/>
  <cols>
    <col min="1" max="1" width="7.44140625" customWidth="1"/>
    <col min="2" max="2" width="8.44140625" customWidth="1"/>
    <col min="3" max="3" width="5.88671875" customWidth="1"/>
    <col min="4" max="4" width="14.6640625" customWidth="1"/>
    <col min="5" max="5" width="6.44140625" customWidth="1"/>
    <col min="6" max="6" width="4.77734375" customWidth="1"/>
    <col min="7" max="7" width="8" customWidth="1"/>
    <col min="8" max="8" width="10.6640625" customWidth="1"/>
  </cols>
  <sheetData>
    <row r="1" spans="1:8" ht="15.75" customHeight="1">
      <c r="A1" s="129" t="s">
        <v>5</v>
      </c>
      <c r="B1" s="129" t="s">
        <v>24</v>
      </c>
      <c r="C1" s="129" t="s">
        <v>1441</v>
      </c>
      <c r="D1" s="129" t="s">
        <v>1621</v>
      </c>
      <c r="E1" s="129" t="s">
        <v>1622</v>
      </c>
      <c r="F1" s="129" t="s">
        <v>1623</v>
      </c>
      <c r="G1" s="129" t="s">
        <v>1624</v>
      </c>
      <c r="H1" s="129" t="s">
        <v>1625</v>
      </c>
    </row>
    <row r="2" spans="1:8" ht="15.75" customHeight="1">
      <c r="A2" s="130" t="s">
        <v>531</v>
      </c>
      <c r="B2" s="130" t="s">
        <v>13</v>
      </c>
      <c r="C2" s="130" t="s">
        <v>1626</v>
      </c>
      <c r="D2" s="131"/>
      <c r="E2" s="130">
        <v>600</v>
      </c>
      <c r="F2" s="130">
        <v>1000</v>
      </c>
      <c r="G2" s="130">
        <v>1299</v>
      </c>
      <c r="H2" s="130">
        <v>42000</v>
      </c>
    </row>
    <row r="3" spans="1:8" ht="15.75" customHeight="1">
      <c r="A3" s="130" t="s">
        <v>531</v>
      </c>
      <c r="B3" s="130" t="s">
        <v>44</v>
      </c>
      <c r="C3" s="130" t="s">
        <v>1626</v>
      </c>
      <c r="D3" s="131"/>
      <c r="E3" s="130"/>
      <c r="F3" s="130"/>
      <c r="G3" s="130"/>
      <c r="H3" s="130"/>
    </row>
    <row r="4" spans="1:8" ht="15.75" customHeight="1">
      <c r="A4" s="130" t="s">
        <v>678</v>
      </c>
      <c r="B4" s="130"/>
      <c r="C4" s="130" t="s">
        <v>1626</v>
      </c>
      <c r="D4" s="131"/>
      <c r="E4" s="130">
        <v>600</v>
      </c>
      <c r="F4" s="130">
        <v>1000</v>
      </c>
      <c r="G4" s="130">
        <v>1299</v>
      </c>
      <c r="H4" s="130">
        <v>42000</v>
      </c>
    </row>
    <row r="5" spans="1:8" ht="15.75" customHeight="1">
      <c r="A5" s="130" t="s">
        <v>41</v>
      </c>
      <c r="B5" s="130"/>
      <c r="C5" s="130" t="s">
        <v>1626</v>
      </c>
      <c r="D5" s="130">
        <v>5900</v>
      </c>
      <c r="E5" s="130">
        <v>600</v>
      </c>
      <c r="F5" s="130">
        <v>1000</v>
      </c>
      <c r="G5" s="130">
        <v>1299</v>
      </c>
      <c r="H5" s="130">
        <v>42000</v>
      </c>
    </row>
    <row r="6" spans="1:8" ht="15.75" customHeight="1">
      <c r="A6" s="130" t="s">
        <v>179</v>
      </c>
      <c r="B6" s="130"/>
      <c r="C6" s="130" t="s">
        <v>1626</v>
      </c>
      <c r="D6" s="131"/>
      <c r="E6" s="130">
        <v>600</v>
      </c>
      <c r="F6" s="130">
        <v>1000</v>
      </c>
      <c r="G6" s="130">
        <v>1299</v>
      </c>
      <c r="H6" s="130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Rules</vt:lpstr>
      <vt:lpstr>Vehicle Info</vt:lpstr>
      <vt:lpstr>PV Vehicle</vt:lpstr>
      <vt:lpstr>CV Vehicle</vt:lpstr>
      <vt:lpstr>Price List PV</vt:lpstr>
      <vt:lpstr>Price List CV</vt:lpstr>
      <vt:lpstr>Price List BEV</vt:lpstr>
      <vt:lpstr>Price List LMM</vt:lpstr>
      <vt:lpstr>Price List LMM TZU</vt:lpstr>
      <vt:lpstr>Price List CSD</vt:lpstr>
      <vt:lpstr>CSD Index Codes</vt:lpstr>
      <vt:lpstr>Corporate</vt:lpstr>
      <vt:lpstr>Exchange</vt:lpstr>
      <vt:lpstr>RSA</vt:lpstr>
      <vt:lpstr>Shield</vt:lpstr>
      <vt:lpstr>Insurance Co.</vt:lpstr>
      <vt:lpstr>Insu Premium</vt:lpstr>
      <vt:lpstr>RTO</vt:lpstr>
      <vt:lpstr>Dealer Charges - Segment Wise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CK_BMPL</dc:creator>
  <cp:lastModifiedBy>CK_BMPL</cp:lastModifiedBy>
  <dcterms:created xsi:type="dcterms:W3CDTF">2026-09-23T17:17:41Z</dcterms:created>
  <dcterms:modified xsi:type="dcterms:W3CDTF">2026-09-23T17:17:41Z</dcterms:modified>
</cp:coreProperties>
</file>