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aragon\www\xlrm\storage\"/>
    </mc:Choice>
  </mc:AlternateContent>
  <bookViews>
    <workbookView xWindow="0" yWindow="0" windowWidth="23040" windowHeight="9252"/>
  </bookViews>
  <sheets>
    <sheet name="Accessories" sheetId="1" r:id="rId1"/>
    <sheet name="Maxicare" sheetId="2" r:id="rId2"/>
    <sheet name="Ceramic" sheetId="3" r:id="rId3"/>
    <sheet name="PPF" sheetId="4" r:id="rId4"/>
    <sheet name="GPS VLTD" sheetId="5" r:id="rId5"/>
    <sheet name="RTO Tape" sheetId="6" r:id="rId6"/>
    <sheet name="Kazam" sheetId="7" r:id="rId7"/>
  </sheets>
  <definedNames>
    <definedName name="_xlnm._FilterDatabase" localSheetId="3" hidden="1">PPF!$A$1:$Z$997</definedName>
  </definedNames>
  <calcPr calcId="152511"/>
</workbook>
</file>

<file path=xl/calcChain.xml><?xml version="1.0" encoding="utf-8"?>
<calcChain xmlns="http://schemas.openxmlformats.org/spreadsheetml/2006/main">
  <c r="P2" i="7" l="1"/>
  <c r="L2" i="7"/>
  <c r="M2" i="7" s="1"/>
  <c r="R2" i="7" s="1"/>
  <c r="S2" i="7" s="1"/>
  <c r="H2" i="7"/>
  <c r="J2" i="7" s="1"/>
  <c r="Q2" i="6"/>
  <c r="N2" i="6"/>
  <c r="S2" i="6" s="1"/>
  <c r="T2" i="6" s="1"/>
  <c r="M2" i="6"/>
  <c r="K2" i="6"/>
  <c r="I2" i="6"/>
  <c r="T2" i="5"/>
  <c r="V2" i="5" s="1"/>
  <c r="W2" i="5" s="1"/>
  <c r="X2" i="5" s="1"/>
  <c r="S2" i="5"/>
  <c r="Q2" i="5"/>
  <c r="N2" i="5"/>
  <c r="M2" i="5"/>
  <c r="K2" i="5"/>
  <c r="I2" i="5"/>
  <c r="T16" i="4"/>
  <c r="P16" i="4"/>
  <c r="M16" i="4"/>
  <c r="R16" i="4" s="1"/>
  <c r="S16" i="4" s="1"/>
  <c r="U16" i="4" s="1"/>
  <c r="V16" i="4" s="1"/>
  <c r="W16" i="4" s="1"/>
  <c r="L16" i="4"/>
  <c r="J16" i="4"/>
  <c r="H16" i="4"/>
  <c r="P15" i="4"/>
  <c r="L15" i="4"/>
  <c r="M15" i="4" s="1"/>
  <c r="R15" i="4" s="1"/>
  <c r="S15" i="4" s="1"/>
  <c r="J15" i="4"/>
  <c r="H15" i="4"/>
  <c r="P14" i="4"/>
  <c r="L14" i="4"/>
  <c r="M14" i="4" s="1"/>
  <c r="R14" i="4" s="1"/>
  <c r="S14" i="4" s="1"/>
  <c r="J14" i="4"/>
  <c r="H14" i="4"/>
  <c r="T13" i="4"/>
  <c r="P13" i="4"/>
  <c r="L13" i="4"/>
  <c r="M13" i="4" s="1"/>
  <c r="R13" i="4" s="1"/>
  <c r="S13" i="4" s="1"/>
  <c r="J13" i="4"/>
  <c r="U13" i="4" s="1"/>
  <c r="V13" i="4" s="1"/>
  <c r="W13" i="4" s="1"/>
  <c r="H13" i="4"/>
  <c r="P12" i="4"/>
  <c r="L12" i="4"/>
  <c r="M12" i="4" s="1"/>
  <c r="R12" i="4" s="1"/>
  <c r="S12" i="4" s="1"/>
  <c r="J12" i="4"/>
  <c r="H12" i="4"/>
  <c r="P8" i="4"/>
  <c r="L8" i="4"/>
  <c r="M8" i="4" s="1"/>
  <c r="R8" i="4" s="1"/>
  <c r="S8" i="4" s="1"/>
  <c r="J8" i="4"/>
  <c r="H8" i="4"/>
  <c r="U7" i="4"/>
  <c r="V7" i="4" s="1"/>
  <c r="W7" i="4" s="1"/>
  <c r="T7" i="4"/>
  <c r="P7" i="4"/>
  <c r="L7" i="4"/>
  <c r="M7" i="4" s="1"/>
  <c r="R7" i="4" s="1"/>
  <c r="S7" i="4" s="1"/>
  <c r="J7" i="4"/>
  <c r="H7" i="4"/>
  <c r="P6" i="4"/>
  <c r="L6" i="4"/>
  <c r="M6" i="4" s="1"/>
  <c r="R6" i="4" s="1"/>
  <c r="S6" i="4" s="1"/>
  <c r="J6" i="4"/>
  <c r="H6" i="4"/>
  <c r="P5" i="4"/>
  <c r="M5" i="4"/>
  <c r="L5" i="4"/>
  <c r="J5" i="4"/>
  <c r="H5" i="4"/>
  <c r="U4" i="4"/>
  <c r="V4" i="4" s="1"/>
  <c r="W4" i="4" s="1"/>
  <c r="T4" i="4"/>
  <c r="P4" i="4"/>
  <c r="M4" i="4"/>
  <c r="R4" i="4" s="1"/>
  <c r="S4" i="4" s="1"/>
  <c r="L4" i="4"/>
  <c r="J4" i="4"/>
  <c r="H4" i="4"/>
  <c r="P3" i="4"/>
  <c r="L3" i="4"/>
  <c r="M3" i="4" s="1"/>
  <c r="R3" i="4" s="1"/>
  <c r="S3" i="4" s="1"/>
  <c r="J3" i="4"/>
  <c r="H3" i="4"/>
  <c r="R2" i="4"/>
  <c r="S2" i="4" s="1"/>
  <c r="P2" i="4"/>
  <c r="L2" i="4"/>
  <c r="M2" i="4" s="1"/>
  <c r="H2" i="4"/>
  <c r="J2" i="4" s="1"/>
  <c r="T6" i="3"/>
  <c r="P6" i="3"/>
  <c r="L6" i="3"/>
  <c r="M6" i="3" s="1"/>
  <c r="R6" i="3" s="1"/>
  <c r="S6" i="3" s="1"/>
  <c r="U6" i="3" s="1"/>
  <c r="V6" i="3" s="1"/>
  <c r="W6" i="3" s="1"/>
  <c r="H6" i="3"/>
  <c r="J6" i="3" s="1"/>
  <c r="S5" i="3"/>
  <c r="R5" i="3"/>
  <c r="P5" i="3"/>
  <c r="M5" i="3"/>
  <c r="L5" i="3"/>
  <c r="J5" i="3"/>
  <c r="H5" i="3"/>
  <c r="P4" i="3"/>
  <c r="L4" i="3"/>
  <c r="M4" i="3" s="1"/>
  <c r="R4" i="3" s="1"/>
  <c r="S4" i="3" s="1"/>
  <c r="H4" i="3"/>
  <c r="J4" i="3" s="1"/>
  <c r="P3" i="3"/>
  <c r="M3" i="3"/>
  <c r="R3" i="3" s="1"/>
  <c r="S3" i="3" s="1"/>
  <c r="L3" i="3"/>
  <c r="H3" i="3"/>
  <c r="J3" i="3" s="1"/>
  <c r="P2" i="3"/>
  <c r="R2" i="3" s="1"/>
  <c r="S2" i="3" s="1"/>
  <c r="M2" i="3"/>
  <c r="L2" i="3"/>
  <c r="H2" i="3"/>
  <c r="J2" i="3" s="1"/>
  <c r="R377" i="1"/>
  <c r="S377" i="1" s="1"/>
  <c r="P377" i="1"/>
  <c r="L377" i="1"/>
  <c r="M377" i="1" s="1"/>
  <c r="J377" i="1"/>
  <c r="H377" i="1"/>
  <c r="P376" i="1"/>
  <c r="L376" i="1"/>
  <c r="M376" i="1" s="1"/>
  <c r="R376" i="1" s="1"/>
  <c r="S376" i="1" s="1"/>
  <c r="H376" i="1"/>
  <c r="J376" i="1" s="1"/>
  <c r="P375" i="1"/>
  <c r="L375" i="1"/>
  <c r="M375" i="1" s="1"/>
  <c r="R375" i="1" s="1"/>
  <c r="S375" i="1" s="1"/>
  <c r="J375" i="1"/>
  <c r="H375" i="1"/>
  <c r="R374" i="1"/>
  <c r="S374" i="1" s="1"/>
  <c r="P374" i="1"/>
  <c r="L374" i="1"/>
  <c r="M374" i="1" s="1"/>
  <c r="H374" i="1"/>
  <c r="J374" i="1" s="1"/>
  <c r="P373" i="1"/>
  <c r="L373" i="1"/>
  <c r="M373" i="1" s="1"/>
  <c r="R373" i="1" s="1"/>
  <c r="S373" i="1" s="1"/>
  <c r="U373" i="1" s="1"/>
  <c r="V373" i="1" s="1"/>
  <c r="W373" i="1" s="1"/>
  <c r="H373" i="1"/>
  <c r="J373" i="1" s="1"/>
  <c r="P372" i="1"/>
  <c r="L372" i="1"/>
  <c r="M372" i="1" s="1"/>
  <c r="R372" i="1" s="1"/>
  <c r="S372" i="1" s="1"/>
  <c r="H372" i="1"/>
  <c r="J372" i="1" s="1"/>
  <c r="S371" i="1"/>
  <c r="R371" i="1"/>
  <c r="P371" i="1"/>
  <c r="M371" i="1"/>
  <c r="L371" i="1"/>
  <c r="J371" i="1"/>
  <c r="H371" i="1"/>
  <c r="S370" i="1"/>
  <c r="P370" i="1"/>
  <c r="M370" i="1"/>
  <c r="R370" i="1" s="1"/>
  <c r="L370" i="1"/>
  <c r="H370" i="1"/>
  <c r="J370" i="1" s="1"/>
  <c r="P369" i="1"/>
  <c r="L369" i="1"/>
  <c r="M369" i="1" s="1"/>
  <c r="R369" i="1" s="1"/>
  <c r="S369" i="1" s="1"/>
  <c r="J369" i="1"/>
  <c r="H369" i="1"/>
  <c r="P368" i="1"/>
  <c r="L368" i="1"/>
  <c r="M368" i="1" s="1"/>
  <c r="H368" i="1"/>
  <c r="J368" i="1" s="1"/>
  <c r="P367" i="1"/>
  <c r="M367" i="1"/>
  <c r="R367" i="1" s="1"/>
  <c r="S367" i="1" s="1"/>
  <c r="L367" i="1"/>
  <c r="J367" i="1"/>
  <c r="H367" i="1"/>
  <c r="S366" i="1"/>
  <c r="R366" i="1"/>
  <c r="P366" i="1"/>
  <c r="M366" i="1"/>
  <c r="L366" i="1"/>
  <c r="H366" i="1"/>
  <c r="J366" i="1" s="1"/>
  <c r="P365" i="1"/>
  <c r="M365" i="1"/>
  <c r="R365" i="1" s="1"/>
  <c r="S365" i="1" s="1"/>
  <c r="L365" i="1"/>
  <c r="J365" i="1"/>
  <c r="H365" i="1"/>
  <c r="P364" i="1"/>
  <c r="L364" i="1"/>
  <c r="M364" i="1" s="1"/>
  <c r="R364" i="1" s="1"/>
  <c r="S364" i="1" s="1"/>
  <c r="H364" i="1"/>
  <c r="J364" i="1" s="1"/>
  <c r="P363" i="1"/>
  <c r="M363" i="1"/>
  <c r="R363" i="1" s="1"/>
  <c r="S363" i="1" s="1"/>
  <c r="L363" i="1"/>
  <c r="H363" i="1"/>
  <c r="J363" i="1" s="1"/>
  <c r="P362" i="1"/>
  <c r="M362" i="1"/>
  <c r="R362" i="1" s="1"/>
  <c r="S362" i="1" s="1"/>
  <c r="T362" i="1" s="1"/>
  <c r="L362" i="1"/>
  <c r="J362" i="1"/>
  <c r="H362" i="1"/>
  <c r="P361" i="1"/>
  <c r="L361" i="1"/>
  <c r="M361" i="1" s="1"/>
  <c r="R361" i="1" s="1"/>
  <c r="S361" i="1" s="1"/>
  <c r="J361" i="1"/>
  <c r="H361" i="1"/>
  <c r="P360" i="1"/>
  <c r="L360" i="1"/>
  <c r="M360" i="1" s="1"/>
  <c r="H360" i="1"/>
  <c r="J360" i="1" s="1"/>
  <c r="P359" i="1"/>
  <c r="L359" i="1"/>
  <c r="M359" i="1" s="1"/>
  <c r="R359" i="1" s="1"/>
  <c r="S359" i="1" s="1"/>
  <c r="H359" i="1"/>
  <c r="J359" i="1" s="1"/>
  <c r="P358" i="1"/>
  <c r="M358" i="1"/>
  <c r="R358" i="1" s="1"/>
  <c r="S358" i="1" s="1"/>
  <c r="L358" i="1"/>
  <c r="H358" i="1"/>
  <c r="J358" i="1" s="1"/>
  <c r="P357" i="1"/>
  <c r="L357" i="1"/>
  <c r="M357" i="1" s="1"/>
  <c r="R357" i="1" s="1"/>
  <c r="S357" i="1" s="1"/>
  <c r="H357" i="1"/>
  <c r="J357" i="1" s="1"/>
  <c r="S356" i="1"/>
  <c r="P356" i="1"/>
  <c r="L356" i="1"/>
  <c r="M356" i="1" s="1"/>
  <c r="R356" i="1" s="1"/>
  <c r="H356" i="1"/>
  <c r="J356" i="1" s="1"/>
  <c r="P355" i="1"/>
  <c r="M355" i="1"/>
  <c r="R355" i="1" s="1"/>
  <c r="S355" i="1" s="1"/>
  <c r="L355" i="1"/>
  <c r="J355" i="1"/>
  <c r="H355" i="1"/>
  <c r="P354" i="1"/>
  <c r="M354" i="1"/>
  <c r="R354" i="1" s="1"/>
  <c r="S354" i="1" s="1"/>
  <c r="T354" i="1" s="1"/>
  <c r="L354" i="1"/>
  <c r="H354" i="1"/>
  <c r="J354" i="1" s="1"/>
  <c r="U354" i="1" s="1"/>
  <c r="V354" i="1" s="1"/>
  <c r="W354" i="1" s="1"/>
  <c r="P353" i="1"/>
  <c r="M353" i="1"/>
  <c r="R353" i="1" s="1"/>
  <c r="S353" i="1" s="1"/>
  <c r="L353" i="1"/>
  <c r="J353" i="1"/>
  <c r="H353" i="1"/>
  <c r="T352" i="1"/>
  <c r="P352" i="1"/>
  <c r="L352" i="1"/>
  <c r="M352" i="1" s="1"/>
  <c r="R352" i="1" s="1"/>
  <c r="S352" i="1" s="1"/>
  <c r="H352" i="1"/>
  <c r="J352" i="1" s="1"/>
  <c r="P351" i="1"/>
  <c r="M351" i="1"/>
  <c r="R351" i="1" s="1"/>
  <c r="S351" i="1" s="1"/>
  <c r="L351" i="1"/>
  <c r="J351" i="1"/>
  <c r="H351" i="1"/>
  <c r="P350" i="1"/>
  <c r="M350" i="1"/>
  <c r="R350" i="1" s="1"/>
  <c r="S350" i="1" s="1"/>
  <c r="L350" i="1"/>
  <c r="H350" i="1"/>
  <c r="J350" i="1" s="1"/>
  <c r="P349" i="1"/>
  <c r="M349" i="1"/>
  <c r="R349" i="1" s="1"/>
  <c r="S349" i="1" s="1"/>
  <c r="T349" i="1" s="1"/>
  <c r="L349" i="1"/>
  <c r="H349" i="1"/>
  <c r="J349" i="1" s="1"/>
  <c r="U349" i="1" s="1"/>
  <c r="V349" i="1" s="1"/>
  <c r="W349" i="1" s="1"/>
  <c r="R348" i="1"/>
  <c r="S348" i="1" s="1"/>
  <c r="T348" i="1" s="1"/>
  <c r="P348" i="1"/>
  <c r="L348" i="1"/>
  <c r="M348" i="1" s="1"/>
  <c r="H348" i="1"/>
  <c r="J348" i="1" s="1"/>
  <c r="P347" i="1"/>
  <c r="M347" i="1"/>
  <c r="R347" i="1" s="1"/>
  <c r="S347" i="1" s="1"/>
  <c r="L347" i="1"/>
  <c r="H347" i="1"/>
  <c r="J347" i="1" s="1"/>
  <c r="P346" i="1"/>
  <c r="M346" i="1"/>
  <c r="L346" i="1"/>
  <c r="J346" i="1"/>
  <c r="H346" i="1"/>
  <c r="R345" i="1"/>
  <c r="S345" i="1" s="1"/>
  <c r="P345" i="1"/>
  <c r="L345" i="1"/>
  <c r="M345" i="1" s="1"/>
  <c r="J345" i="1"/>
  <c r="H345" i="1"/>
  <c r="U344" i="1"/>
  <c r="V344" i="1" s="1"/>
  <c r="W344" i="1" s="1"/>
  <c r="P344" i="1"/>
  <c r="L344" i="1"/>
  <c r="M344" i="1" s="1"/>
  <c r="R344" i="1" s="1"/>
  <c r="S344" i="1" s="1"/>
  <c r="T344" i="1" s="1"/>
  <c r="H344" i="1"/>
  <c r="J344" i="1" s="1"/>
  <c r="R343" i="1"/>
  <c r="S343" i="1" s="1"/>
  <c r="P343" i="1"/>
  <c r="L343" i="1"/>
  <c r="M343" i="1" s="1"/>
  <c r="H343" i="1"/>
  <c r="J343" i="1" s="1"/>
  <c r="R342" i="1"/>
  <c r="S342" i="1" s="1"/>
  <c r="P342" i="1"/>
  <c r="L342" i="1"/>
  <c r="M342" i="1" s="1"/>
  <c r="H342" i="1"/>
  <c r="J342" i="1" s="1"/>
  <c r="R341" i="1"/>
  <c r="S341" i="1" s="1"/>
  <c r="P341" i="1"/>
  <c r="L341" i="1"/>
  <c r="M341" i="1" s="1"/>
  <c r="H341" i="1"/>
  <c r="J341" i="1" s="1"/>
  <c r="P340" i="1"/>
  <c r="L340" i="1"/>
  <c r="M340" i="1" s="1"/>
  <c r="H340" i="1"/>
  <c r="J340" i="1" s="1"/>
  <c r="T339" i="1"/>
  <c r="R339" i="1"/>
  <c r="S339" i="1" s="1"/>
  <c r="P339" i="1"/>
  <c r="M339" i="1"/>
  <c r="L339" i="1"/>
  <c r="J339" i="1"/>
  <c r="H339" i="1"/>
  <c r="S338" i="1"/>
  <c r="P338" i="1"/>
  <c r="M338" i="1"/>
  <c r="R338" i="1" s="1"/>
  <c r="L338" i="1"/>
  <c r="J338" i="1"/>
  <c r="H338" i="1"/>
  <c r="P337" i="1"/>
  <c r="L337" i="1"/>
  <c r="M337" i="1" s="1"/>
  <c r="R337" i="1" s="1"/>
  <c r="S337" i="1" s="1"/>
  <c r="J337" i="1"/>
  <c r="H337" i="1"/>
  <c r="P336" i="1"/>
  <c r="L336" i="1"/>
  <c r="M336" i="1" s="1"/>
  <c r="R336" i="1" s="1"/>
  <c r="S336" i="1" s="1"/>
  <c r="H336" i="1"/>
  <c r="J336" i="1" s="1"/>
  <c r="P335" i="1"/>
  <c r="M335" i="1"/>
  <c r="L335" i="1"/>
  <c r="H335" i="1"/>
  <c r="J335" i="1" s="1"/>
  <c r="R334" i="1"/>
  <c r="S334" i="1" s="1"/>
  <c r="P334" i="1"/>
  <c r="M334" i="1"/>
  <c r="L334" i="1"/>
  <c r="H334" i="1"/>
  <c r="J334" i="1" s="1"/>
  <c r="P333" i="1"/>
  <c r="M333" i="1"/>
  <c r="R333" i="1" s="1"/>
  <c r="S333" i="1" s="1"/>
  <c r="L333" i="1"/>
  <c r="H333" i="1"/>
  <c r="J333" i="1" s="1"/>
  <c r="P332" i="1"/>
  <c r="L332" i="1"/>
  <c r="M332" i="1" s="1"/>
  <c r="H332" i="1"/>
  <c r="J332" i="1" s="1"/>
  <c r="P331" i="1"/>
  <c r="M331" i="1"/>
  <c r="R331" i="1" s="1"/>
  <c r="S331" i="1" s="1"/>
  <c r="L331" i="1"/>
  <c r="H331" i="1"/>
  <c r="J331" i="1" s="1"/>
  <c r="P330" i="1"/>
  <c r="M330" i="1"/>
  <c r="L330" i="1"/>
  <c r="H330" i="1"/>
  <c r="J330" i="1" s="1"/>
  <c r="P329" i="1"/>
  <c r="R329" i="1" s="1"/>
  <c r="S329" i="1" s="1"/>
  <c r="L329" i="1"/>
  <c r="M329" i="1" s="1"/>
  <c r="J329" i="1"/>
  <c r="H329" i="1"/>
  <c r="R328" i="1"/>
  <c r="S328" i="1" s="1"/>
  <c r="P328" i="1"/>
  <c r="L328" i="1"/>
  <c r="M328" i="1" s="1"/>
  <c r="H328" i="1"/>
  <c r="J328" i="1" s="1"/>
  <c r="P327" i="1"/>
  <c r="L327" i="1"/>
  <c r="M327" i="1" s="1"/>
  <c r="R327" i="1" s="1"/>
  <c r="S327" i="1" s="1"/>
  <c r="J327" i="1"/>
  <c r="H327" i="1"/>
  <c r="P326" i="1"/>
  <c r="M326" i="1"/>
  <c r="R326" i="1" s="1"/>
  <c r="S326" i="1" s="1"/>
  <c r="L326" i="1"/>
  <c r="H326" i="1"/>
  <c r="J326" i="1" s="1"/>
  <c r="T325" i="1"/>
  <c r="P325" i="1"/>
  <c r="L325" i="1"/>
  <c r="M325" i="1" s="1"/>
  <c r="R325" i="1" s="1"/>
  <c r="S325" i="1" s="1"/>
  <c r="H325" i="1"/>
  <c r="J325" i="1" s="1"/>
  <c r="P324" i="1"/>
  <c r="L324" i="1"/>
  <c r="M324" i="1" s="1"/>
  <c r="R324" i="1" s="1"/>
  <c r="S324" i="1" s="1"/>
  <c r="H324" i="1"/>
  <c r="J324" i="1" s="1"/>
  <c r="S323" i="1"/>
  <c r="P323" i="1"/>
  <c r="M323" i="1"/>
  <c r="R323" i="1" s="1"/>
  <c r="L323" i="1"/>
  <c r="J323" i="1"/>
  <c r="H323" i="1"/>
  <c r="P322" i="1"/>
  <c r="M322" i="1"/>
  <c r="R322" i="1" s="1"/>
  <c r="S322" i="1" s="1"/>
  <c r="L322" i="1"/>
  <c r="H322" i="1"/>
  <c r="J322" i="1" s="1"/>
  <c r="P321" i="1"/>
  <c r="L321" i="1"/>
  <c r="M321" i="1" s="1"/>
  <c r="R321" i="1" s="1"/>
  <c r="S321" i="1" s="1"/>
  <c r="J321" i="1"/>
  <c r="H321" i="1"/>
  <c r="P320" i="1"/>
  <c r="L320" i="1"/>
  <c r="M320" i="1" s="1"/>
  <c r="R320" i="1" s="1"/>
  <c r="S320" i="1" s="1"/>
  <c r="H320" i="1"/>
  <c r="J320" i="1" s="1"/>
  <c r="P319" i="1"/>
  <c r="M319" i="1"/>
  <c r="L319" i="1"/>
  <c r="J319" i="1"/>
  <c r="H319" i="1"/>
  <c r="P318" i="1"/>
  <c r="L318" i="1"/>
  <c r="M318" i="1" s="1"/>
  <c r="R318" i="1" s="1"/>
  <c r="S318" i="1" s="1"/>
  <c r="H318" i="1"/>
  <c r="J318" i="1" s="1"/>
  <c r="T317" i="1"/>
  <c r="P317" i="1"/>
  <c r="M317" i="1"/>
  <c r="R317" i="1" s="1"/>
  <c r="S317" i="1" s="1"/>
  <c r="L317" i="1"/>
  <c r="H317" i="1"/>
  <c r="J317" i="1" s="1"/>
  <c r="P316" i="1"/>
  <c r="L316" i="1"/>
  <c r="M316" i="1" s="1"/>
  <c r="R316" i="1" s="1"/>
  <c r="S316" i="1" s="1"/>
  <c r="T316" i="1" s="1"/>
  <c r="J316" i="1"/>
  <c r="H316" i="1"/>
  <c r="P315" i="1"/>
  <c r="M315" i="1"/>
  <c r="R315" i="1" s="1"/>
  <c r="S315" i="1" s="1"/>
  <c r="L315" i="1"/>
  <c r="H315" i="1"/>
  <c r="J315" i="1" s="1"/>
  <c r="S314" i="1"/>
  <c r="P314" i="1"/>
  <c r="M314" i="1"/>
  <c r="R314" i="1" s="1"/>
  <c r="L314" i="1"/>
  <c r="J314" i="1"/>
  <c r="H314" i="1"/>
  <c r="P313" i="1"/>
  <c r="L313" i="1"/>
  <c r="M313" i="1" s="1"/>
  <c r="R313" i="1" s="1"/>
  <c r="S313" i="1" s="1"/>
  <c r="J313" i="1"/>
  <c r="H313" i="1"/>
  <c r="P312" i="1"/>
  <c r="L312" i="1"/>
  <c r="M312" i="1" s="1"/>
  <c r="R312" i="1" s="1"/>
  <c r="S312" i="1" s="1"/>
  <c r="H312" i="1"/>
  <c r="J312" i="1" s="1"/>
  <c r="R311" i="1"/>
  <c r="S311" i="1" s="1"/>
  <c r="P311" i="1"/>
  <c r="L311" i="1"/>
  <c r="M311" i="1" s="1"/>
  <c r="J311" i="1"/>
  <c r="H311" i="1"/>
  <c r="P310" i="1"/>
  <c r="L310" i="1"/>
  <c r="M310" i="1" s="1"/>
  <c r="R310" i="1" s="1"/>
  <c r="S310" i="1" s="1"/>
  <c r="H310" i="1"/>
  <c r="J310" i="1" s="1"/>
  <c r="P309" i="1"/>
  <c r="L309" i="1"/>
  <c r="M309" i="1" s="1"/>
  <c r="R309" i="1" s="1"/>
  <c r="S309" i="1" s="1"/>
  <c r="H309" i="1"/>
  <c r="J309" i="1" s="1"/>
  <c r="P308" i="1"/>
  <c r="L308" i="1"/>
  <c r="M308" i="1" s="1"/>
  <c r="R308" i="1" s="1"/>
  <c r="S308" i="1" s="1"/>
  <c r="H308" i="1"/>
  <c r="J308" i="1" s="1"/>
  <c r="R307" i="1"/>
  <c r="S307" i="1" s="1"/>
  <c r="P307" i="1"/>
  <c r="M307" i="1"/>
  <c r="L307" i="1"/>
  <c r="J307" i="1"/>
  <c r="H307" i="1"/>
  <c r="U306" i="1"/>
  <c r="V306" i="1" s="1"/>
  <c r="W306" i="1" s="1"/>
  <c r="S306" i="1"/>
  <c r="T306" i="1" s="1"/>
  <c r="P306" i="1"/>
  <c r="M306" i="1"/>
  <c r="R306" i="1" s="1"/>
  <c r="L306" i="1"/>
  <c r="H306" i="1"/>
  <c r="J306" i="1" s="1"/>
  <c r="P305" i="1"/>
  <c r="L305" i="1"/>
  <c r="M305" i="1" s="1"/>
  <c r="R305" i="1" s="1"/>
  <c r="S305" i="1" s="1"/>
  <c r="J305" i="1"/>
  <c r="H305" i="1"/>
  <c r="P304" i="1"/>
  <c r="L304" i="1"/>
  <c r="M304" i="1" s="1"/>
  <c r="R304" i="1" s="1"/>
  <c r="S304" i="1" s="1"/>
  <c r="H304" i="1"/>
  <c r="J304" i="1" s="1"/>
  <c r="P303" i="1"/>
  <c r="M303" i="1"/>
  <c r="R303" i="1" s="1"/>
  <c r="S303" i="1" s="1"/>
  <c r="L303" i="1"/>
  <c r="H303" i="1"/>
  <c r="J303" i="1" s="1"/>
  <c r="S302" i="1"/>
  <c r="R302" i="1"/>
  <c r="P302" i="1"/>
  <c r="M302" i="1"/>
  <c r="L302" i="1"/>
  <c r="H302" i="1"/>
  <c r="J302" i="1" s="1"/>
  <c r="R301" i="1"/>
  <c r="S301" i="1" s="1"/>
  <c r="P301" i="1"/>
  <c r="M301" i="1"/>
  <c r="L301" i="1"/>
  <c r="J301" i="1"/>
  <c r="H301" i="1"/>
  <c r="P300" i="1"/>
  <c r="L300" i="1"/>
  <c r="M300" i="1" s="1"/>
  <c r="R300" i="1" s="1"/>
  <c r="S300" i="1" s="1"/>
  <c r="H300" i="1"/>
  <c r="J300" i="1" s="1"/>
  <c r="P299" i="1"/>
  <c r="M299" i="1"/>
  <c r="L299" i="1"/>
  <c r="H299" i="1"/>
  <c r="J299" i="1" s="1"/>
  <c r="P298" i="1"/>
  <c r="M298" i="1"/>
  <c r="L298" i="1"/>
  <c r="J298" i="1"/>
  <c r="H298" i="1"/>
  <c r="P297" i="1"/>
  <c r="L297" i="1"/>
  <c r="M297" i="1" s="1"/>
  <c r="R297" i="1" s="1"/>
  <c r="S297" i="1" s="1"/>
  <c r="J297" i="1"/>
  <c r="H297" i="1"/>
  <c r="T296" i="1"/>
  <c r="R296" i="1"/>
  <c r="S296" i="1" s="1"/>
  <c r="P296" i="1"/>
  <c r="L296" i="1"/>
  <c r="M296" i="1" s="1"/>
  <c r="H296" i="1"/>
  <c r="J296" i="1" s="1"/>
  <c r="P295" i="1"/>
  <c r="L295" i="1"/>
  <c r="M295" i="1" s="1"/>
  <c r="R295" i="1" s="1"/>
  <c r="S295" i="1" s="1"/>
  <c r="H295" i="1"/>
  <c r="J295" i="1" s="1"/>
  <c r="P294" i="1"/>
  <c r="L294" i="1"/>
  <c r="M294" i="1" s="1"/>
  <c r="R294" i="1" s="1"/>
  <c r="S294" i="1" s="1"/>
  <c r="H294" i="1"/>
  <c r="J294" i="1" s="1"/>
  <c r="T293" i="1"/>
  <c r="P293" i="1"/>
  <c r="L293" i="1"/>
  <c r="M293" i="1" s="1"/>
  <c r="R293" i="1" s="1"/>
  <c r="S293" i="1" s="1"/>
  <c r="U293" i="1" s="1"/>
  <c r="V293" i="1" s="1"/>
  <c r="W293" i="1" s="1"/>
  <c r="H293" i="1"/>
  <c r="J293" i="1" s="1"/>
  <c r="P292" i="1"/>
  <c r="L292" i="1"/>
  <c r="M292" i="1" s="1"/>
  <c r="H292" i="1"/>
  <c r="J292" i="1" s="1"/>
  <c r="P291" i="1"/>
  <c r="M291" i="1"/>
  <c r="R291" i="1" s="1"/>
  <c r="S291" i="1" s="1"/>
  <c r="L291" i="1"/>
  <c r="J291" i="1"/>
  <c r="H291" i="1"/>
  <c r="V290" i="1"/>
  <c r="W290" i="1" s="1"/>
  <c r="U290" i="1"/>
  <c r="P290" i="1"/>
  <c r="M290" i="1"/>
  <c r="R290" i="1" s="1"/>
  <c r="S290" i="1" s="1"/>
  <c r="T290" i="1" s="1"/>
  <c r="L290" i="1"/>
  <c r="H290" i="1"/>
  <c r="J290" i="1" s="1"/>
  <c r="P289" i="1"/>
  <c r="L289" i="1"/>
  <c r="M289" i="1" s="1"/>
  <c r="R289" i="1" s="1"/>
  <c r="S289" i="1" s="1"/>
  <c r="J289" i="1"/>
  <c r="H289" i="1"/>
  <c r="P288" i="1"/>
  <c r="L288" i="1"/>
  <c r="M288" i="1" s="1"/>
  <c r="H288" i="1"/>
  <c r="J288" i="1" s="1"/>
  <c r="P287" i="1"/>
  <c r="M287" i="1"/>
  <c r="R287" i="1" s="1"/>
  <c r="S287" i="1" s="1"/>
  <c r="U287" i="1" s="1"/>
  <c r="V287" i="1" s="1"/>
  <c r="W287" i="1" s="1"/>
  <c r="L287" i="1"/>
  <c r="J287" i="1"/>
  <c r="H287" i="1"/>
  <c r="P286" i="1"/>
  <c r="L286" i="1"/>
  <c r="M286" i="1" s="1"/>
  <c r="R286" i="1" s="1"/>
  <c r="S286" i="1" s="1"/>
  <c r="H286" i="1"/>
  <c r="J286" i="1" s="1"/>
  <c r="P285" i="1"/>
  <c r="M285" i="1"/>
  <c r="R285" i="1" s="1"/>
  <c r="S285" i="1" s="1"/>
  <c r="L285" i="1"/>
  <c r="H285" i="1"/>
  <c r="J285" i="1" s="1"/>
  <c r="U284" i="1"/>
  <c r="V284" i="1" s="1"/>
  <c r="W284" i="1" s="1"/>
  <c r="P284" i="1"/>
  <c r="L284" i="1"/>
  <c r="M284" i="1" s="1"/>
  <c r="R284" i="1" s="1"/>
  <c r="S284" i="1" s="1"/>
  <c r="T284" i="1" s="1"/>
  <c r="J284" i="1"/>
  <c r="H284" i="1"/>
  <c r="P283" i="1"/>
  <c r="M283" i="1"/>
  <c r="L283" i="1"/>
  <c r="H283" i="1"/>
  <c r="J283" i="1" s="1"/>
  <c r="U282" i="1"/>
  <c r="V282" i="1" s="1"/>
  <c r="W282" i="1" s="1"/>
  <c r="S282" i="1"/>
  <c r="T282" i="1" s="1"/>
  <c r="P282" i="1"/>
  <c r="M282" i="1"/>
  <c r="R282" i="1" s="1"/>
  <c r="L282" i="1"/>
  <c r="J282" i="1"/>
  <c r="H282" i="1"/>
  <c r="P281" i="1"/>
  <c r="L281" i="1"/>
  <c r="M281" i="1" s="1"/>
  <c r="R281" i="1" s="1"/>
  <c r="S281" i="1" s="1"/>
  <c r="J281" i="1"/>
  <c r="H281" i="1"/>
  <c r="P280" i="1"/>
  <c r="L280" i="1"/>
  <c r="M280" i="1" s="1"/>
  <c r="R280" i="1" s="1"/>
  <c r="S280" i="1" s="1"/>
  <c r="H280" i="1"/>
  <c r="J280" i="1" s="1"/>
  <c r="R279" i="1"/>
  <c r="S279" i="1" s="1"/>
  <c r="P279" i="1"/>
  <c r="L279" i="1"/>
  <c r="M279" i="1" s="1"/>
  <c r="H279" i="1"/>
  <c r="J279" i="1" s="1"/>
  <c r="P278" i="1"/>
  <c r="M278" i="1"/>
  <c r="R278" i="1" s="1"/>
  <c r="S278" i="1" s="1"/>
  <c r="L278" i="1"/>
  <c r="H278" i="1"/>
  <c r="J278" i="1" s="1"/>
  <c r="T277" i="1"/>
  <c r="R277" i="1"/>
  <c r="S277" i="1" s="1"/>
  <c r="U277" i="1" s="1"/>
  <c r="V277" i="1" s="1"/>
  <c r="W277" i="1" s="1"/>
  <c r="P277" i="1"/>
  <c r="L277" i="1"/>
  <c r="M277" i="1" s="1"/>
  <c r="H277" i="1"/>
  <c r="J277" i="1" s="1"/>
  <c r="P276" i="1"/>
  <c r="L276" i="1"/>
  <c r="M276" i="1" s="1"/>
  <c r="R276" i="1" s="1"/>
  <c r="S276" i="1" s="1"/>
  <c r="H276" i="1"/>
  <c r="J276" i="1" s="1"/>
  <c r="S275" i="1"/>
  <c r="R275" i="1"/>
  <c r="P275" i="1"/>
  <c r="M275" i="1"/>
  <c r="L275" i="1"/>
  <c r="H275" i="1"/>
  <c r="J275" i="1" s="1"/>
  <c r="P274" i="1"/>
  <c r="M274" i="1"/>
  <c r="R274" i="1" s="1"/>
  <c r="S274" i="1" s="1"/>
  <c r="L274" i="1"/>
  <c r="H274" i="1"/>
  <c r="J274" i="1" s="1"/>
  <c r="P273" i="1"/>
  <c r="M273" i="1"/>
  <c r="R273" i="1" s="1"/>
  <c r="S273" i="1" s="1"/>
  <c r="L273" i="1"/>
  <c r="J273" i="1"/>
  <c r="H273" i="1"/>
  <c r="P272" i="1"/>
  <c r="R272" i="1" s="1"/>
  <c r="S272" i="1" s="1"/>
  <c r="L272" i="1"/>
  <c r="M272" i="1" s="1"/>
  <c r="H272" i="1"/>
  <c r="J272" i="1" s="1"/>
  <c r="P271" i="1"/>
  <c r="M271" i="1"/>
  <c r="R271" i="1" s="1"/>
  <c r="S271" i="1" s="1"/>
  <c r="L271" i="1"/>
  <c r="H271" i="1"/>
  <c r="J271" i="1" s="1"/>
  <c r="P270" i="1"/>
  <c r="M270" i="1"/>
  <c r="R270" i="1" s="1"/>
  <c r="S270" i="1" s="1"/>
  <c r="L270" i="1"/>
  <c r="H270" i="1"/>
  <c r="J270" i="1" s="1"/>
  <c r="R269" i="1"/>
  <c r="S269" i="1" s="1"/>
  <c r="P269" i="1"/>
  <c r="M269" i="1"/>
  <c r="L269" i="1"/>
  <c r="H269" i="1"/>
  <c r="J269" i="1" s="1"/>
  <c r="P268" i="1"/>
  <c r="M268" i="1"/>
  <c r="L268" i="1"/>
  <c r="J268" i="1"/>
  <c r="H268" i="1"/>
  <c r="S267" i="1"/>
  <c r="P267" i="1"/>
  <c r="M267" i="1"/>
  <c r="R267" i="1" s="1"/>
  <c r="L267" i="1"/>
  <c r="H267" i="1"/>
  <c r="J267" i="1" s="1"/>
  <c r="P266" i="1"/>
  <c r="M266" i="1"/>
  <c r="R266" i="1" s="1"/>
  <c r="S266" i="1" s="1"/>
  <c r="L266" i="1"/>
  <c r="H266" i="1"/>
  <c r="J266" i="1" s="1"/>
  <c r="P265" i="1"/>
  <c r="L265" i="1"/>
  <c r="M265" i="1" s="1"/>
  <c r="R265" i="1" s="1"/>
  <c r="S265" i="1" s="1"/>
  <c r="J265" i="1"/>
  <c r="H265" i="1"/>
  <c r="P264" i="1"/>
  <c r="R264" i="1" s="1"/>
  <c r="S264" i="1" s="1"/>
  <c r="L264" i="1"/>
  <c r="M264" i="1" s="1"/>
  <c r="H264" i="1"/>
  <c r="J264" i="1" s="1"/>
  <c r="P263" i="1"/>
  <c r="M263" i="1"/>
  <c r="L263" i="1"/>
  <c r="H263" i="1"/>
  <c r="J263" i="1" s="1"/>
  <c r="P262" i="1"/>
  <c r="L262" i="1"/>
  <c r="M262" i="1" s="1"/>
  <c r="R262" i="1" s="1"/>
  <c r="S262" i="1" s="1"/>
  <c r="H262" i="1"/>
  <c r="J262" i="1" s="1"/>
  <c r="R261" i="1"/>
  <c r="S261" i="1" s="1"/>
  <c r="P261" i="1"/>
  <c r="L261" i="1"/>
  <c r="M261" i="1" s="1"/>
  <c r="H261" i="1"/>
  <c r="J261" i="1" s="1"/>
  <c r="P260" i="1"/>
  <c r="L260" i="1"/>
  <c r="M260" i="1" s="1"/>
  <c r="R260" i="1" s="1"/>
  <c r="S260" i="1" s="1"/>
  <c r="H260" i="1"/>
  <c r="J260" i="1" s="1"/>
  <c r="P259" i="1"/>
  <c r="M259" i="1"/>
  <c r="R259" i="1" s="1"/>
  <c r="S259" i="1" s="1"/>
  <c r="L259" i="1"/>
  <c r="J259" i="1"/>
  <c r="H259" i="1"/>
  <c r="S258" i="1"/>
  <c r="P258" i="1"/>
  <c r="M258" i="1"/>
  <c r="R258" i="1" s="1"/>
  <c r="L258" i="1"/>
  <c r="J258" i="1"/>
  <c r="H258" i="1"/>
  <c r="P257" i="1"/>
  <c r="L257" i="1"/>
  <c r="M257" i="1" s="1"/>
  <c r="R257" i="1" s="1"/>
  <c r="S257" i="1" s="1"/>
  <c r="J257" i="1"/>
  <c r="H257" i="1"/>
  <c r="R256" i="1"/>
  <c r="S256" i="1" s="1"/>
  <c r="P256" i="1"/>
  <c r="L256" i="1"/>
  <c r="M256" i="1" s="1"/>
  <c r="H256" i="1"/>
  <c r="J256" i="1" s="1"/>
  <c r="P255" i="1"/>
  <c r="M255" i="1"/>
  <c r="L255" i="1"/>
  <c r="J255" i="1"/>
  <c r="H255" i="1"/>
  <c r="P254" i="1"/>
  <c r="M254" i="1"/>
  <c r="R254" i="1" s="1"/>
  <c r="S254" i="1" s="1"/>
  <c r="L254" i="1"/>
  <c r="H254" i="1"/>
  <c r="J254" i="1" s="1"/>
  <c r="P253" i="1"/>
  <c r="L253" i="1"/>
  <c r="M253" i="1" s="1"/>
  <c r="R253" i="1" s="1"/>
  <c r="S253" i="1" s="1"/>
  <c r="H253" i="1"/>
  <c r="J253" i="1" s="1"/>
  <c r="P252" i="1"/>
  <c r="L252" i="1"/>
  <c r="M252" i="1" s="1"/>
  <c r="H252" i="1"/>
  <c r="J252" i="1" s="1"/>
  <c r="P251" i="1"/>
  <c r="M251" i="1"/>
  <c r="L251" i="1"/>
  <c r="H251" i="1"/>
  <c r="J251" i="1" s="1"/>
  <c r="P250" i="1"/>
  <c r="M250" i="1"/>
  <c r="R250" i="1" s="1"/>
  <c r="S250" i="1" s="1"/>
  <c r="L250" i="1"/>
  <c r="J250" i="1"/>
  <c r="H250" i="1"/>
  <c r="P249" i="1"/>
  <c r="L249" i="1"/>
  <c r="M249" i="1" s="1"/>
  <c r="R249" i="1" s="1"/>
  <c r="S249" i="1" s="1"/>
  <c r="J249" i="1"/>
  <c r="H249" i="1"/>
  <c r="P248" i="1"/>
  <c r="L248" i="1"/>
  <c r="M248" i="1" s="1"/>
  <c r="R248" i="1" s="1"/>
  <c r="S248" i="1" s="1"/>
  <c r="J248" i="1"/>
  <c r="H248" i="1"/>
  <c r="P247" i="1"/>
  <c r="L247" i="1"/>
  <c r="M247" i="1" s="1"/>
  <c r="H247" i="1"/>
  <c r="J247" i="1" s="1"/>
  <c r="P246" i="1"/>
  <c r="L246" i="1"/>
  <c r="M246" i="1" s="1"/>
  <c r="R246" i="1" s="1"/>
  <c r="S246" i="1" s="1"/>
  <c r="H246" i="1"/>
  <c r="J246" i="1" s="1"/>
  <c r="R245" i="1"/>
  <c r="S245" i="1" s="1"/>
  <c r="T245" i="1" s="1"/>
  <c r="P245" i="1"/>
  <c r="L245" i="1"/>
  <c r="M245" i="1" s="1"/>
  <c r="H245" i="1"/>
  <c r="J245" i="1" s="1"/>
  <c r="U245" i="1" s="1"/>
  <c r="V245" i="1" s="1"/>
  <c r="W245" i="1" s="1"/>
  <c r="P244" i="1"/>
  <c r="L244" i="1"/>
  <c r="M244" i="1" s="1"/>
  <c r="H244" i="1"/>
  <c r="J244" i="1" s="1"/>
  <c r="P243" i="1"/>
  <c r="M243" i="1"/>
  <c r="R243" i="1" s="1"/>
  <c r="S243" i="1" s="1"/>
  <c r="L243" i="1"/>
  <c r="H243" i="1"/>
  <c r="J243" i="1" s="1"/>
  <c r="P242" i="1"/>
  <c r="M242" i="1"/>
  <c r="R242" i="1" s="1"/>
  <c r="S242" i="1" s="1"/>
  <c r="L242" i="1"/>
  <c r="H242" i="1"/>
  <c r="J242" i="1" s="1"/>
  <c r="P241" i="1"/>
  <c r="L241" i="1"/>
  <c r="M241" i="1" s="1"/>
  <c r="R241" i="1" s="1"/>
  <c r="S241" i="1" s="1"/>
  <c r="J241" i="1"/>
  <c r="H241" i="1"/>
  <c r="P240" i="1"/>
  <c r="R240" i="1" s="1"/>
  <c r="S240" i="1" s="1"/>
  <c r="T240" i="1" s="1"/>
  <c r="L240" i="1"/>
  <c r="M240" i="1" s="1"/>
  <c r="J240" i="1"/>
  <c r="H240" i="1"/>
  <c r="P239" i="1"/>
  <c r="M239" i="1"/>
  <c r="L239" i="1"/>
  <c r="H239" i="1"/>
  <c r="J239" i="1" s="1"/>
  <c r="P238" i="1"/>
  <c r="L238" i="1"/>
  <c r="M238" i="1" s="1"/>
  <c r="H238" i="1"/>
  <c r="J238" i="1" s="1"/>
  <c r="R237" i="1"/>
  <c r="S237" i="1" s="1"/>
  <c r="P237" i="1"/>
  <c r="M237" i="1"/>
  <c r="L237" i="1"/>
  <c r="H237" i="1"/>
  <c r="J237" i="1" s="1"/>
  <c r="P236" i="1"/>
  <c r="L236" i="1"/>
  <c r="M236" i="1" s="1"/>
  <c r="R236" i="1" s="1"/>
  <c r="S236" i="1" s="1"/>
  <c r="J236" i="1"/>
  <c r="H236" i="1"/>
  <c r="S235" i="1"/>
  <c r="U235" i="1" s="1"/>
  <c r="V235" i="1" s="1"/>
  <c r="W235" i="1" s="1"/>
  <c r="R235" i="1"/>
  <c r="P235" i="1"/>
  <c r="M235" i="1"/>
  <c r="L235" i="1"/>
  <c r="J235" i="1"/>
  <c r="H235" i="1"/>
  <c r="U234" i="1"/>
  <c r="V234" i="1" s="1"/>
  <c r="W234" i="1" s="1"/>
  <c r="P234" i="1"/>
  <c r="L234" i="1"/>
  <c r="M234" i="1" s="1"/>
  <c r="R234" i="1" s="1"/>
  <c r="S234" i="1" s="1"/>
  <c r="T234" i="1" s="1"/>
  <c r="H234" i="1"/>
  <c r="J234" i="1" s="1"/>
  <c r="P233" i="1"/>
  <c r="L233" i="1"/>
  <c r="M233" i="1" s="1"/>
  <c r="J233" i="1"/>
  <c r="H233" i="1"/>
  <c r="P232" i="1"/>
  <c r="M232" i="1"/>
  <c r="R232" i="1" s="1"/>
  <c r="S232" i="1" s="1"/>
  <c r="L232" i="1"/>
  <c r="J232" i="1"/>
  <c r="H232" i="1"/>
  <c r="P231" i="1"/>
  <c r="M231" i="1"/>
  <c r="R231" i="1" s="1"/>
  <c r="S231" i="1" s="1"/>
  <c r="L231" i="1"/>
  <c r="H231" i="1"/>
  <c r="J231" i="1" s="1"/>
  <c r="P230" i="1"/>
  <c r="L230" i="1"/>
  <c r="M230" i="1" s="1"/>
  <c r="H230" i="1"/>
  <c r="J230" i="1" s="1"/>
  <c r="P229" i="1"/>
  <c r="L229" i="1"/>
  <c r="M229" i="1" s="1"/>
  <c r="R229" i="1" s="1"/>
  <c r="S229" i="1" s="1"/>
  <c r="H229" i="1"/>
  <c r="J229" i="1" s="1"/>
  <c r="R228" i="1"/>
  <c r="S228" i="1" s="1"/>
  <c r="P228" i="1"/>
  <c r="M228" i="1"/>
  <c r="L228" i="1"/>
  <c r="H228" i="1"/>
  <c r="J228" i="1" s="1"/>
  <c r="T227" i="1"/>
  <c r="P227" i="1"/>
  <c r="M227" i="1"/>
  <c r="R227" i="1" s="1"/>
  <c r="S227" i="1" s="1"/>
  <c r="L227" i="1"/>
  <c r="H227" i="1"/>
  <c r="J227" i="1" s="1"/>
  <c r="R226" i="1"/>
  <c r="S226" i="1" s="1"/>
  <c r="P226" i="1"/>
  <c r="M226" i="1"/>
  <c r="L226" i="1"/>
  <c r="H226" i="1"/>
  <c r="J226" i="1" s="1"/>
  <c r="P225" i="1"/>
  <c r="L225" i="1"/>
  <c r="M225" i="1" s="1"/>
  <c r="R225" i="1" s="1"/>
  <c r="S225" i="1" s="1"/>
  <c r="J225" i="1"/>
  <c r="H225" i="1"/>
  <c r="T224" i="1"/>
  <c r="R224" i="1"/>
  <c r="S224" i="1" s="1"/>
  <c r="U224" i="1" s="1"/>
  <c r="V224" i="1" s="1"/>
  <c r="W224" i="1" s="1"/>
  <c r="P224" i="1"/>
  <c r="L224" i="1"/>
  <c r="M224" i="1" s="1"/>
  <c r="H224" i="1"/>
  <c r="J224" i="1" s="1"/>
  <c r="P223" i="1"/>
  <c r="M223" i="1"/>
  <c r="L223" i="1"/>
  <c r="J223" i="1"/>
  <c r="H223" i="1"/>
  <c r="P222" i="1"/>
  <c r="M222" i="1"/>
  <c r="R222" i="1" s="1"/>
  <c r="S222" i="1" s="1"/>
  <c r="L222" i="1"/>
  <c r="H222" i="1"/>
  <c r="J222" i="1" s="1"/>
  <c r="T221" i="1"/>
  <c r="S221" i="1"/>
  <c r="U221" i="1" s="1"/>
  <c r="V221" i="1" s="1"/>
  <c r="W221" i="1" s="1"/>
  <c r="P221" i="1"/>
  <c r="L221" i="1"/>
  <c r="M221" i="1" s="1"/>
  <c r="R221" i="1" s="1"/>
  <c r="H221" i="1"/>
  <c r="J221" i="1" s="1"/>
  <c r="S220" i="1"/>
  <c r="P220" i="1"/>
  <c r="M220" i="1"/>
  <c r="R220" i="1" s="1"/>
  <c r="L220" i="1"/>
  <c r="J220" i="1"/>
  <c r="H220" i="1"/>
  <c r="P219" i="1"/>
  <c r="L219" i="1"/>
  <c r="M219" i="1" s="1"/>
  <c r="R219" i="1" s="1"/>
  <c r="S219" i="1" s="1"/>
  <c r="J219" i="1"/>
  <c r="H219" i="1"/>
  <c r="P218" i="1"/>
  <c r="M218" i="1"/>
  <c r="R218" i="1" s="1"/>
  <c r="S218" i="1" s="1"/>
  <c r="L218" i="1"/>
  <c r="J218" i="1"/>
  <c r="H218" i="1"/>
  <c r="P217" i="1"/>
  <c r="M217" i="1"/>
  <c r="R217" i="1" s="1"/>
  <c r="S217" i="1" s="1"/>
  <c r="L217" i="1"/>
  <c r="J217" i="1"/>
  <c r="H217" i="1"/>
  <c r="P216" i="1"/>
  <c r="M216" i="1"/>
  <c r="R216" i="1" s="1"/>
  <c r="S216" i="1" s="1"/>
  <c r="L216" i="1"/>
  <c r="H216" i="1"/>
  <c r="J216" i="1" s="1"/>
  <c r="R215" i="1"/>
  <c r="S215" i="1" s="1"/>
  <c r="P215" i="1"/>
  <c r="M215" i="1"/>
  <c r="L215" i="1"/>
  <c r="J215" i="1"/>
  <c r="H215" i="1"/>
  <c r="P214" i="1"/>
  <c r="M214" i="1"/>
  <c r="R214" i="1" s="1"/>
  <c r="S214" i="1" s="1"/>
  <c r="T214" i="1" s="1"/>
  <c r="L214" i="1"/>
  <c r="H214" i="1"/>
  <c r="J214" i="1" s="1"/>
  <c r="P213" i="1"/>
  <c r="L213" i="1"/>
  <c r="M213" i="1" s="1"/>
  <c r="R213" i="1" s="1"/>
  <c r="S213" i="1" s="1"/>
  <c r="H213" i="1"/>
  <c r="J213" i="1" s="1"/>
  <c r="R212" i="1"/>
  <c r="S212" i="1" s="1"/>
  <c r="P212" i="1"/>
  <c r="L212" i="1"/>
  <c r="M212" i="1" s="1"/>
  <c r="H212" i="1"/>
  <c r="J212" i="1" s="1"/>
  <c r="P211" i="1"/>
  <c r="M211" i="1"/>
  <c r="R211" i="1" s="1"/>
  <c r="S211" i="1" s="1"/>
  <c r="L211" i="1"/>
  <c r="J211" i="1"/>
  <c r="H211" i="1"/>
  <c r="P210" i="1"/>
  <c r="L210" i="1"/>
  <c r="M210" i="1" s="1"/>
  <c r="R210" i="1" s="1"/>
  <c r="S210" i="1" s="1"/>
  <c r="J210" i="1"/>
  <c r="H210" i="1"/>
  <c r="P209" i="1"/>
  <c r="L209" i="1"/>
  <c r="M209" i="1" s="1"/>
  <c r="R209" i="1" s="1"/>
  <c r="S209" i="1" s="1"/>
  <c r="H209" i="1"/>
  <c r="J209" i="1" s="1"/>
  <c r="P208" i="1"/>
  <c r="L208" i="1"/>
  <c r="M208" i="1" s="1"/>
  <c r="R208" i="1" s="1"/>
  <c r="S208" i="1" s="1"/>
  <c r="H208" i="1"/>
  <c r="J208" i="1" s="1"/>
  <c r="P207" i="1"/>
  <c r="M207" i="1"/>
  <c r="R207" i="1" s="1"/>
  <c r="S207" i="1" s="1"/>
  <c r="L207" i="1"/>
  <c r="H207" i="1"/>
  <c r="J207" i="1" s="1"/>
  <c r="R206" i="1"/>
  <c r="S206" i="1" s="1"/>
  <c r="P206" i="1"/>
  <c r="M206" i="1"/>
  <c r="L206" i="1"/>
  <c r="J206" i="1"/>
  <c r="H206" i="1"/>
  <c r="U205" i="1"/>
  <c r="V205" i="1" s="1"/>
  <c r="W205" i="1" s="1"/>
  <c r="T205" i="1"/>
  <c r="P205" i="1"/>
  <c r="M205" i="1"/>
  <c r="R205" i="1" s="1"/>
  <c r="S205" i="1" s="1"/>
  <c r="L205" i="1"/>
  <c r="H205" i="1"/>
  <c r="J205" i="1" s="1"/>
  <c r="P204" i="1"/>
  <c r="L204" i="1"/>
  <c r="M204" i="1" s="1"/>
  <c r="R204" i="1" s="1"/>
  <c r="S204" i="1" s="1"/>
  <c r="J204" i="1"/>
  <c r="H204" i="1"/>
  <c r="S203" i="1"/>
  <c r="R203" i="1"/>
  <c r="P203" i="1"/>
  <c r="M203" i="1"/>
  <c r="L203" i="1"/>
  <c r="J203" i="1"/>
  <c r="H203" i="1"/>
  <c r="S202" i="1"/>
  <c r="P202" i="1"/>
  <c r="M202" i="1"/>
  <c r="R202" i="1" s="1"/>
  <c r="L202" i="1"/>
  <c r="H202" i="1"/>
  <c r="J202" i="1" s="1"/>
  <c r="P201" i="1"/>
  <c r="L201" i="1"/>
  <c r="M201" i="1" s="1"/>
  <c r="J201" i="1"/>
  <c r="H201" i="1"/>
  <c r="U200" i="1"/>
  <c r="V200" i="1" s="1"/>
  <c r="W200" i="1" s="1"/>
  <c r="S200" i="1"/>
  <c r="T200" i="1" s="1"/>
  <c r="R200" i="1"/>
  <c r="P200" i="1"/>
  <c r="M200" i="1"/>
  <c r="L200" i="1"/>
  <c r="J200" i="1"/>
  <c r="H200" i="1"/>
  <c r="P199" i="1"/>
  <c r="L199" i="1"/>
  <c r="M199" i="1" s="1"/>
  <c r="R199" i="1" s="1"/>
  <c r="S199" i="1" s="1"/>
  <c r="H199" i="1"/>
  <c r="J199" i="1" s="1"/>
  <c r="P198" i="1"/>
  <c r="L198" i="1"/>
  <c r="M198" i="1" s="1"/>
  <c r="H198" i="1"/>
  <c r="J198" i="1" s="1"/>
  <c r="P197" i="1"/>
  <c r="L197" i="1"/>
  <c r="M197" i="1" s="1"/>
  <c r="R197" i="1" s="1"/>
  <c r="S197" i="1" s="1"/>
  <c r="H197" i="1"/>
  <c r="J197" i="1" s="1"/>
  <c r="P196" i="1"/>
  <c r="M196" i="1"/>
  <c r="L196" i="1"/>
  <c r="H196" i="1"/>
  <c r="J196" i="1" s="1"/>
  <c r="P195" i="1"/>
  <c r="M195" i="1"/>
  <c r="R195" i="1" s="1"/>
  <c r="S195" i="1" s="1"/>
  <c r="L195" i="1"/>
  <c r="J195" i="1"/>
  <c r="H195" i="1"/>
  <c r="R194" i="1"/>
  <c r="S194" i="1" s="1"/>
  <c r="P194" i="1"/>
  <c r="L194" i="1"/>
  <c r="M194" i="1" s="1"/>
  <c r="H194" i="1"/>
  <c r="J194" i="1" s="1"/>
  <c r="R193" i="1"/>
  <c r="S193" i="1" s="1"/>
  <c r="P193" i="1"/>
  <c r="L193" i="1"/>
  <c r="M193" i="1" s="1"/>
  <c r="J193" i="1"/>
  <c r="H193" i="1"/>
  <c r="U192" i="1"/>
  <c r="V192" i="1" s="1"/>
  <c r="W192" i="1" s="1"/>
  <c r="P192" i="1"/>
  <c r="L192" i="1"/>
  <c r="M192" i="1" s="1"/>
  <c r="R192" i="1" s="1"/>
  <c r="S192" i="1" s="1"/>
  <c r="T192" i="1" s="1"/>
  <c r="H192" i="1"/>
  <c r="J192" i="1" s="1"/>
  <c r="P191" i="1"/>
  <c r="L191" i="1"/>
  <c r="M191" i="1" s="1"/>
  <c r="R191" i="1" s="1"/>
  <c r="S191" i="1" s="1"/>
  <c r="J191" i="1"/>
  <c r="H191" i="1"/>
  <c r="P190" i="1"/>
  <c r="M190" i="1"/>
  <c r="R190" i="1" s="1"/>
  <c r="S190" i="1" s="1"/>
  <c r="L190" i="1"/>
  <c r="H190" i="1"/>
  <c r="J190" i="1" s="1"/>
  <c r="P189" i="1"/>
  <c r="M189" i="1"/>
  <c r="R189" i="1" s="1"/>
  <c r="S189" i="1" s="1"/>
  <c r="L189" i="1"/>
  <c r="H189" i="1"/>
  <c r="J189" i="1" s="1"/>
  <c r="V188" i="1"/>
  <c r="W188" i="1" s="1"/>
  <c r="U188" i="1"/>
  <c r="R188" i="1"/>
  <c r="S188" i="1" s="1"/>
  <c r="T188" i="1" s="1"/>
  <c r="P188" i="1"/>
  <c r="L188" i="1"/>
  <c r="M188" i="1" s="1"/>
  <c r="H188" i="1"/>
  <c r="J188" i="1" s="1"/>
  <c r="P187" i="1"/>
  <c r="L187" i="1"/>
  <c r="M187" i="1" s="1"/>
  <c r="R187" i="1" s="1"/>
  <c r="S187" i="1" s="1"/>
  <c r="H187" i="1"/>
  <c r="J187" i="1" s="1"/>
  <c r="P186" i="1"/>
  <c r="L186" i="1"/>
  <c r="M186" i="1" s="1"/>
  <c r="R186" i="1" s="1"/>
  <c r="S186" i="1" s="1"/>
  <c r="H186" i="1"/>
  <c r="J186" i="1" s="1"/>
  <c r="T185" i="1"/>
  <c r="P185" i="1"/>
  <c r="M185" i="1"/>
  <c r="R185" i="1" s="1"/>
  <c r="S185" i="1" s="1"/>
  <c r="L185" i="1"/>
  <c r="H185" i="1"/>
  <c r="J185" i="1" s="1"/>
  <c r="P184" i="1"/>
  <c r="M184" i="1"/>
  <c r="R184" i="1" s="1"/>
  <c r="S184" i="1" s="1"/>
  <c r="L184" i="1"/>
  <c r="H184" i="1"/>
  <c r="J184" i="1" s="1"/>
  <c r="P183" i="1"/>
  <c r="L183" i="1"/>
  <c r="M183" i="1" s="1"/>
  <c r="R183" i="1" s="1"/>
  <c r="S183" i="1" s="1"/>
  <c r="H183" i="1"/>
  <c r="J183" i="1" s="1"/>
  <c r="W182" i="1"/>
  <c r="T182" i="1"/>
  <c r="P182" i="1"/>
  <c r="L182" i="1"/>
  <c r="M182" i="1" s="1"/>
  <c r="R182" i="1" s="1"/>
  <c r="S182" i="1" s="1"/>
  <c r="U182" i="1" s="1"/>
  <c r="V182" i="1" s="1"/>
  <c r="H182" i="1"/>
  <c r="J182" i="1" s="1"/>
  <c r="P181" i="1"/>
  <c r="M181" i="1"/>
  <c r="R181" i="1" s="1"/>
  <c r="S181" i="1" s="1"/>
  <c r="L181" i="1"/>
  <c r="J181" i="1"/>
  <c r="H181" i="1"/>
  <c r="P180" i="1"/>
  <c r="L180" i="1"/>
  <c r="M180" i="1" s="1"/>
  <c r="R180" i="1" s="1"/>
  <c r="S180" i="1" s="1"/>
  <c r="T180" i="1" s="1"/>
  <c r="J180" i="1"/>
  <c r="H180" i="1"/>
  <c r="W179" i="1"/>
  <c r="V179" i="1"/>
  <c r="U179" i="1"/>
  <c r="T179" i="1"/>
  <c r="P179" i="1"/>
  <c r="M179" i="1"/>
  <c r="R179" i="1" s="1"/>
  <c r="S179" i="1" s="1"/>
  <c r="L179" i="1"/>
  <c r="H179" i="1"/>
  <c r="J179" i="1" s="1"/>
  <c r="P178" i="1"/>
  <c r="R178" i="1" s="1"/>
  <c r="S178" i="1" s="1"/>
  <c r="L178" i="1"/>
  <c r="M178" i="1" s="1"/>
  <c r="J178" i="1"/>
  <c r="H178" i="1"/>
  <c r="P177" i="1"/>
  <c r="L177" i="1"/>
  <c r="M177" i="1" s="1"/>
  <c r="R177" i="1" s="1"/>
  <c r="S177" i="1" s="1"/>
  <c r="J177" i="1"/>
  <c r="H177" i="1"/>
  <c r="P176" i="1"/>
  <c r="L176" i="1"/>
  <c r="M176" i="1" s="1"/>
  <c r="R176" i="1" s="1"/>
  <c r="S176" i="1" s="1"/>
  <c r="J176" i="1"/>
  <c r="H176" i="1"/>
  <c r="P175" i="1"/>
  <c r="L175" i="1"/>
  <c r="M175" i="1" s="1"/>
  <c r="R175" i="1" s="1"/>
  <c r="S175" i="1" s="1"/>
  <c r="J175" i="1"/>
  <c r="H175" i="1"/>
  <c r="P174" i="1"/>
  <c r="L174" i="1"/>
  <c r="M174" i="1" s="1"/>
  <c r="J174" i="1"/>
  <c r="H174" i="1"/>
  <c r="R173" i="1"/>
  <c r="S173" i="1" s="1"/>
  <c r="T173" i="1" s="1"/>
  <c r="P173" i="1"/>
  <c r="L173" i="1"/>
  <c r="M173" i="1" s="1"/>
  <c r="J173" i="1"/>
  <c r="H173" i="1"/>
  <c r="P172" i="1"/>
  <c r="M172" i="1"/>
  <c r="R172" i="1" s="1"/>
  <c r="S172" i="1" s="1"/>
  <c r="L172" i="1"/>
  <c r="H172" i="1"/>
  <c r="J172" i="1" s="1"/>
  <c r="T171" i="1"/>
  <c r="P171" i="1"/>
  <c r="M171" i="1"/>
  <c r="R171" i="1" s="1"/>
  <c r="S171" i="1" s="1"/>
  <c r="U171" i="1" s="1"/>
  <c r="V171" i="1" s="1"/>
  <c r="W171" i="1" s="1"/>
  <c r="L171" i="1"/>
  <c r="H171" i="1"/>
  <c r="J171" i="1" s="1"/>
  <c r="R170" i="1"/>
  <c r="S170" i="1" s="1"/>
  <c r="P170" i="1"/>
  <c r="L170" i="1"/>
  <c r="M170" i="1" s="1"/>
  <c r="J170" i="1"/>
  <c r="H170" i="1"/>
  <c r="P169" i="1"/>
  <c r="M169" i="1"/>
  <c r="R169" i="1" s="1"/>
  <c r="S169" i="1" s="1"/>
  <c r="L169" i="1"/>
  <c r="J169" i="1"/>
  <c r="H169" i="1"/>
  <c r="P168" i="1"/>
  <c r="M168" i="1"/>
  <c r="R168" i="1" s="1"/>
  <c r="S168" i="1" s="1"/>
  <c r="L168" i="1"/>
  <c r="H168" i="1"/>
  <c r="J168" i="1" s="1"/>
  <c r="P167" i="1"/>
  <c r="L167" i="1"/>
  <c r="M167" i="1" s="1"/>
  <c r="R167" i="1" s="1"/>
  <c r="S167" i="1" s="1"/>
  <c r="J167" i="1"/>
  <c r="H167" i="1"/>
  <c r="P166" i="1"/>
  <c r="R166" i="1" s="1"/>
  <c r="S166" i="1" s="1"/>
  <c r="T166" i="1" s="1"/>
  <c r="L166" i="1"/>
  <c r="M166" i="1" s="1"/>
  <c r="H166" i="1"/>
  <c r="J166" i="1" s="1"/>
  <c r="U166" i="1" s="1"/>
  <c r="V166" i="1" s="1"/>
  <c r="W166" i="1" s="1"/>
  <c r="S165" i="1"/>
  <c r="P165" i="1"/>
  <c r="L165" i="1"/>
  <c r="M165" i="1" s="1"/>
  <c r="R165" i="1" s="1"/>
  <c r="H165" i="1"/>
  <c r="J165" i="1" s="1"/>
  <c r="R164" i="1"/>
  <c r="S164" i="1" s="1"/>
  <c r="P164" i="1"/>
  <c r="M164" i="1"/>
  <c r="L164" i="1"/>
  <c r="H164" i="1"/>
  <c r="J164" i="1" s="1"/>
  <c r="P163" i="1"/>
  <c r="M163" i="1"/>
  <c r="R163" i="1" s="1"/>
  <c r="S163" i="1" s="1"/>
  <c r="L163" i="1"/>
  <c r="H163" i="1"/>
  <c r="J163" i="1" s="1"/>
  <c r="P162" i="1"/>
  <c r="L162" i="1"/>
  <c r="M162" i="1" s="1"/>
  <c r="R162" i="1" s="1"/>
  <c r="S162" i="1" s="1"/>
  <c r="H162" i="1"/>
  <c r="J162" i="1" s="1"/>
  <c r="P161" i="1"/>
  <c r="R161" i="1" s="1"/>
  <c r="S161" i="1" s="1"/>
  <c r="M161" i="1"/>
  <c r="L161" i="1"/>
  <c r="H161" i="1"/>
  <c r="J161" i="1" s="1"/>
  <c r="P160" i="1"/>
  <c r="M160" i="1"/>
  <c r="R160" i="1" s="1"/>
  <c r="S160" i="1" s="1"/>
  <c r="L160" i="1"/>
  <c r="H160" i="1"/>
  <c r="J160" i="1" s="1"/>
  <c r="R159" i="1"/>
  <c r="S159" i="1" s="1"/>
  <c r="T159" i="1" s="1"/>
  <c r="P159" i="1"/>
  <c r="M159" i="1"/>
  <c r="L159" i="1"/>
  <c r="J159" i="1"/>
  <c r="U159" i="1" s="1"/>
  <c r="V159" i="1" s="1"/>
  <c r="W159" i="1" s="1"/>
  <c r="H159" i="1"/>
  <c r="P158" i="1"/>
  <c r="M158" i="1"/>
  <c r="R158" i="1" s="1"/>
  <c r="S158" i="1" s="1"/>
  <c r="L158" i="1"/>
  <c r="H158" i="1"/>
  <c r="J158" i="1" s="1"/>
  <c r="P157" i="1"/>
  <c r="L157" i="1"/>
  <c r="M157" i="1" s="1"/>
  <c r="R157" i="1" s="1"/>
  <c r="S157" i="1" s="1"/>
  <c r="H157" i="1"/>
  <c r="J157" i="1" s="1"/>
  <c r="R156" i="1"/>
  <c r="S156" i="1" s="1"/>
  <c r="P156" i="1"/>
  <c r="M156" i="1"/>
  <c r="L156" i="1"/>
  <c r="H156" i="1"/>
  <c r="J156" i="1" s="1"/>
  <c r="P155" i="1"/>
  <c r="M155" i="1"/>
  <c r="L155" i="1"/>
  <c r="H155" i="1"/>
  <c r="J155" i="1" s="1"/>
  <c r="P154" i="1"/>
  <c r="L154" i="1"/>
  <c r="M154" i="1" s="1"/>
  <c r="R154" i="1" s="1"/>
  <c r="S154" i="1" s="1"/>
  <c r="J154" i="1"/>
  <c r="H154" i="1"/>
  <c r="P153" i="1"/>
  <c r="M153" i="1"/>
  <c r="L153" i="1"/>
  <c r="H153" i="1"/>
  <c r="J153" i="1" s="1"/>
  <c r="P152" i="1"/>
  <c r="M152" i="1"/>
  <c r="R152" i="1" s="1"/>
  <c r="S152" i="1" s="1"/>
  <c r="L152" i="1"/>
  <c r="H152" i="1"/>
  <c r="J152" i="1" s="1"/>
  <c r="P151" i="1"/>
  <c r="L151" i="1"/>
  <c r="M151" i="1" s="1"/>
  <c r="R151" i="1" s="1"/>
  <c r="S151" i="1" s="1"/>
  <c r="H151" i="1"/>
  <c r="J151" i="1" s="1"/>
  <c r="P150" i="1"/>
  <c r="L150" i="1"/>
  <c r="M150" i="1" s="1"/>
  <c r="R150" i="1" s="1"/>
  <c r="S150" i="1" s="1"/>
  <c r="U150" i="1" s="1"/>
  <c r="V150" i="1" s="1"/>
  <c r="W150" i="1" s="1"/>
  <c r="J150" i="1"/>
  <c r="H150" i="1"/>
  <c r="R149" i="1"/>
  <c r="S149" i="1" s="1"/>
  <c r="T149" i="1" s="1"/>
  <c r="P149" i="1"/>
  <c r="M149" i="1"/>
  <c r="L149" i="1"/>
  <c r="J149" i="1"/>
  <c r="H149" i="1"/>
  <c r="P148" i="1"/>
  <c r="L148" i="1"/>
  <c r="M148" i="1" s="1"/>
  <c r="H148" i="1"/>
  <c r="J148" i="1" s="1"/>
  <c r="P147" i="1"/>
  <c r="M147" i="1"/>
  <c r="R147" i="1" s="1"/>
  <c r="S147" i="1" s="1"/>
  <c r="T147" i="1" s="1"/>
  <c r="L147" i="1"/>
  <c r="J147" i="1"/>
  <c r="H147" i="1"/>
  <c r="P146" i="1"/>
  <c r="M146" i="1"/>
  <c r="R146" i="1" s="1"/>
  <c r="S146" i="1" s="1"/>
  <c r="L146" i="1"/>
  <c r="J146" i="1"/>
  <c r="H146" i="1"/>
  <c r="P145" i="1"/>
  <c r="L145" i="1"/>
  <c r="M145" i="1" s="1"/>
  <c r="H145" i="1"/>
  <c r="J145" i="1" s="1"/>
  <c r="P144" i="1"/>
  <c r="L144" i="1"/>
  <c r="M144" i="1" s="1"/>
  <c r="R144" i="1" s="1"/>
  <c r="S144" i="1" s="1"/>
  <c r="J144" i="1"/>
  <c r="H144" i="1"/>
  <c r="P143" i="1"/>
  <c r="M143" i="1"/>
  <c r="R143" i="1" s="1"/>
  <c r="S143" i="1" s="1"/>
  <c r="L143" i="1"/>
  <c r="J143" i="1"/>
  <c r="H143" i="1"/>
  <c r="P142" i="1"/>
  <c r="L142" i="1"/>
  <c r="M142" i="1" s="1"/>
  <c r="J142" i="1"/>
  <c r="H142" i="1"/>
  <c r="U141" i="1"/>
  <c r="V141" i="1" s="1"/>
  <c r="W141" i="1" s="1"/>
  <c r="P141" i="1"/>
  <c r="L141" i="1"/>
  <c r="M141" i="1" s="1"/>
  <c r="R141" i="1" s="1"/>
  <c r="S141" i="1" s="1"/>
  <c r="T141" i="1" s="1"/>
  <c r="J141" i="1"/>
  <c r="H141" i="1"/>
  <c r="P140" i="1"/>
  <c r="L140" i="1"/>
  <c r="M140" i="1" s="1"/>
  <c r="R140" i="1" s="1"/>
  <c r="S140" i="1" s="1"/>
  <c r="H140" i="1"/>
  <c r="J140" i="1" s="1"/>
  <c r="T139" i="1"/>
  <c r="P139" i="1"/>
  <c r="M139" i="1"/>
  <c r="R139" i="1" s="1"/>
  <c r="S139" i="1" s="1"/>
  <c r="L139" i="1"/>
  <c r="H139" i="1"/>
  <c r="J139" i="1" s="1"/>
  <c r="R138" i="1"/>
  <c r="S138" i="1" s="1"/>
  <c r="T138" i="1" s="1"/>
  <c r="P138" i="1"/>
  <c r="M138" i="1"/>
  <c r="L138" i="1"/>
  <c r="J138" i="1"/>
  <c r="H138" i="1"/>
  <c r="P137" i="1"/>
  <c r="M137" i="1"/>
  <c r="L137" i="1"/>
  <c r="J137" i="1"/>
  <c r="H137" i="1"/>
  <c r="P136" i="1"/>
  <c r="M136" i="1"/>
  <c r="R136" i="1" s="1"/>
  <c r="S136" i="1" s="1"/>
  <c r="L136" i="1"/>
  <c r="J136" i="1"/>
  <c r="H136" i="1"/>
  <c r="P135" i="1"/>
  <c r="R135" i="1" s="1"/>
  <c r="S135" i="1" s="1"/>
  <c r="M135" i="1"/>
  <c r="L135" i="1"/>
  <c r="J135" i="1"/>
  <c r="H135" i="1"/>
  <c r="P134" i="1"/>
  <c r="L134" i="1"/>
  <c r="M134" i="1" s="1"/>
  <c r="R134" i="1" s="1"/>
  <c r="S134" i="1" s="1"/>
  <c r="H134" i="1"/>
  <c r="J134" i="1" s="1"/>
  <c r="P133" i="1"/>
  <c r="M133" i="1"/>
  <c r="R133" i="1" s="1"/>
  <c r="S133" i="1" s="1"/>
  <c r="L133" i="1"/>
  <c r="J133" i="1"/>
  <c r="H133" i="1"/>
  <c r="R132" i="1"/>
  <c r="S132" i="1" s="1"/>
  <c r="P132" i="1"/>
  <c r="L132" i="1"/>
  <c r="M132" i="1" s="1"/>
  <c r="J132" i="1"/>
  <c r="H132" i="1"/>
  <c r="P131" i="1"/>
  <c r="R131" i="1" s="1"/>
  <c r="S131" i="1" s="1"/>
  <c r="L131" i="1"/>
  <c r="M131" i="1" s="1"/>
  <c r="H131" i="1"/>
  <c r="J131" i="1" s="1"/>
  <c r="P130" i="1"/>
  <c r="L130" i="1"/>
  <c r="M130" i="1" s="1"/>
  <c r="R130" i="1" s="1"/>
  <c r="S130" i="1" s="1"/>
  <c r="J130" i="1"/>
  <c r="H130" i="1"/>
  <c r="S129" i="1"/>
  <c r="U129" i="1" s="1"/>
  <c r="V129" i="1" s="1"/>
  <c r="W129" i="1" s="1"/>
  <c r="P129" i="1"/>
  <c r="M129" i="1"/>
  <c r="R129" i="1" s="1"/>
  <c r="L129" i="1"/>
  <c r="J129" i="1"/>
  <c r="H129" i="1"/>
  <c r="R128" i="1"/>
  <c r="S128" i="1" s="1"/>
  <c r="U128" i="1" s="1"/>
  <c r="V128" i="1" s="1"/>
  <c r="W128" i="1" s="1"/>
  <c r="P128" i="1"/>
  <c r="M128" i="1"/>
  <c r="L128" i="1"/>
  <c r="J128" i="1"/>
  <c r="H128" i="1"/>
  <c r="P127" i="1"/>
  <c r="M127" i="1"/>
  <c r="R127" i="1" s="1"/>
  <c r="S127" i="1" s="1"/>
  <c r="L127" i="1"/>
  <c r="J127" i="1"/>
  <c r="H127" i="1"/>
  <c r="W126" i="1"/>
  <c r="U126" i="1"/>
  <c r="V126" i="1" s="1"/>
  <c r="S126" i="1"/>
  <c r="T126" i="1" s="1"/>
  <c r="P126" i="1"/>
  <c r="M126" i="1"/>
  <c r="R126" i="1" s="1"/>
  <c r="L126" i="1"/>
  <c r="H126" i="1"/>
  <c r="J126" i="1" s="1"/>
  <c r="P125" i="1"/>
  <c r="L125" i="1"/>
  <c r="M125" i="1" s="1"/>
  <c r="R125" i="1" s="1"/>
  <c r="S125" i="1" s="1"/>
  <c r="J125" i="1"/>
  <c r="H125" i="1"/>
  <c r="P124" i="1"/>
  <c r="L124" i="1"/>
  <c r="M124" i="1" s="1"/>
  <c r="R124" i="1" s="1"/>
  <c r="S124" i="1" s="1"/>
  <c r="H124" i="1"/>
  <c r="J124" i="1" s="1"/>
  <c r="R123" i="1"/>
  <c r="S123" i="1" s="1"/>
  <c r="U123" i="1" s="1"/>
  <c r="V123" i="1" s="1"/>
  <c r="W123" i="1" s="1"/>
  <c r="P123" i="1"/>
  <c r="M123" i="1"/>
  <c r="L123" i="1"/>
  <c r="H123" i="1"/>
  <c r="J123" i="1" s="1"/>
  <c r="U122" i="1"/>
  <c r="V122" i="1" s="1"/>
  <c r="W122" i="1" s="1"/>
  <c r="R122" i="1"/>
  <c r="S122" i="1" s="1"/>
  <c r="T122" i="1" s="1"/>
  <c r="P122" i="1"/>
  <c r="M122" i="1"/>
  <c r="L122" i="1"/>
  <c r="H122" i="1"/>
  <c r="J122" i="1" s="1"/>
  <c r="R121" i="1"/>
  <c r="S121" i="1" s="1"/>
  <c r="P121" i="1"/>
  <c r="L121" i="1"/>
  <c r="M121" i="1" s="1"/>
  <c r="J121" i="1"/>
  <c r="H121" i="1"/>
  <c r="R120" i="1"/>
  <c r="S120" i="1" s="1"/>
  <c r="T120" i="1" s="1"/>
  <c r="P120" i="1"/>
  <c r="L120" i="1"/>
  <c r="M120" i="1" s="1"/>
  <c r="H120" i="1"/>
  <c r="J120" i="1" s="1"/>
  <c r="P119" i="1"/>
  <c r="M119" i="1"/>
  <c r="R119" i="1" s="1"/>
  <c r="S119" i="1" s="1"/>
  <c r="L119" i="1"/>
  <c r="J119" i="1"/>
  <c r="H119" i="1"/>
  <c r="P118" i="1"/>
  <c r="R118" i="1" s="1"/>
  <c r="S118" i="1" s="1"/>
  <c r="L118" i="1"/>
  <c r="M118" i="1" s="1"/>
  <c r="H118" i="1"/>
  <c r="J118" i="1" s="1"/>
  <c r="S117" i="1"/>
  <c r="U117" i="1" s="1"/>
  <c r="V117" i="1" s="1"/>
  <c r="W117" i="1" s="1"/>
  <c r="P117" i="1"/>
  <c r="M117" i="1"/>
  <c r="R117" i="1" s="1"/>
  <c r="L117" i="1"/>
  <c r="J117" i="1"/>
  <c r="H117" i="1"/>
  <c r="S116" i="1"/>
  <c r="P116" i="1"/>
  <c r="L116" i="1"/>
  <c r="M116" i="1" s="1"/>
  <c r="R116" i="1" s="1"/>
  <c r="J116" i="1"/>
  <c r="H116" i="1"/>
  <c r="P115" i="1"/>
  <c r="L115" i="1"/>
  <c r="M115" i="1" s="1"/>
  <c r="R115" i="1" s="1"/>
  <c r="S115" i="1" s="1"/>
  <c r="J115" i="1"/>
  <c r="H115" i="1"/>
  <c r="P114" i="1"/>
  <c r="L114" i="1"/>
  <c r="M114" i="1" s="1"/>
  <c r="R114" i="1" s="1"/>
  <c r="S114" i="1" s="1"/>
  <c r="J114" i="1"/>
  <c r="H114" i="1"/>
  <c r="R113" i="1"/>
  <c r="S113" i="1" s="1"/>
  <c r="P113" i="1"/>
  <c r="L113" i="1"/>
  <c r="M113" i="1" s="1"/>
  <c r="J113" i="1"/>
  <c r="H113" i="1"/>
  <c r="P112" i="1"/>
  <c r="M112" i="1"/>
  <c r="R112" i="1" s="1"/>
  <c r="S112" i="1" s="1"/>
  <c r="L112" i="1"/>
  <c r="J112" i="1"/>
  <c r="H112" i="1"/>
  <c r="R111" i="1"/>
  <c r="S111" i="1" s="1"/>
  <c r="P111" i="1"/>
  <c r="L111" i="1"/>
  <c r="M111" i="1" s="1"/>
  <c r="H111" i="1"/>
  <c r="J111" i="1" s="1"/>
  <c r="P110" i="1"/>
  <c r="L110" i="1"/>
  <c r="M110" i="1" s="1"/>
  <c r="R110" i="1" s="1"/>
  <c r="S110" i="1" s="1"/>
  <c r="H110" i="1"/>
  <c r="J110" i="1" s="1"/>
  <c r="P109" i="1"/>
  <c r="M109" i="1"/>
  <c r="R109" i="1" s="1"/>
  <c r="S109" i="1" s="1"/>
  <c r="L109" i="1"/>
  <c r="J109" i="1"/>
  <c r="H109" i="1"/>
  <c r="S108" i="1"/>
  <c r="P108" i="1"/>
  <c r="L108" i="1"/>
  <c r="M108" i="1" s="1"/>
  <c r="R108" i="1" s="1"/>
  <c r="H108" i="1"/>
  <c r="J108" i="1" s="1"/>
  <c r="P107" i="1"/>
  <c r="M107" i="1"/>
  <c r="R107" i="1" s="1"/>
  <c r="S107" i="1" s="1"/>
  <c r="L107" i="1"/>
  <c r="J107" i="1"/>
  <c r="H107" i="1"/>
  <c r="P106" i="1"/>
  <c r="L106" i="1"/>
  <c r="M106" i="1" s="1"/>
  <c r="R106" i="1" s="1"/>
  <c r="S106" i="1" s="1"/>
  <c r="H106" i="1"/>
  <c r="J106" i="1" s="1"/>
  <c r="P105" i="1"/>
  <c r="L105" i="1"/>
  <c r="M105" i="1" s="1"/>
  <c r="R105" i="1" s="1"/>
  <c r="S105" i="1" s="1"/>
  <c r="H105" i="1"/>
  <c r="J105" i="1" s="1"/>
  <c r="P104" i="1"/>
  <c r="L104" i="1"/>
  <c r="M104" i="1" s="1"/>
  <c r="R104" i="1" s="1"/>
  <c r="S104" i="1" s="1"/>
  <c r="H104" i="1"/>
  <c r="J104" i="1" s="1"/>
  <c r="P103" i="1"/>
  <c r="M103" i="1"/>
  <c r="R103" i="1" s="1"/>
  <c r="S103" i="1" s="1"/>
  <c r="T103" i="1" s="1"/>
  <c r="L103" i="1"/>
  <c r="J103" i="1"/>
  <c r="H103" i="1"/>
  <c r="P102" i="1"/>
  <c r="L102" i="1"/>
  <c r="M102" i="1" s="1"/>
  <c r="R102" i="1" s="1"/>
  <c r="S102" i="1" s="1"/>
  <c r="J102" i="1"/>
  <c r="H102" i="1"/>
  <c r="P101" i="1"/>
  <c r="R101" i="1" s="1"/>
  <c r="S101" i="1" s="1"/>
  <c r="M101" i="1"/>
  <c r="L101" i="1"/>
  <c r="J101" i="1"/>
  <c r="H101" i="1"/>
  <c r="P100" i="1"/>
  <c r="L100" i="1"/>
  <c r="M100" i="1" s="1"/>
  <c r="H100" i="1"/>
  <c r="J100" i="1" s="1"/>
  <c r="P99" i="1"/>
  <c r="L99" i="1"/>
  <c r="M99" i="1" s="1"/>
  <c r="R99" i="1" s="1"/>
  <c r="S99" i="1" s="1"/>
  <c r="J99" i="1"/>
  <c r="H99" i="1"/>
  <c r="P98" i="1"/>
  <c r="R98" i="1" s="1"/>
  <c r="S98" i="1" s="1"/>
  <c r="L98" i="1"/>
  <c r="M98" i="1" s="1"/>
  <c r="H98" i="1"/>
  <c r="J98" i="1" s="1"/>
  <c r="P97" i="1"/>
  <c r="M97" i="1"/>
  <c r="R97" i="1" s="1"/>
  <c r="S97" i="1" s="1"/>
  <c r="L97" i="1"/>
  <c r="H97" i="1"/>
  <c r="J97" i="1" s="1"/>
  <c r="P96" i="1"/>
  <c r="R96" i="1" s="1"/>
  <c r="S96" i="1" s="1"/>
  <c r="L96" i="1"/>
  <c r="M96" i="1" s="1"/>
  <c r="H96" i="1"/>
  <c r="J96" i="1" s="1"/>
  <c r="R95" i="1"/>
  <c r="S95" i="1" s="1"/>
  <c r="P95" i="1"/>
  <c r="M95" i="1"/>
  <c r="L95" i="1"/>
  <c r="H95" i="1"/>
  <c r="J95" i="1" s="1"/>
  <c r="U94" i="1"/>
  <c r="V94" i="1" s="1"/>
  <c r="W94" i="1" s="1"/>
  <c r="S94" i="1"/>
  <c r="T94" i="1" s="1"/>
  <c r="P94" i="1"/>
  <c r="M94" i="1"/>
  <c r="R94" i="1" s="1"/>
  <c r="L94" i="1"/>
  <c r="H94" i="1"/>
  <c r="J94" i="1" s="1"/>
  <c r="P93" i="1"/>
  <c r="R93" i="1" s="1"/>
  <c r="S93" i="1" s="1"/>
  <c r="M93" i="1"/>
  <c r="L93" i="1"/>
  <c r="J93" i="1"/>
  <c r="H93" i="1"/>
  <c r="P92" i="1"/>
  <c r="L92" i="1"/>
  <c r="M92" i="1" s="1"/>
  <c r="H92" i="1"/>
  <c r="J92" i="1" s="1"/>
  <c r="P91" i="1"/>
  <c r="M91" i="1"/>
  <c r="R91" i="1" s="1"/>
  <c r="S91" i="1" s="1"/>
  <c r="L91" i="1"/>
  <c r="J91" i="1"/>
  <c r="H91" i="1"/>
  <c r="P90" i="1"/>
  <c r="L90" i="1"/>
  <c r="M90" i="1" s="1"/>
  <c r="R90" i="1" s="1"/>
  <c r="S90" i="1" s="1"/>
  <c r="H90" i="1"/>
  <c r="J90" i="1" s="1"/>
  <c r="P89" i="1"/>
  <c r="L89" i="1"/>
  <c r="M89" i="1" s="1"/>
  <c r="R89" i="1" s="1"/>
  <c r="S89" i="1" s="1"/>
  <c r="H89" i="1"/>
  <c r="J89" i="1" s="1"/>
  <c r="P88" i="1"/>
  <c r="L88" i="1"/>
  <c r="M88" i="1" s="1"/>
  <c r="R88" i="1" s="1"/>
  <c r="S88" i="1" s="1"/>
  <c r="H88" i="1"/>
  <c r="J88" i="1" s="1"/>
  <c r="P87" i="1"/>
  <c r="M87" i="1"/>
  <c r="R87" i="1" s="1"/>
  <c r="S87" i="1" s="1"/>
  <c r="L87" i="1"/>
  <c r="H87" i="1"/>
  <c r="J87" i="1" s="1"/>
  <c r="P86" i="1"/>
  <c r="M86" i="1"/>
  <c r="R86" i="1" s="1"/>
  <c r="S86" i="1" s="1"/>
  <c r="L86" i="1"/>
  <c r="H86" i="1"/>
  <c r="J86" i="1" s="1"/>
  <c r="P85" i="1"/>
  <c r="M85" i="1"/>
  <c r="R85" i="1" s="1"/>
  <c r="S85" i="1" s="1"/>
  <c r="L85" i="1"/>
  <c r="J85" i="1"/>
  <c r="H85" i="1"/>
  <c r="S84" i="1"/>
  <c r="T84" i="1" s="1"/>
  <c r="P84" i="1"/>
  <c r="L84" i="1"/>
  <c r="M84" i="1" s="1"/>
  <c r="R84" i="1" s="1"/>
  <c r="J84" i="1"/>
  <c r="H84" i="1"/>
  <c r="P83" i="1"/>
  <c r="L83" i="1"/>
  <c r="M83" i="1" s="1"/>
  <c r="R83" i="1" s="1"/>
  <c r="S83" i="1" s="1"/>
  <c r="J83" i="1"/>
  <c r="H83" i="1"/>
  <c r="P82" i="1"/>
  <c r="L82" i="1"/>
  <c r="M82" i="1" s="1"/>
  <c r="R82" i="1" s="1"/>
  <c r="S82" i="1" s="1"/>
  <c r="H82" i="1"/>
  <c r="J82" i="1" s="1"/>
  <c r="P81" i="1"/>
  <c r="L81" i="1"/>
  <c r="M81" i="1" s="1"/>
  <c r="R81" i="1" s="1"/>
  <c r="S81" i="1" s="1"/>
  <c r="J81" i="1"/>
  <c r="H81" i="1"/>
  <c r="P80" i="1"/>
  <c r="M80" i="1"/>
  <c r="R80" i="1" s="1"/>
  <c r="S80" i="1" s="1"/>
  <c r="L80" i="1"/>
  <c r="H80" i="1"/>
  <c r="J80" i="1" s="1"/>
  <c r="R79" i="1"/>
  <c r="S79" i="1" s="1"/>
  <c r="P79" i="1"/>
  <c r="M79" i="1"/>
  <c r="L79" i="1"/>
  <c r="H79" i="1"/>
  <c r="J79" i="1" s="1"/>
  <c r="P78" i="1"/>
  <c r="L78" i="1"/>
  <c r="M78" i="1" s="1"/>
  <c r="R78" i="1" s="1"/>
  <c r="S78" i="1" s="1"/>
  <c r="J78" i="1"/>
  <c r="H78" i="1"/>
  <c r="R77" i="1"/>
  <c r="S77" i="1" s="1"/>
  <c r="P77" i="1"/>
  <c r="M77" i="1"/>
  <c r="L77" i="1"/>
  <c r="J77" i="1"/>
  <c r="H77" i="1"/>
  <c r="P76" i="1"/>
  <c r="L76" i="1"/>
  <c r="M76" i="1" s="1"/>
  <c r="R76" i="1" s="1"/>
  <c r="S76" i="1" s="1"/>
  <c r="H76" i="1"/>
  <c r="J76" i="1" s="1"/>
  <c r="P75" i="1"/>
  <c r="L75" i="1"/>
  <c r="M75" i="1" s="1"/>
  <c r="R75" i="1" s="1"/>
  <c r="S75" i="1" s="1"/>
  <c r="J75" i="1"/>
  <c r="H75" i="1"/>
  <c r="P74" i="1"/>
  <c r="L74" i="1"/>
  <c r="M74" i="1" s="1"/>
  <c r="R74" i="1" s="1"/>
  <c r="S74" i="1" s="1"/>
  <c r="H74" i="1"/>
  <c r="J74" i="1" s="1"/>
  <c r="P73" i="1"/>
  <c r="L73" i="1"/>
  <c r="M73" i="1" s="1"/>
  <c r="R73" i="1" s="1"/>
  <c r="S73" i="1" s="1"/>
  <c r="J73" i="1"/>
  <c r="H73" i="1"/>
  <c r="P72" i="1"/>
  <c r="L72" i="1"/>
  <c r="M72" i="1" s="1"/>
  <c r="R72" i="1" s="1"/>
  <c r="S72" i="1" s="1"/>
  <c r="H72" i="1"/>
  <c r="J72" i="1" s="1"/>
  <c r="P71" i="1"/>
  <c r="M71" i="1"/>
  <c r="R71" i="1" s="1"/>
  <c r="S71" i="1" s="1"/>
  <c r="T71" i="1" s="1"/>
  <c r="L71" i="1"/>
  <c r="H71" i="1"/>
  <c r="J71" i="1" s="1"/>
  <c r="P70" i="1"/>
  <c r="L70" i="1"/>
  <c r="M70" i="1" s="1"/>
  <c r="R70" i="1" s="1"/>
  <c r="S70" i="1" s="1"/>
  <c r="J70" i="1"/>
  <c r="H70" i="1"/>
  <c r="P69" i="1"/>
  <c r="R69" i="1" s="1"/>
  <c r="S69" i="1" s="1"/>
  <c r="M69" i="1"/>
  <c r="L69" i="1"/>
  <c r="J69" i="1"/>
  <c r="H69" i="1"/>
  <c r="P68" i="1"/>
  <c r="L68" i="1"/>
  <c r="M68" i="1" s="1"/>
  <c r="H68" i="1"/>
  <c r="J68" i="1" s="1"/>
  <c r="P67" i="1"/>
  <c r="L67" i="1"/>
  <c r="M67" i="1" s="1"/>
  <c r="R67" i="1" s="1"/>
  <c r="S67" i="1" s="1"/>
  <c r="J67" i="1"/>
  <c r="H67" i="1"/>
  <c r="P66" i="1"/>
  <c r="R66" i="1" s="1"/>
  <c r="S66" i="1" s="1"/>
  <c r="L66" i="1"/>
  <c r="M66" i="1" s="1"/>
  <c r="H66" i="1"/>
  <c r="J66" i="1" s="1"/>
  <c r="P65" i="1"/>
  <c r="M65" i="1"/>
  <c r="R65" i="1" s="1"/>
  <c r="S65" i="1" s="1"/>
  <c r="L65" i="1"/>
  <c r="H65" i="1"/>
  <c r="J65" i="1" s="1"/>
  <c r="P64" i="1"/>
  <c r="R64" i="1" s="1"/>
  <c r="S64" i="1" s="1"/>
  <c r="L64" i="1"/>
  <c r="M64" i="1" s="1"/>
  <c r="H64" i="1"/>
  <c r="J64" i="1" s="1"/>
  <c r="R63" i="1"/>
  <c r="S63" i="1" s="1"/>
  <c r="P63" i="1"/>
  <c r="M63" i="1"/>
  <c r="L63" i="1"/>
  <c r="H63" i="1"/>
  <c r="J63" i="1" s="1"/>
  <c r="U62" i="1"/>
  <c r="V62" i="1" s="1"/>
  <c r="W62" i="1" s="1"/>
  <c r="S62" i="1"/>
  <c r="T62" i="1" s="1"/>
  <c r="P62" i="1"/>
  <c r="M62" i="1"/>
  <c r="R62" i="1" s="1"/>
  <c r="L62" i="1"/>
  <c r="H62" i="1"/>
  <c r="J62" i="1" s="1"/>
  <c r="P61" i="1"/>
  <c r="R61" i="1" s="1"/>
  <c r="S61" i="1" s="1"/>
  <c r="M61" i="1"/>
  <c r="L61" i="1"/>
  <c r="J61" i="1"/>
  <c r="H61" i="1"/>
  <c r="P60" i="1"/>
  <c r="L60" i="1"/>
  <c r="M60" i="1" s="1"/>
  <c r="H60" i="1"/>
  <c r="J60" i="1" s="1"/>
  <c r="P59" i="1"/>
  <c r="M59" i="1"/>
  <c r="R59" i="1" s="1"/>
  <c r="S59" i="1" s="1"/>
  <c r="L59" i="1"/>
  <c r="J59" i="1"/>
  <c r="H59" i="1"/>
  <c r="P58" i="1"/>
  <c r="L58" i="1"/>
  <c r="M58" i="1" s="1"/>
  <c r="R58" i="1" s="1"/>
  <c r="S58" i="1" s="1"/>
  <c r="H58" i="1"/>
  <c r="J58" i="1" s="1"/>
  <c r="P57" i="1"/>
  <c r="L57" i="1"/>
  <c r="M57" i="1" s="1"/>
  <c r="R57" i="1" s="1"/>
  <c r="S57" i="1" s="1"/>
  <c r="H57" i="1"/>
  <c r="J57" i="1" s="1"/>
  <c r="P56" i="1"/>
  <c r="L56" i="1"/>
  <c r="M56" i="1" s="1"/>
  <c r="R56" i="1" s="1"/>
  <c r="S56" i="1" s="1"/>
  <c r="H56" i="1"/>
  <c r="J56" i="1" s="1"/>
  <c r="P55" i="1"/>
  <c r="M55" i="1"/>
  <c r="R55" i="1" s="1"/>
  <c r="S55" i="1" s="1"/>
  <c r="L55" i="1"/>
  <c r="H55" i="1"/>
  <c r="J55" i="1" s="1"/>
  <c r="P54" i="1"/>
  <c r="M54" i="1"/>
  <c r="R54" i="1" s="1"/>
  <c r="S54" i="1" s="1"/>
  <c r="L54" i="1"/>
  <c r="H54" i="1"/>
  <c r="J54" i="1" s="1"/>
  <c r="P53" i="1"/>
  <c r="M53" i="1"/>
  <c r="R53" i="1" s="1"/>
  <c r="S53" i="1" s="1"/>
  <c r="L53" i="1"/>
  <c r="J53" i="1"/>
  <c r="H53" i="1"/>
  <c r="S52" i="1"/>
  <c r="U52" i="1" s="1"/>
  <c r="V52" i="1" s="1"/>
  <c r="W52" i="1" s="1"/>
  <c r="P52" i="1"/>
  <c r="L52" i="1"/>
  <c r="M52" i="1" s="1"/>
  <c r="R52" i="1" s="1"/>
  <c r="J52" i="1"/>
  <c r="H52" i="1"/>
  <c r="P51" i="1"/>
  <c r="L51" i="1"/>
  <c r="M51" i="1" s="1"/>
  <c r="R51" i="1" s="1"/>
  <c r="S51" i="1" s="1"/>
  <c r="J51" i="1"/>
  <c r="H51" i="1"/>
  <c r="P50" i="1"/>
  <c r="L50" i="1"/>
  <c r="M50" i="1" s="1"/>
  <c r="R50" i="1" s="1"/>
  <c r="S50" i="1" s="1"/>
  <c r="H50" i="1"/>
  <c r="J50" i="1" s="1"/>
  <c r="R49" i="1"/>
  <c r="S49" i="1" s="1"/>
  <c r="P49" i="1"/>
  <c r="L49" i="1"/>
  <c r="M49" i="1" s="1"/>
  <c r="J49" i="1"/>
  <c r="H49" i="1"/>
  <c r="P48" i="1"/>
  <c r="M48" i="1"/>
  <c r="R48" i="1" s="1"/>
  <c r="S48" i="1" s="1"/>
  <c r="L48" i="1"/>
  <c r="H48" i="1"/>
  <c r="J48" i="1" s="1"/>
  <c r="R47" i="1"/>
  <c r="S47" i="1" s="1"/>
  <c r="P47" i="1"/>
  <c r="M47" i="1"/>
  <c r="L47" i="1"/>
  <c r="H47" i="1"/>
  <c r="J47" i="1" s="1"/>
  <c r="P46" i="1"/>
  <c r="L46" i="1"/>
  <c r="M46" i="1" s="1"/>
  <c r="R46" i="1" s="1"/>
  <c r="S46" i="1" s="1"/>
  <c r="H46" i="1"/>
  <c r="J46" i="1" s="1"/>
  <c r="P45" i="1"/>
  <c r="R45" i="1" s="1"/>
  <c r="S45" i="1" s="1"/>
  <c r="M45" i="1"/>
  <c r="L45" i="1"/>
  <c r="H45" i="1"/>
  <c r="J45" i="1" s="1"/>
  <c r="P44" i="1"/>
  <c r="L44" i="1"/>
  <c r="M44" i="1" s="1"/>
  <c r="H44" i="1"/>
  <c r="J44" i="1" s="1"/>
  <c r="P43" i="1"/>
  <c r="M43" i="1"/>
  <c r="R43" i="1" s="1"/>
  <c r="S43" i="1" s="1"/>
  <c r="L43" i="1"/>
  <c r="J43" i="1"/>
  <c r="H43" i="1"/>
  <c r="P42" i="1"/>
  <c r="L42" i="1"/>
  <c r="M42" i="1" s="1"/>
  <c r="H42" i="1"/>
  <c r="J42" i="1" s="1"/>
  <c r="P41" i="1"/>
  <c r="M41" i="1"/>
  <c r="R41" i="1" s="1"/>
  <c r="S41" i="1" s="1"/>
  <c r="L41" i="1"/>
  <c r="H41" i="1"/>
  <c r="J41" i="1" s="1"/>
  <c r="P40" i="1"/>
  <c r="R40" i="1" s="1"/>
  <c r="S40" i="1" s="1"/>
  <c r="M40" i="1"/>
  <c r="L40" i="1"/>
  <c r="H40" i="1"/>
  <c r="J40" i="1" s="1"/>
  <c r="P39" i="1"/>
  <c r="M39" i="1"/>
  <c r="R39" i="1" s="1"/>
  <c r="S39" i="1" s="1"/>
  <c r="L39" i="1"/>
  <c r="H39" i="1"/>
  <c r="J39" i="1" s="1"/>
  <c r="P38" i="1"/>
  <c r="L38" i="1"/>
  <c r="M38" i="1" s="1"/>
  <c r="R38" i="1" s="1"/>
  <c r="S38" i="1" s="1"/>
  <c r="H38" i="1"/>
  <c r="J38" i="1" s="1"/>
  <c r="P37" i="1"/>
  <c r="M37" i="1"/>
  <c r="R37" i="1" s="1"/>
  <c r="S37" i="1" s="1"/>
  <c r="L37" i="1"/>
  <c r="J37" i="1"/>
  <c r="H37" i="1"/>
  <c r="P36" i="1"/>
  <c r="M36" i="1"/>
  <c r="R36" i="1" s="1"/>
  <c r="S36" i="1" s="1"/>
  <c r="L36" i="1"/>
  <c r="H36" i="1"/>
  <c r="J36" i="1" s="1"/>
  <c r="R35" i="1"/>
  <c r="S35" i="1" s="1"/>
  <c r="U35" i="1" s="1"/>
  <c r="V35" i="1" s="1"/>
  <c r="W35" i="1" s="1"/>
  <c r="P35" i="1"/>
  <c r="M35" i="1"/>
  <c r="L35" i="1"/>
  <c r="J35" i="1"/>
  <c r="H35" i="1"/>
  <c r="P34" i="1"/>
  <c r="L34" i="1"/>
  <c r="M34" i="1" s="1"/>
  <c r="R34" i="1" s="1"/>
  <c r="S34" i="1" s="1"/>
  <c r="H34" i="1"/>
  <c r="J34" i="1" s="1"/>
  <c r="P33" i="1"/>
  <c r="L33" i="1"/>
  <c r="M33" i="1" s="1"/>
  <c r="R33" i="1" s="1"/>
  <c r="S33" i="1" s="1"/>
  <c r="U33" i="1" s="1"/>
  <c r="V33" i="1" s="1"/>
  <c r="W33" i="1" s="1"/>
  <c r="H33" i="1"/>
  <c r="J33" i="1" s="1"/>
  <c r="P32" i="1"/>
  <c r="L32" i="1"/>
  <c r="M32" i="1" s="1"/>
  <c r="R32" i="1" s="1"/>
  <c r="S32" i="1" s="1"/>
  <c r="J32" i="1"/>
  <c r="H32" i="1"/>
  <c r="P31" i="1"/>
  <c r="M31" i="1"/>
  <c r="R31" i="1" s="1"/>
  <c r="S31" i="1" s="1"/>
  <c r="L31" i="1"/>
  <c r="H31" i="1"/>
  <c r="J31" i="1" s="1"/>
  <c r="P30" i="1"/>
  <c r="L30" i="1"/>
  <c r="M30" i="1" s="1"/>
  <c r="R30" i="1" s="1"/>
  <c r="S30" i="1" s="1"/>
  <c r="J30" i="1"/>
  <c r="H30" i="1"/>
  <c r="P29" i="1"/>
  <c r="L29" i="1"/>
  <c r="M29" i="1" s="1"/>
  <c r="R29" i="1" s="1"/>
  <c r="S29" i="1" s="1"/>
  <c r="J29" i="1"/>
  <c r="H29" i="1"/>
  <c r="P28" i="1"/>
  <c r="L28" i="1"/>
  <c r="M28" i="1" s="1"/>
  <c r="H28" i="1"/>
  <c r="J28" i="1" s="1"/>
  <c r="P27" i="1"/>
  <c r="L27" i="1"/>
  <c r="M27" i="1" s="1"/>
  <c r="R27" i="1" s="1"/>
  <c r="S27" i="1" s="1"/>
  <c r="J27" i="1"/>
  <c r="H27" i="1"/>
  <c r="R26" i="1"/>
  <c r="S26" i="1" s="1"/>
  <c r="P26" i="1"/>
  <c r="L26" i="1"/>
  <c r="M26" i="1" s="1"/>
  <c r="H26" i="1"/>
  <c r="J26" i="1" s="1"/>
  <c r="P25" i="1"/>
  <c r="L25" i="1"/>
  <c r="M25" i="1" s="1"/>
  <c r="R25" i="1" s="1"/>
  <c r="S25" i="1" s="1"/>
  <c r="H25" i="1"/>
  <c r="J25" i="1" s="1"/>
  <c r="P24" i="1"/>
  <c r="M24" i="1"/>
  <c r="L24" i="1"/>
  <c r="H24" i="1"/>
  <c r="J24" i="1" s="1"/>
  <c r="P23" i="1"/>
  <c r="M23" i="1"/>
  <c r="R23" i="1" s="1"/>
  <c r="S23" i="1" s="1"/>
  <c r="L23" i="1"/>
  <c r="H23" i="1"/>
  <c r="J23" i="1" s="1"/>
  <c r="S22" i="1"/>
  <c r="T22" i="1" s="1"/>
  <c r="P22" i="1"/>
  <c r="M22" i="1"/>
  <c r="R22" i="1" s="1"/>
  <c r="L22" i="1"/>
  <c r="H22" i="1"/>
  <c r="J22" i="1" s="1"/>
  <c r="U22" i="1" s="1"/>
  <c r="V22" i="1" s="1"/>
  <c r="W22" i="1" s="1"/>
  <c r="P21" i="1"/>
  <c r="M21" i="1"/>
  <c r="R21" i="1" s="1"/>
  <c r="S21" i="1" s="1"/>
  <c r="T21" i="1" s="1"/>
  <c r="L21" i="1"/>
  <c r="J21" i="1"/>
  <c r="H21" i="1"/>
  <c r="P20" i="1"/>
  <c r="L20" i="1"/>
  <c r="M20" i="1" s="1"/>
  <c r="R20" i="1" s="1"/>
  <c r="S20" i="1" s="1"/>
  <c r="H20" i="1"/>
  <c r="J20" i="1" s="1"/>
  <c r="P19" i="1"/>
  <c r="L19" i="1"/>
  <c r="M19" i="1" s="1"/>
  <c r="R19" i="1" s="1"/>
  <c r="S19" i="1" s="1"/>
  <c r="J19" i="1"/>
  <c r="H19" i="1"/>
  <c r="P18" i="1"/>
  <c r="L18" i="1"/>
  <c r="M18" i="1" s="1"/>
  <c r="R18" i="1" s="1"/>
  <c r="S18" i="1" s="1"/>
  <c r="H18" i="1"/>
  <c r="J18" i="1" s="1"/>
  <c r="P17" i="1"/>
  <c r="L17" i="1"/>
  <c r="M17" i="1" s="1"/>
  <c r="R17" i="1" s="1"/>
  <c r="S17" i="1" s="1"/>
  <c r="H17" i="1"/>
  <c r="J17" i="1" s="1"/>
  <c r="P16" i="1"/>
  <c r="L16" i="1"/>
  <c r="M16" i="1" s="1"/>
  <c r="R16" i="1" s="1"/>
  <c r="S16" i="1" s="1"/>
  <c r="J16" i="1"/>
  <c r="H16" i="1"/>
  <c r="P15" i="1"/>
  <c r="M15" i="1"/>
  <c r="R15" i="1" s="1"/>
  <c r="S15" i="1" s="1"/>
  <c r="L15" i="1"/>
  <c r="H15" i="1"/>
  <c r="J15" i="1" s="1"/>
  <c r="R14" i="1"/>
  <c r="S14" i="1" s="1"/>
  <c r="U14" i="1" s="1"/>
  <c r="V14" i="1" s="1"/>
  <c r="W14" i="1" s="1"/>
  <c r="P14" i="1"/>
  <c r="L14" i="1"/>
  <c r="M14" i="1" s="1"/>
  <c r="J14" i="1"/>
  <c r="H14" i="1"/>
  <c r="P13" i="1"/>
  <c r="L13" i="1"/>
  <c r="M13" i="1" s="1"/>
  <c r="H13" i="1"/>
  <c r="J13" i="1" s="1"/>
  <c r="P12" i="1"/>
  <c r="L12" i="1"/>
  <c r="M12" i="1" s="1"/>
  <c r="H12" i="1"/>
  <c r="J12" i="1" s="1"/>
  <c r="P11" i="1"/>
  <c r="L11" i="1"/>
  <c r="M11" i="1" s="1"/>
  <c r="R11" i="1" s="1"/>
  <c r="S11" i="1" s="1"/>
  <c r="J11" i="1"/>
  <c r="H11" i="1"/>
  <c r="R10" i="1"/>
  <c r="S10" i="1" s="1"/>
  <c r="T10" i="1" s="1"/>
  <c r="P10" i="1"/>
  <c r="L10" i="1"/>
  <c r="M10" i="1" s="1"/>
  <c r="H10" i="1"/>
  <c r="J10" i="1" s="1"/>
  <c r="P9" i="1"/>
  <c r="L9" i="1"/>
  <c r="M9" i="1" s="1"/>
  <c r="R9" i="1" s="1"/>
  <c r="S9" i="1" s="1"/>
  <c r="U9" i="1" s="1"/>
  <c r="V9" i="1" s="1"/>
  <c r="W9" i="1" s="1"/>
  <c r="H9" i="1"/>
  <c r="J9" i="1" s="1"/>
  <c r="P8" i="1"/>
  <c r="M8" i="1"/>
  <c r="L8" i="1"/>
  <c r="H8" i="1"/>
  <c r="J8" i="1" s="1"/>
  <c r="S7" i="1"/>
  <c r="P7" i="1"/>
  <c r="M7" i="1"/>
  <c r="R7" i="1" s="1"/>
  <c r="L7" i="1"/>
  <c r="H7" i="1"/>
  <c r="J7" i="1" s="1"/>
  <c r="P6" i="1"/>
  <c r="R6" i="1" s="1"/>
  <c r="S6" i="1" s="1"/>
  <c r="M6" i="1"/>
  <c r="L6" i="1"/>
  <c r="H6" i="1"/>
  <c r="J6" i="1" s="1"/>
  <c r="R5" i="1"/>
  <c r="S5" i="1" s="1"/>
  <c r="T5" i="1" s="1"/>
  <c r="P5" i="1"/>
  <c r="L5" i="1"/>
  <c r="M5" i="1" s="1"/>
  <c r="J5" i="1"/>
  <c r="U5" i="1" s="1"/>
  <c r="V5" i="1" s="1"/>
  <c r="W5" i="1" s="1"/>
  <c r="H5" i="1"/>
  <c r="P4" i="1"/>
  <c r="M4" i="1"/>
  <c r="R4" i="1" s="1"/>
  <c r="S4" i="1" s="1"/>
  <c r="L4" i="1"/>
  <c r="H4" i="1"/>
  <c r="J4" i="1" s="1"/>
  <c r="P3" i="1"/>
  <c r="L3" i="1"/>
  <c r="M3" i="1" s="1"/>
  <c r="R3" i="1" s="1"/>
  <c r="S3" i="1" s="1"/>
  <c r="J3" i="1"/>
  <c r="H3" i="1"/>
  <c r="P2" i="1"/>
  <c r="L2" i="1"/>
  <c r="M2" i="1" s="1"/>
  <c r="R2" i="1" s="1"/>
  <c r="S2" i="1" s="1"/>
  <c r="H2" i="1"/>
  <c r="J2" i="1" s="1"/>
  <c r="U45" i="1" l="1"/>
  <c r="V45" i="1" s="1"/>
  <c r="W45" i="1" s="1"/>
  <c r="T45" i="1"/>
  <c r="T30" i="1"/>
  <c r="U30" i="1"/>
  <c r="V30" i="1" s="1"/>
  <c r="W30" i="1" s="1"/>
  <c r="T4" i="1"/>
  <c r="U4" i="1"/>
  <c r="V4" i="1" s="1"/>
  <c r="W4" i="1" s="1"/>
  <c r="U77" i="1"/>
  <c r="V77" i="1" s="1"/>
  <c r="W77" i="1" s="1"/>
  <c r="T77" i="1"/>
  <c r="U18" i="1"/>
  <c r="V18" i="1" s="1"/>
  <c r="W18" i="1" s="1"/>
  <c r="T18" i="1"/>
  <c r="U66" i="1"/>
  <c r="V66" i="1" s="1"/>
  <c r="W66" i="1" s="1"/>
  <c r="T66" i="1"/>
  <c r="U98" i="1"/>
  <c r="V98" i="1" s="1"/>
  <c r="W98" i="1" s="1"/>
  <c r="T98" i="1"/>
  <c r="U2" i="1"/>
  <c r="V2" i="1" s="1"/>
  <c r="W2" i="1" s="1"/>
  <c r="T2" i="1"/>
  <c r="U47" i="1"/>
  <c r="V47" i="1" s="1"/>
  <c r="W47" i="1" s="1"/>
  <c r="T47" i="1"/>
  <c r="T118" i="1"/>
  <c r="U118" i="1"/>
  <c r="V118" i="1" s="1"/>
  <c r="W118" i="1" s="1"/>
  <c r="T11" i="1"/>
  <c r="U11" i="1"/>
  <c r="V11" i="1" s="1"/>
  <c r="W11" i="1" s="1"/>
  <c r="T16" i="1"/>
  <c r="U16" i="1"/>
  <c r="V16" i="1" s="1"/>
  <c r="W16" i="1" s="1"/>
  <c r="U83" i="1"/>
  <c r="V83" i="1" s="1"/>
  <c r="W83" i="1" s="1"/>
  <c r="T83" i="1"/>
  <c r="U131" i="1"/>
  <c r="V131" i="1" s="1"/>
  <c r="W131" i="1" s="1"/>
  <c r="T131" i="1"/>
  <c r="T6" i="1"/>
  <c r="U6" i="1"/>
  <c r="V6" i="1" s="1"/>
  <c r="W6" i="1" s="1"/>
  <c r="U19" i="1"/>
  <c r="V19" i="1" s="1"/>
  <c r="W19" i="1" s="1"/>
  <c r="T19" i="1"/>
  <c r="U27" i="1"/>
  <c r="V27" i="1" s="1"/>
  <c r="W27" i="1" s="1"/>
  <c r="T27" i="1"/>
  <c r="U79" i="1"/>
  <c r="V79" i="1" s="1"/>
  <c r="W79" i="1" s="1"/>
  <c r="T79" i="1"/>
  <c r="U51" i="1"/>
  <c r="V51" i="1" s="1"/>
  <c r="W51" i="1" s="1"/>
  <c r="T51" i="1"/>
  <c r="U23" i="1"/>
  <c r="V23" i="1" s="1"/>
  <c r="W23" i="1" s="1"/>
  <c r="T23" i="1"/>
  <c r="U20" i="1"/>
  <c r="V20" i="1" s="1"/>
  <c r="W20" i="1" s="1"/>
  <c r="T20" i="1"/>
  <c r="U3" i="1"/>
  <c r="V3" i="1" s="1"/>
  <c r="W3" i="1" s="1"/>
  <c r="T3" i="1"/>
  <c r="U15" i="1"/>
  <c r="V15" i="1" s="1"/>
  <c r="W15" i="1" s="1"/>
  <c r="T15" i="1"/>
  <c r="U40" i="1"/>
  <c r="V40" i="1" s="1"/>
  <c r="W40" i="1" s="1"/>
  <c r="T40" i="1"/>
  <c r="T64" i="1"/>
  <c r="U64" i="1"/>
  <c r="V64" i="1" s="1"/>
  <c r="W64" i="1" s="1"/>
  <c r="T96" i="1"/>
  <c r="U96" i="1"/>
  <c r="V96" i="1" s="1"/>
  <c r="W96" i="1" s="1"/>
  <c r="U81" i="1"/>
  <c r="V81" i="1" s="1"/>
  <c r="W81" i="1" s="1"/>
  <c r="T81" i="1"/>
  <c r="T17" i="1"/>
  <c r="U17" i="1"/>
  <c r="V17" i="1" s="1"/>
  <c r="W17" i="1" s="1"/>
  <c r="U26" i="1"/>
  <c r="V26" i="1" s="1"/>
  <c r="W26" i="1" s="1"/>
  <c r="T26" i="1"/>
  <c r="U90" i="1"/>
  <c r="V90" i="1" s="1"/>
  <c r="W90" i="1" s="1"/>
  <c r="T90" i="1"/>
  <c r="T161" i="1"/>
  <c r="U161" i="1"/>
  <c r="V161" i="1" s="1"/>
  <c r="W161" i="1" s="1"/>
  <c r="U10" i="1"/>
  <c r="V10" i="1" s="1"/>
  <c r="W10" i="1" s="1"/>
  <c r="U74" i="1"/>
  <c r="V74" i="1" s="1"/>
  <c r="W74" i="1" s="1"/>
  <c r="T74" i="1"/>
  <c r="U158" i="1"/>
  <c r="V158" i="1" s="1"/>
  <c r="W158" i="1" s="1"/>
  <c r="T158" i="1"/>
  <c r="T56" i="1"/>
  <c r="U56" i="1"/>
  <c r="V56" i="1" s="1"/>
  <c r="W56" i="1" s="1"/>
  <c r="T88" i="1"/>
  <c r="U88" i="1"/>
  <c r="V88" i="1" s="1"/>
  <c r="W88" i="1" s="1"/>
  <c r="T212" i="1"/>
  <c r="U212" i="1"/>
  <c r="V212" i="1" s="1"/>
  <c r="W212" i="1" s="1"/>
  <c r="U31" i="1"/>
  <c r="V31" i="1" s="1"/>
  <c r="W31" i="1" s="1"/>
  <c r="T31" i="1"/>
  <c r="T41" i="1"/>
  <c r="U41" i="1"/>
  <c r="V41" i="1" s="1"/>
  <c r="W41" i="1" s="1"/>
  <c r="T70" i="1"/>
  <c r="U70" i="1"/>
  <c r="V70" i="1" s="1"/>
  <c r="W70" i="1" s="1"/>
  <c r="T132" i="1"/>
  <c r="U132" i="1"/>
  <c r="V132" i="1" s="1"/>
  <c r="W132" i="1" s="1"/>
  <c r="T169" i="1"/>
  <c r="U169" i="1"/>
  <c r="V169" i="1" s="1"/>
  <c r="W169" i="1" s="1"/>
  <c r="U25" i="1"/>
  <c r="V25" i="1" s="1"/>
  <c r="W25" i="1" s="1"/>
  <c r="T110" i="1"/>
  <c r="U110" i="1"/>
  <c r="V110" i="1" s="1"/>
  <c r="W110" i="1" s="1"/>
  <c r="U120" i="1"/>
  <c r="V120" i="1" s="1"/>
  <c r="W120" i="1" s="1"/>
  <c r="U187" i="1"/>
  <c r="V187" i="1" s="1"/>
  <c r="W187" i="1" s="1"/>
  <c r="T187" i="1"/>
  <c r="R8" i="1"/>
  <c r="S8" i="1" s="1"/>
  <c r="T25" i="1"/>
  <c r="R42" i="1"/>
  <c r="S42" i="1" s="1"/>
  <c r="U114" i="1"/>
  <c r="V114" i="1" s="1"/>
  <c r="W114" i="1" s="1"/>
  <c r="T114" i="1"/>
  <c r="U143" i="1"/>
  <c r="V143" i="1" s="1"/>
  <c r="W143" i="1" s="1"/>
  <c r="T143" i="1"/>
  <c r="T177" i="1"/>
  <c r="U177" i="1"/>
  <c r="V177" i="1" s="1"/>
  <c r="W177" i="1" s="1"/>
  <c r="U43" i="1"/>
  <c r="V43" i="1" s="1"/>
  <c r="W43" i="1" s="1"/>
  <c r="T43" i="1"/>
  <c r="T113" i="1"/>
  <c r="U113" i="1"/>
  <c r="V113" i="1" s="1"/>
  <c r="W113" i="1" s="1"/>
  <c r="U67" i="1"/>
  <c r="V67" i="1" s="1"/>
  <c r="W67" i="1" s="1"/>
  <c r="T67" i="1"/>
  <c r="U99" i="1"/>
  <c r="V99" i="1" s="1"/>
  <c r="W99" i="1" s="1"/>
  <c r="T99" i="1"/>
  <c r="U107" i="1"/>
  <c r="V107" i="1" s="1"/>
  <c r="W107" i="1" s="1"/>
  <c r="T107" i="1"/>
  <c r="U124" i="1"/>
  <c r="V124" i="1" s="1"/>
  <c r="W124" i="1" s="1"/>
  <c r="T124" i="1"/>
  <c r="T127" i="1"/>
  <c r="U127" i="1"/>
  <c r="V127" i="1" s="1"/>
  <c r="W127" i="1" s="1"/>
  <c r="U184" i="1"/>
  <c r="V184" i="1" s="1"/>
  <c r="W184" i="1" s="1"/>
  <c r="T184" i="1"/>
  <c r="U202" i="1"/>
  <c r="V202" i="1" s="1"/>
  <c r="W202" i="1" s="1"/>
  <c r="T202" i="1"/>
  <c r="U261" i="1"/>
  <c r="V261" i="1" s="1"/>
  <c r="W261" i="1" s="1"/>
  <c r="T261" i="1"/>
  <c r="U318" i="1"/>
  <c r="V318" i="1" s="1"/>
  <c r="W318" i="1" s="1"/>
  <c r="T318" i="1"/>
  <c r="T7" i="1"/>
  <c r="U7" i="1"/>
  <c r="V7" i="1" s="1"/>
  <c r="W7" i="1" s="1"/>
  <c r="T38" i="1"/>
  <c r="U38" i="1"/>
  <c r="V38" i="1" s="1"/>
  <c r="W38" i="1" s="1"/>
  <c r="U29" i="1"/>
  <c r="V29" i="1" s="1"/>
  <c r="W29" i="1" s="1"/>
  <c r="T29" i="1"/>
  <c r="T46" i="1"/>
  <c r="U46" i="1"/>
  <c r="V46" i="1" s="1"/>
  <c r="W46" i="1" s="1"/>
  <c r="U49" i="1"/>
  <c r="V49" i="1" s="1"/>
  <c r="W49" i="1" s="1"/>
  <c r="T49" i="1"/>
  <c r="U63" i="1"/>
  <c r="V63" i="1" s="1"/>
  <c r="W63" i="1" s="1"/>
  <c r="T63" i="1"/>
  <c r="U75" i="1"/>
  <c r="V75" i="1" s="1"/>
  <c r="W75" i="1" s="1"/>
  <c r="T75" i="1"/>
  <c r="T78" i="1"/>
  <c r="U78" i="1"/>
  <c r="V78" i="1" s="1"/>
  <c r="W78" i="1" s="1"/>
  <c r="U95" i="1"/>
  <c r="V95" i="1" s="1"/>
  <c r="W95" i="1" s="1"/>
  <c r="T95" i="1"/>
  <c r="U140" i="1"/>
  <c r="V140" i="1" s="1"/>
  <c r="W140" i="1" s="1"/>
  <c r="T140" i="1"/>
  <c r="U151" i="1"/>
  <c r="V151" i="1" s="1"/>
  <c r="W151" i="1" s="1"/>
  <c r="T151" i="1"/>
  <c r="R155" i="1"/>
  <c r="S155" i="1" s="1"/>
  <c r="U273" i="1"/>
  <c r="V273" i="1" s="1"/>
  <c r="W273" i="1" s="1"/>
  <c r="T273" i="1"/>
  <c r="T102" i="1"/>
  <c r="U102" i="1"/>
  <c r="V102" i="1" s="1"/>
  <c r="W102" i="1" s="1"/>
  <c r="T35" i="1"/>
  <c r="U39" i="1"/>
  <c r="V39" i="1" s="1"/>
  <c r="W39" i="1" s="1"/>
  <c r="T39" i="1"/>
  <c r="U53" i="1"/>
  <c r="V53" i="1" s="1"/>
  <c r="W53" i="1" s="1"/>
  <c r="T53" i="1"/>
  <c r="U57" i="1"/>
  <c r="V57" i="1" s="1"/>
  <c r="W57" i="1" s="1"/>
  <c r="T57" i="1"/>
  <c r="U71" i="1"/>
  <c r="V71" i="1" s="1"/>
  <c r="W71" i="1" s="1"/>
  <c r="U85" i="1"/>
  <c r="V85" i="1" s="1"/>
  <c r="W85" i="1" s="1"/>
  <c r="T85" i="1"/>
  <c r="U89" i="1"/>
  <c r="V89" i="1" s="1"/>
  <c r="W89" i="1" s="1"/>
  <c r="T89" i="1"/>
  <c r="U163" i="1"/>
  <c r="V163" i="1" s="1"/>
  <c r="W163" i="1" s="1"/>
  <c r="T163" i="1"/>
  <c r="T170" i="1"/>
  <c r="U170" i="1"/>
  <c r="V170" i="1" s="1"/>
  <c r="W170" i="1" s="1"/>
  <c r="U281" i="1"/>
  <c r="V281" i="1" s="1"/>
  <c r="W281" i="1" s="1"/>
  <c r="T281" i="1"/>
  <c r="T32" i="1"/>
  <c r="U32" i="1"/>
  <c r="V32" i="1" s="1"/>
  <c r="W32" i="1" s="1"/>
  <c r="T14" i="1"/>
  <c r="U50" i="1"/>
  <c r="V50" i="1" s="1"/>
  <c r="W50" i="1" s="1"/>
  <c r="T50" i="1"/>
  <c r="R68" i="1"/>
  <c r="S68" i="1" s="1"/>
  <c r="U82" i="1"/>
  <c r="V82" i="1" s="1"/>
  <c r="W82" i="1" s="1"/>
  <c r="T82" i="1"/>
  <c r="R100" i="1"/>
  <c r="S100" i="1" s="1"/>
  <c r="U103" i="1"/>
  <c r="V103" i="1" s="1"/>
  <c r="W103" i="1" s="1"/>
  <c r="U115" i="1"/>
  <c r="V115" i="1" s="1"/>
  <c r="W115" i="1" s="1"/>
  <c r="T115" i="1"/>
  <c r="T134" i="1"/>
  <c r="U134" i="1"/>
  <c r="V134" i="1" s="1"/>
  <c r="W134" i="1" s="1"/>
  <c r="U144" i="1"/>
  <c r="V144" i="1" s="1"/>
  <c r="W144" i="1" s="1"/>
  <c r="T144" i="1"/>
  <c r="U167" i="1"/>
  <c r="V167" i="1" s="1"/>
  <c r="W167" i="1" s="1"/>
  <c r="T167" i="1"/>
  <c r="U125" i="1"/>
  <c r="V125" i="1" s="1"/>
  <c r="W125" i="1" s="1"/>
  <c r="T125" i="1"/>
  <c r="U178" i="1"/>
  <c r="V178" i="1" s="1"/>
  <c r="W178" i="1" s="1"/>
  <c r="T178" i="1"/>
  <c r="U181" i="1"/>
  <c r="V181" i="1" s="1"/>
  <c r="W181" i="1" s="1"/>
  <c r="T181" i="1"/>
  <c r="T152" i="1"/>
  <c r="U152" i="1"/>
  <c r="V152" i="1" s="1"/>
  <c r="W152" i="1" s="1"/>
  <c r="T72" i="1"/>
  <c r="U72" i="1"/>
  <c r="V72" i="1" s="1"/>
  <c r="W72" i="1" s="1"/>
  <c r="U36" i="1"/>
  <c r="V36" i="1" s="1"/>
  <c r="W36" i="1" s="1"/>
  <c r="T36" i="1"/>
  <c r="T104" i="1"/>
  <c r="U104" i="1"/>
  <c r="V104" i="1" s="1"/>
  <c r="W104" i="1" s="1"/>
  <c r="U160" i="1"/>
  <c r="V160" i="1" s="1"/>
  <c r="W160" i="1" s="1"/>
  <c r="T160" i="1"/>
  <c r="U65" i="1"/>
  <c r="V65" i="1" s="1"/>
  <c r="W65" i="1" s="1"/>
  <c r="T65" i="1"/>
  <c r="U73" i="1"/>
  <c r="V73" i="1" s="1"/>
  <c r="W73" i="1" s="1"/>
  <c r="T73" i="1"/>
  <c r="U97" i="1"/>
  <c r="V97" i="1" s="1"/>
  <c r="W97" i="1" s="1"/>
  <c r="T97" i="1"/>
  <c r="T105" i="1"/>
  <c r="U105" i="1"/>
  <c r="V105" i="1" s="1"/>
  <c r="W105" i="1" s="1"/>
  <c r="T128" i="1"/>
  <c r="U164" i="1"/>
  <c r="V164" i="1" s="1"/>
  <c r="W164" i="1" s="1"/>
  <c r="T164" i="1"/>
  <c r="U243" i="1"/>
  <c r="V243" i="1" s="1"/>
  <c r="W243" i="1" s="1"/>
  <c r="T243" i="1"/>
  <c r="T9" i="1"/>
  <c r="T33" i="1"/>
  <c r="U76" i="1"/>
  <c r="V76" i="1" s="1"/>
  <c r="W76" i="1" s="1"/>
  <c r="T76" i="1"/>
  <c r="T86" i="1"/>
  <c r="U86" i="1"/>
  <c r="V86" i="1" s="1"/>
  <c r="W86" i="1" s="1"/>
  <c r="U108" i="1"/>
  <c r="V108" i="1" s="1"/>
  <c r="W108" i="1" s="1"/>
  <c r="U119" i="1"/>
  <c r="V119" i="1" s="1"/>
  <c r="W119" i="1" s="1"/>
  <c r="T119" i="1"/>
  <c r="U175" i="1"/>
  <c r="V175" i="1" s="1"/>
  <c r="W175" i="1" s="1"/>
  <c r="T175" i="1"/>
  <c r="R24" i="1"/>
  <c r="S24" i="1" s="1"/>
  <c r="U69" i="1"/>
  <c r="V69" i="1" s="1"/>
  <c r="W69" i="1" s="1"/>
  <c r="T69" i="1"/>
  <c r="U101" i="1"/>
  <c r="V101" i="1" s="1"/>
  <c r="W101" i="1" s="1"/>
  <c r="T101" i="1"/>
  <c r="T116" i="1"/>
  <c r="U116" i="1"/>
  <c r="V116" i="1" s="1"/>
  <c r="W116" i="1" s="1"/>
  <c r="U135" i="1"/>
  <c r="V135" i="1" s="1"/>
  <c r="W135" i="1" s="1"/>
  <c r="T135" i="1"/>
  <c r="U157" i="1"/>
  <c r="V157" i="1" s="1"/>
  <c r="W157" i="1" s="1"/>
  <c r="T157" i="1"/>
  <c r="U58" i="1"/>
  <c r="V58" i="1" s="1"/>
  <c r="W58" i="1" s="1"/>
  <c r="T58" i="1"/>
  <c r="U61" i="1"/>
  <c r="V61" i="1" s="1"/>
  <c r="W61" i="1" s="1"/>
  <c r="T61" i="1"/>
  <c r="U93" i="1"/>
  <c r="V93" i="1" s="1"/>
  <c r="W93" i="1" s="1"/>
  <c r="T93" i="1"/>
  <c r="R13" i="1"/>
  <c r="S13" i="1" s="1"/>
  <c r="U34" i="1"/>
  <c r="V34" i="1" s="1"/>
  <c r="W34" i="1" s="1"/>
  <c r="T34" i="1"/>
  <c r="U37" i="1"/>
  <c r="V37" i="1" s="1"/>
  <c r="W37" i="1" s="1"/>
  <c r="T37" i="1"/>
  <c r="U109" i="1"/>
  <c r="V109" i="1" s="1"/>
  <c r="W109" i="1" s="1"/>
  <c r="T109" i="1"/>
  <c r="U172" i="1"/>
  <c r="V172" i="1" s="1"/>
  <c r="W172" i="1" s="1"/>
  <c r="T172" i="1"/>
  <c r="T54" i="1"/>
  <c r="U54" i="1"/>
  <c r="V54" i="1" s="1"/>
  <c r="W54" i="1" s="1"/>
  <c r="U112" i="1"/>
  <c r="V112" i="1" s="1"/>
  <c r="W112" i="1" s="1"/>
  <c r="T112" i="1"/>
  <c r="U21" i="1"/>
  <c r="V21" i="1" s="1"/>
  <c r="W21" i="1" s="1"/>
  <c r="T48" i="1"/>
  <c r="U48" i="1"/>
  <c r="V48" i="1" s="1"/>
  <c r="W48" i="1" s="1"/>
  <c r="U55" i="1"/>
  <c r="V55" i="1" s="1"/>
  <c r="W55" i="1" s="1"/>
  <c r="T55" i="1"/>
  <c r="U59" i="1"/>
  <c r="V59" i="1" s="1"/>
  <c r="W59" i="1" s="1"/>
  <c r="T59" i="1"/>
  <c r="T80" i="1"/>
  <c r="U80" i="1"/>
  <c r="V80" i="1" s="1"/>
  <c r="W80" i="1" s="1"/>
  <c r="U87" i="1"/>
  <c r="V87" i="1" s="1"/>
  <c r="W87" i="1" s="1"/>
  <c r="T87" i="1"/>
  <c r="U91" i="1"/>
  <c r="V91" i="1" s="1"/>
  <c r="W91" i="1" s="1"/>
  <c r="T91" i="1"/>
  <c r="U106" i="1"/>
  <c r="V106" i="1" s="1"/>
  <c r="W106" i="1" s="1"/>
  <c r="T106" i="1"/>
  <c r="U146" i="1"/>
  <c r="V146" i="1" s="1"/>
  <c r="W146" i="1" s="1"/>
  <c r="T146" i="1"/>
  <c r="U149" i="1"/>
  <c r="V149" i="1" s="1"/>
  <c r="W149" i="1" s="1"/>
  <c r="T176" i="1"/>
  <c r="U176" i="1"/>
  <c r="V176" i="1" s="1"/>
  <c r="W176" i="1" s="1"/>
  <c r="T228" i="1"/>
  <c r="U228" i="1"/>
  <c r="V228" i="1" s="1"/>
  <c r="W228" i="1" s="1"/>
  <c r="U133" i="1"/>
  <c r="V133" i="1" s="1"/>
  <c r="W133" i="1" s="1"/>
  <c r="T133" i="1"/>
  <c r="U138" i="1"/>
  <c r="V138" i="1" s="1"/>
  <c r="W138" i="1" s="1"/>
  <c r="U195" i="1"/>
  <c r="V195" i="1" s="1"/>
  <c r="W195" i="1" s="1"/>
  <c r="T195" i="1"/>
  <c r="U208" i="1"/>
  <c r="V208" i="1" s="1"/>
  <c r="W208" i="1" s="1"/>
  <c r="T208" i="1"/>
  <c r="U232" i="1"/>
  <c r="V232" i="1" s="1"/>
  <c r="W232" i="1" s="1"/>
  <c r="T232" i="1"/>
  <c r="T258" i="1"/>
  <c r="U258" i="1"/>
  <c r="V258" i="1" s="1"/>
  <c r="W258" i="1" s="1"/>
  <c r="U291" i="1"/>
  <c r="V291" i="1" s="1"/>
  <c r="W291" i="1" s="1"/>
  <c r="T291" i="1"/>
  <c r="U355" i="1"/>
  <c r="V355" i="1" s="1"/>
  <c r="W355" i="1" s="1"/>
  <c r="T355" i="1"/>
  <c r="U209" i="1"/>
  <c r="V209" i="1" s="1"/>
  <c r="W209" i="1" s="1"/>
  <c r="T209" i="1"/>
  <c r="T213" i="1"/>
  <c r="U213" i="1"/>
  <c r="V213" i="1" s="1"/>
  <c r="W213" i="1" s="1"/>
  <c r="T236" i="1"/>
  <c r="U236" i="1"/>
  <c r="V236" i="1" s="1"/>
  <c r="W236" i="1" s="1"/>
  <c r="T248" i="1"/>
  <c r="U248" i="1"/>
  <c r="V248" i="1" s="1"/>
  <c r="W248" i="1" s="1"/>
  <c r="U303" i="1"/>
  <c r="V303" i="1" s="1"/>
  <c r="W303" i="1" s="1"/>
  <c r="T303" i="1"/>
  <c r="U334" i="1"/>
  <c r="V334" i="1" s="1"/>
  <c r="W334" i="1" s="1"/>
  <c r="T334" i="1"/>
  <c r="U341" i="1"/>
  <c r="V341" i="1" s="1"/>
  <c r="W341" i="1" s="1"/>
  <c r="T341" i="1"/>
  <c r="R44" i="1"/>
  <c r="S44" i="1" s="1"/>
  <c r="U183" i="1"/>
  <c r="V183" i="1" s="1"/>
  <c r="W183" i="1" s="1"/>
  <c r="T183" i="1"/>
  <c r="T186" i="1"/>
  <c r="U186" i="1"/>
  <c r="V186" i="1" s="1"/>
  <c r="W186" i="1" s="1"/>
  <c r="U219" i="1"/>
  <c r="V219" i="1" s="1"/>
  <c r="W219" i="1" s="1"/>
  <c r="T219" i="1"/>
  <c r="U229" i="1"/>
  <c r="V229" i="1" s="1"/>
  <c r="W229" i="1" s="1"/>
  <c r="T229" i="1"/>
  <c r="R244" i="1"/>
  <c r="S244" i="1" s="1"/>
  <c r="U270" i="1"/>
  <c r="V270" i="1" s="1"/>
  <c r="W270" i="1" s="1"/>
  <c r="T270" i="1"/>
  <c r="T338" i="1"/>
  <c r="U338" i="1"/>
  <c r="V338" i="1" s="1"/>
  <c r="W338" i="1" s="1"/>
  <c r="U216" i="1"/>
  <c r="V216" i="1" s="1"/>
  <c r="W216" i="1" s="1"/>
  <c r="T216" i="1"/>
  <c r="U289" i="1"/>
  <c r="V289" i="1" s="1"/>
  <c r="W289" i="1" s="1"/>
  <c r="T289" i="1"/>
  <c r="U311" i="1"/>
  <c r="V311" i="1" s="1"/>
  <c r="W311" i="1" s="1"/>
  <c r="T311" i="1"/>
  <c r="U315" i="1"/>
  <c r="V315" i="1" s="1"/>
  <c r="W315" i="1" s="1"/>
  <c r="T315" i="1"/>
  <c r="T108" i="1"/>
  <c r="U147" i="1"/>
  <c r="V147" i="1" s="1"/>
  <c r="W147" i="1" s="1"/>
  <c r="U240" i="1"/>
  <c r="V240" i="1" s="1"/>
  <c r="W240" i="1" s="1"/>
  <c r="U256" i="1"/>
  <c r="V256" i="1" s="1"/>
  <c r="W256" i="1" s="1"/>
  <c r="T256" i="1"/>
  <c r="T304" i="1"/>
  <c r="U304" i="1"/>
  <c r="V304" i="1" s="1"/>
  <c r="W304" i="1" s="1"/>
  <c r="U361" i="1"/>
  <c r="V361" i="1" s="1"/>
  <c r="W361" i="1" s="1"/>
  <c r="T361" i="1"/>
  <c r="U371" i="1"/>
  <c r="V371" i="1" s="1"/>
  <c r="W371" i="1" s="1"/>
  <c r="T371" i="1"/>
  <c r="U376" i="1"/>
  <c r="V376" i="1" s="1"/>
  <c r="W376" i="1" s="1"/>
  <c r="T376" i="1"/>
  <c r="R137" i="1"/>
  <c r="S137" i="1" s="1"/>
  <c r="R145" i="1"/>
  <c r="S145" i="1" s="1"/>
  <c r="T150" i="1"/>
  <c r="R153" i="1"/>
  <c r="S153" i="1" s="1"/>
  <c r="U180" i="1"/>
  <c r="V180" i="1" s="1"/>
  <c r="W180" i="1" s="1"/>
  <c r="U193" i="1"/>
  <c r="V193" i="1" s="1"/>
  <c r="W193" i="1" s="1"/>
  <c r="T193" i="1"/>
  <c r="U197" i="1"/>
  <c r="V197" i="1" s="1"/>
  <c r="W197" i="1" s="1"/>
  <c r="T197" i="1"/>
  <c r="T210" i="1"/>
  <c r="U210" i="1"/>
  <c r="V210" i="1" s="1"/>
  <c r="W210" i="1" s="1"/>
  <c r="U249" i="1"/>
  <c r="V249" i="1" s="1"/>
  <c r="W249" i="1" s="1"/>
  <c r="T249" i="1"/>
  <c r="U297" i="1"/>
  <c r="V297" i="1" s="1"/>
  <c r="W297" i="1" s="1"/>
  <c r="T297" i="1"/>
  <c r="U307" i="1"/>
  <c r="V307" i="1" s="1"/>
  <c r="W307" i="1" s="1"/>
  <c r="T307" i="1"/>
  <c r="T312" i="1"/>
  <c r="U312" i="1"/>
  <c r="V312" i="1" s="1"/>
  <c r="W312" i="1" s="1"/>
  <c r="U357" i="1"/>
  <c r="V357" i="1" s="1"/>
  <c r="W357" i="1" s="1"/>
  <c r="T357" i="1"/>
  <c r="U365" i="1"/>
  <c r="V365" i="1" s="1"/>
  <c r="W365" i="1" s="1"/>
  <c r="T365" i="1"/>
  <c r="U121" i="1"/>
  <c r="V121" i="1" s="1"/>
  <c r="W121" i="1" s="1"/>
  <c r="U190" i="1"/>
  <c r="V190" i="1" s="1"/>
  <c r="W190" i="1" s="1"/>
  <c r="T190" i="1"/>
  <c r="U253" i="1"/>
  <c r="V253" i="1" s="1"/>
  <c r="W253" i="1" s="1"/>
  <c r="T253" i="1"/>
  <c r="T123" i="1"/>
  <c r="U206" i="1"/>
  <c r="V206" i="1" s="1"/>
  <c r="W206" i="1" s="1"/>
  <c r="T206" i="1"/>
  <c r="U350" i="1"/>
  <c r="V350" i="1" s="1"/>
  <c r="W350" i="1" s="1"/>
  <c r="T350" i="1"/>
  <c r="T121" i="1"/>
  <c r="T129" i="1"/>
  <c r="T156" i="1"/>
  <c r="U156" i="1"/>
  <c r="V156" i="1" s="1"/>
  <c r="W156" i="1" s="1"/>
  <c r="U241" i="1"/>
  <c r="V241" i="1" s="1"/>
  <c r="W241" i="1" s="1"/>
  <c r="T241" i="1"/>
  <c r="R12" i="1"/>
  <c r="S12" i="1" s="1"/>
  <c r="R28" i="1"/>
  <c r="S28" i="1" s="1"/>
  <c r="U214" i="1"/>
  <c r="V214" i="1" s="1"/>
  <c r="W214" i="1" s="1"/>
  <c r="U217" i="1"/>
  <c r="V217" i="1" s="1"/>
  <c r="W217" i="1" s="1"/>
  <c r="T217" i="1"/>
  <c r="T231" i="1"/>
  <c r="U231" i="1"/>
  <c r="V231" i="1" s="1"/>
  <c r="W231" i="1" s="1"/>
  <c r="T328" i="1"/>
  <c r="U328" i="1"/>
  <c r="V328" i="1" s="1"/>
  <c r="W328" i="1" s="1"/>
  <c r="T111" i="1"/>
  <c r="U111" i="1"/>
  <c r="V111" i="1" s="1"/>
  <c r="W111" i="1" s="1"/>
  <c r="U275" i="1"/>
  <c r="V275" i="1" s="1"/>
  <c r="W275" i="1" s="1"/>
  <c r="T275" i="1"/>
  <c r="T52" i="1"/>
  <c r="U162" i="1"/>
  <c r="V162" i="1" s="1"/>
  <c r="W162" i="1" s="1"/>
  <c r="T162" i="1"/>
  <c r="U204" i="1"/>
  <c r="V204" i="1" s="1"/>
  <c r="W204" i="1" s="1"/>
  <c r="T204" i="1"/>
  <c r="U272" i="1"/>
  <c r="V272" i="1" s="1"/>
  <c r="W272" i="1" s="1"/>
  <c r="T272" i="1"/>
  <c r="R60" i="1"/>
  <c r="S60" i="1" s="1"/>
  <c r="U84" i="1"/>
  <c r="V84" i="1" s="1"/>
  <c r="W84" i="1" s="1"/>
  <c r="R92" i="1"/>
  <c r="S92" i="1" s="1"/>
  <c r="T130" i="1"/>
  <c r="U130" i="1"/>
  <c r="V130" i="1" s="1"/>
  <c r="W130" i="1" s="1"/>
  <c r="U173" i="1"/>
  <c r="V173" i="1" s="1"/>
  <c r="W173" i="1" s="1"/>
  <c r="U207" i="1"/>
  <c r="V207" i="1" s="1"/>
  <c r="W207" i="1" s="1"/>
  <c r="T207" i="1"/>
  <c r="T242" i="1"/>
  <c r="U242" i="1"/>
  <c r="V242" i="1" s="1"/>
  <c r="W242" i="1" s="1"/>
  <c r="T117" i="1"/>
  <c r="T154" i="1"/>
  <c r="U154" i="1"/>
  <c r="V154" i="1" s="1"/>
  <c r="W154" i="1" s="1"/>
  <c r="T191" i="1"/>
  <c r="U191" i="1"/>
  <c r="V191" i="1" s="1"/>
  <c r="W191" i="1" s="1"/>
  <c r="U211" i="1"/>
  <c r="V211" i="1" s="1"/>
  <c r="W211" i="1" s="1"/>
  <c r="T211" i="1"/>
  <c r="U279" i="1"/>
  <c r="V279" i="1" s="1"/>
  <c r="W279" i="1" s="1"/>
  <c r="T279" i="1"/>
  <c r="U168" i="1"/>
  <c r="V168" i="1" s="1"/>
  <c r="W168" i="1" s="1"/>
  <c r="T168" i="1"/>
  <c r="U185" i="1"/>
  <c r="V185" i="1" s="1"/>
  <c r="W185" i="1" s="1"/>
  <c r="T276" i="1"/>
  <c r="U276" i="1"/>
  <c r="V276" i="1" s="1"/>
  <c r="W276" i="1" s="1"/>
  <c r="U280" i="1"/>
  <c r="V280" i="1" s="1"/>
  <c r="W280" i="1" s="1"/>
  <c r="T280" i="1"/>
  <c r="U351" i="1"/>
  <c r="V351" i="1" s="1"/>
  <c r="W351" i="1" s="1"/>
  <c r="T351" i="1"/>
  <c r="U366" i="1"/>
  <c r="V366" i="1" s="1"/>
  <c r="W366" i="1" s="1"/>
  <c r="T366" i="1"/>
  <c r="U165" i="1"/>
  <c r="V165" i="1" s="1"/>
  <c r="W165" i="1" s="1"/>
  <c r="T165" i="1"/>
  <c r="T199" i="1"/>
  <c r="U199" i="1"/>
  <c r="V199" i="1" s="1"/>
  <c r="W199" i="1" s="1"/>
  <c r="U218" i="1"/>
  <c r="V218" i="1" s="1"/>
  <c r="W218" i="1" s="1"/>
  <c r="T218" i="1"/>
  <c r="U262" i="1"/>
  <c r="V262" i="1" s="1"/>
  <c r="W262" i="1" s="1"/>
  <c r="T262" i="1"/>
  <c r="U363" i="1"/>
  <c r="V363" i="1" s="1"/>
  <c r="W363" i="1" s="1"/>
  <c r="T363" i="1"/>
  <c r="T226" i="1"/>
  <c r="U226" i="1"/>
  <c r="V226" i="1" s="1"/>
  <c r="W226" i="1" s="1"/>
  <c r="U246" i="1"/>
  <c r="V246" i="1" s="1"/>
  <c r="W246" i="1" s="1"/>
  <c r="T246" i="1"/>
  <c r="T260" i="1"/>
  <c r="U260" i="1"/>
  <c r="V260" i="1" s="1"/>
  <c r="W260" i="1" s="1"/>
  <c r="U267" i="1"/>
  <c r="V267" i="1" s="1"/>
  <c r="W267" i="1" s="1"/>
  <c r="T267" i="1"/>
  <c r="T274" i="1"/>
  <c r="U274" i="1"/>
  <c r="V274" i="1" s="1"/>
  <c r="W274" i="1" s="1"/>
  <c r="U310" i="1"/>
  <c r="V310" i="1" s="1"/>
  <c r="W310" i="1" s="1"/>
  <c r="T310" i="1"/>
  <c r="U317" i="1"/>
  <c r="V317" i="1" s="1"/>
  <c r="W317" i="1" s="1"/>
  <c r="U321" i="1"/>
  <c r="V321" i="1" s="1"/>
  <c r="W321" i="1" s="1"/>
  <c r="T321" i="1"/>
  <c r="T372" i="1"/>
  <c r="U372" i="1"/>
  <c r="V372" i="1" s="1"/>
  <c r="W372" i="1" s="1"/>
  <c r="U5" i="3"/>
  <c r="V5" i="3" s="1"/>
  <c r="W5" i="3" s="1"/>
  <c r="T5" i="3"/>
  <c r="U136" i="1"/>
  <c r="V136" i="1" s="1"/>
  <c r="W136" i="1" s="1"/>
  <c r="R142" i="1"/>
  <c r="S142" i="1" s="1"/>
  <c r="R148" i="1"/>
  <c r="S148" i="1" s="1"/>
  <c r="R223" i="1"/>
  <c r="S223" i="1" s="1"/>
  <c r="T235" i="1"/>
  <c r="R239" i="1"/>
  <c r="S239" i="1" s="1"/>
  <c r="U337" i="1"/>
  <c r="V337" i="1" s="1"/>
  <c r="W337" i="1" s="1"/>
  <c r="T337" i="1"/>
  <c r="U369" i="1"/>
  <c r="V369" i="1" s="1"/>
  <c r="W369" i="1" s="1"/>
  <c r="T369" i="1"/>
  <c r="T2" i="3"/>
  <c r="U2" i="3"/>
  <c r="V2" i="3" s="1"/>
  <c r="W2" i="3" s="1"/>
  <c r="U194" i="1"/>
  <c r="V194" i="1" s="1"/>
  <c r="W194" i="1" s="1"/>
  <c r="T194" i="1"/>
  <c r="U220" i="1"/>
  <c r="V220" i="1" s="1"/>
  <c r="W220" i="1" s="1"/>
  <c r="T220" i="1"/>
  <c r="T250" i="1"/>
  <c r="U250" i="1"/>
  <c r="V250" i="1" s="1"/>
  <c r="W250" i="1" s="1"/>
  <c r="U257" i="1"/>
  <c r="V257" i="1" s="1"/>
  <c r="W257" i="1" s="1"/>
  <c r="T257" i="1"/>
  <c r="U264" i="1"/>
  <c r="V264" i="1" s="1"/>
  <c r="W264" i="1" s="1"/>
  <c r="T264" i="1"/>
  <c r="U278" i="1"/>
  <c r="V278" i="1" s="1"/>
  <c r="W278" i="1" s="1"/>
  <c r="T278" i="1"/>
  <c r="U285" i="1"/>
  <c r="V285" i="1" s="1"/>
  <c r="W285" i="1" s="1"/>
  <c r="T285" i="1"/>
  <c r="U329" i="1"/>
  <c r="V329" i="1" s="1"/>
  <c r="W329" i="1" s="1"/>
  <c r="T329" i="1"/>
  <c r="U347" i="1"/>
  <c r="V347" i="1" s="1"/>
  <c r="W347" i="1" s="1"/>
  <c r="T347" i="1"/>
  <c r="U358" i="1"/>
  <c r="V358" i="1" s="1"/>
  <c r="W358" i="1" s="1"/>
  <c r="T358" i="1"/>
  <c r="T136" i="1"/>
  <c r="R174" i="1"/>
  <c r="S174" i="1" s="1"/>
  <c r="U189" i="1"/>
  <c r="V189" i="1" s="1"/>
  <c r="W189" i="1" s="1"/>
  <c r="U254" i="1"/>
  <c r="V254" i="1" s="1"/>
  <c r="W254" i="1" s="1"/>
  <c r="T254" i="1"/>
  <c r="U271" i="1"/>
  <c r="V271" i="1" s="1"/>
  <c r="W271" i="1" s="1"/>
  <c r="U377" i="1"/>
  <c r="V377" i="1" s="1"/>
  <c r="W377" i="1" s="1"/>
  <c r="T377" i="1"/>
  <c r="T189" i="1"/>
  <c r="U203" i="1"/>
  <c r="V203" i="1" s="1"/>
  <c r="W203" i="1" s="1"/>
  <c r="T203" i="1"/>
  <c r="U215" i="1"/>
  <c r="V215" i="1" s="1"/>
  <c r="W215" i="1" s="1"/>
  <c r="T215" i="1"/>
  <c r="U227" i="1"/>
  <c r="V227" i="1" s="1"/>
  <c r="W227" i="1" s="1"/>
  <c r="U265" i="1"/>
  <c r="V265" i="1" s="1"/>
  <c r="W265" i="1" s="1"/>
  <c r="T265" i="1"/>
  <c r="U286" i="1"/>
  <c r="V286" i="1" s="1"/>
  <c r="W286" i="1" s="1"/>
  <c r="T286" i="1"/>
  <c r="U326" i="1"/>
  <c r="V326" i="1" s="1"/>
  <c r="W326" i="1" s="1"/>
  <c r="T326" i="1"/>
  <c r="T370" i="1"/>
  <c r="U370" i="1"/>
  <c r="V370" i="1" s="1"/>
  <c r="W370" i="1" s="1"/>
  <c r="U4" i="3"/>
  <c r="V4" i="3" s="1"/>
  <c r="W4" i="3" s="1"/>
  <c r="U139" i="1"/>
  <c r="V139" i="1" s="1"/>
  <c r="W139" i="1" s="1"/>
  <c r="U225" i="1"/>
  <c r="V225" i="1" s="1"/>
  <c r="W225" i="1" s="1"/>
  <c r="T225" i="1"/>
  <c r="U237" i="1"/>
  <c r="V237" i="1" s="1"/>
  <c r="W237" i="1" s="1"/>
  <c r="T237" i="1"/>
  <c r="T266" i="1"/>
  <c r="U266" i="1"/>
  <c r="V266" i="1" s="1"/>
  <c r="W266" i="1" s="1"/>
  <c r="U294" i="1"/>
  <c r="V294" i="1" s="1"/>
  <c r="W294" i="1" s="1"/>
  <c r="T294" i="1"/>
  <c r="T308" i="1"/>
  <c r="U308" i="1"/>
  <c r="V308" i="1" s="1"/>
  <c r="W308" i="1" s="1"/>
  <c r="T331" i="1"/>
  <c r="U331" i="1"/>
  <c r="V331" i="1" s="1"/>
  <c r="W331" i="1" s="1"/>
  <c r="T364" i="1"/>
  <c r="U364" i="1"/>
  <c r="V364" i="1" s="1"/>
  <c r="W364" i="1" s="1"/>
  <c r="R196" i="1"/>
  <c r="S196" i="1" s="1"/>
  <c r="U222" i="1"/>
  <c r="V222" i="1" s="1"/>
  <c r="W222" i="1" s="1"/>
  <c r="T222" i="1"/>
  <c r="U269" i="1"/>
  <c r="V269" i="1" s="1"/>
  <c r="W269" i="1" s="1"/>
  <c r="T301" i="1"/>
  <c r="U301" i="1"/>
  <c r="V301" i="1" s="1"/>
  <c r="W301" i="1" s="1"/>
  <c r="U305" i="1"/>
  <c r="V305" i="1" s="1"/>
  <c r="W305" i="1" s="1"/>
  <c r="T305" i="1"/>
  <c r="U375" i="1"/>
  <c r="V375" i="1" s="1"/>
  <c r="W375" i="1" s="1"/>
  <c r="T375" i="1"/>
  <c r="U3" i="4"/>
  <c r="V3" i="4" s="1"/>
  <c r="W3" i="4" s="1"/>
  <c r="T3" i="4"/>
  <c r="T356" i="1"/>
  <c r="U356" i="1"/>
  <c r="V356" i="1" s="1"/>
  <c r="W356" i="1" s="1"/>
  <c r="U259" i="1"/>
  <c r="V259" i="1" s="1"/>
  <c r="W259" i="1" s="1"/>
  <c r="T259" i="1"/>
  <c r="R288" i="1"/>
  <c r="S288" i="1" s="1"/>
  <c r="U295" i="1"/>
  <c r="V295" i="1" s="1"/>
  <c r="W295" i="1" s="1"/>
  <c r="T295" i="1"/>
  <c r="U309" i="1"/>
  <c r="V309" i="1" s="1"/>
  <c r="W309" i="1" s="1"/>
  <c r="T309" i="1"/>
  <c r="T324" i="1"/>
  <c r="U324" i="1"/>
  <c r="V324" i="1" s="1"/>
  <c r="W324" i="1" s="1"/>
  <c r="U336" i="1"/>
  <c r="V336" i="1" s="1"/>
  <c r="W336" i="1" s="1"/>
  <c r="T336" i="1"/>
  <c r="U353" i="1"/>
  <c r="V353" i="1" s="1"/>
  <c r="W353" i="1" s="1"/>
  <c r="T353" i="1"/>
  <c r="R368" i="1"/>
  <c r="S368" i="1" s="1"/>
  <c r="R230" i="1"/>
  <c r="S230" i="1" s="1"/>
  <c r="U296" i="1"/>
  <c r="V296" i="1" s="1"/>
  <c r="W296" i="1" s="1"/>
  <c r="U323" i="1"/>
  <c r="V323" i="1" s="1"/>
  <c r="W323" i="1" s="1"/>
  <c r="T323" i="1"/>
  <c r="U374" i="1"/>
  <c r="V374" i="1" s="1"/>
  <c r="W374" i="1" s="1"/>
  <c r="T374" i="1"/>
  <c r="U327" i="1"/>
  <c r="V327" i="1" s="1"/>
  <c r="W327" i="1" s="1"/>
  <c r="T327" i="1"/>
  <c r="U333" i="1"/>
  <c r="V333" i="1" s="1"/>
  <c r="W333" i="1" s="1"/>
  <c r="U302" i="1"/>
  <c r="V302" i="1" s="1"/>
  <c r="W302" i="1" s="1"/>
  <c r="T302" i="1"/>
  <c r="U313" i="1"/>
  <c r="V313" i="1" s="1"/>
  <c r="W313" i="1" s="1"/>
  <c r="T313" i="1"/>
  <c r="R255" i="1"/>
  <c r="S255" i="1" s="1"/>
  <c r="T271" i="1"/>
  <c r="T300" i="1"/>
  <c r="U300" i="1"/>
  <c r="V300" i="1" s="1"/>
  <c r="W300" i="1" s="1"/>
  <c r="T333" i="1"/>
  <c r="T4" i="3"/>
  <c r="U2" i="4"/>
  <c r="V2" i="4" s="1"/>
  <c r="W2" i="4" s="1"/>
  <c r="T269" i="1"/>
  <c r="U345" i="1"/>
  <c r="V345" i="1" s="1"/>
  <c r="W345" i="1" s="1"/>
  <c r="T345" i="1"/>
  <c r="U359" i="1"/>
  <c r="V359" i="1" s="1"/>
  <c r="W359" i="1" s="1"/>
  <c r="T359" i="1"/>
  <c r="T2" i="4"/>
  <c r="R201" i="1"/>
  <c r="S201" i="1" s="1"/>
  <c r="R238" i="1"/>
  <c r="S238" i="1" s="1"/>
  <c r="R251" i="1"/>
  <c r="S251" i="1" s="1"/>
  <c r="U316" i="1"/>
  <c r="V316" i="1" s="1"/>
  <c r="W316" i="1" s="1"/>
  <c r="T322" i="1"/>
  <c r="U322" i="1"/>
  <c r="V322" i="1" s="1"/>
  <c r="W322" i="1" s="1"/>
  <c r="U339" i="1"/>
  <c r="V339" i="1" s="1"/>
  <c r="W339" i="1" s="1"/>
  <c r="U342" i="1"/>
  <c r="V342" i="1" s="1"/>
  <c r="W342" i="1" s="1"/>
  <c r="T342" i="1"/>
  <c r="U348" i="1"/>
  <c r="V348" i="1" s="1"/>
  <c r="W348" i="1" s="1"/>
  <c r="U367" i="1"/>
  <c r="V367" i="1" s="1"/>
  <c r="W367" i="1" s="1"/>
  <c r="T367" i="1"/>
  <c r="U8" i="4"/>
  <c r="V8" i="4" s="1"/>
  <c r="W8" i="4" s="1"/>
  <c r="T8" i="4"/>
  <c r="U362" i="1"/>
  <c r="V362" i="1" s="1"/>
  <c r="W362" i="1" s="1"/>
  <c r="T373" i="1"/>
  <c r="R247" i="1"/>
  <c r="S247" i="1" s="1"/>
  <c r="R292" i="1"/>
  <c r="S292" i="1" s="1"/>
  <c r="R298" i="1"/>
  <c r="S298" i="1" s="1"/>
  <c r="R346" i="1"/>
  <c r="S346" i="1" s="1"/>
  <c r="R360" i="1"/>
  <c r="S360" i="1" s="1"/>
  <c r="R198" i="1"/>
  <c r="S198" i="1" s="1"/>
  <c r="R233" i="1"/>
  <c r="S233" i="1" s="1"/>
  <c r="R263" i="1"/>
  <c r="S263" i="1" s="1"/>
  <c r="T314" i="1"/>
  <c r="U314" i="1"/>
  <c r="V314" i="1" s="1"/>
  <c r="W314" i="1" s="1"/>
  <c r="R340" i="1"/>
  <c r="S340" i="1" s="1"/>
  <c r="U343" i="1"/>
  <c r="V343" i="1" s="1"/>
  <c r="W343" i="1" s="1"/>
  <c r="T343" i="1"/>
  <c r="T12" i="4"/>
  <c r="U12" i="4"/>
  <c r="V12" i="4" s="1"/>
  <c r="W12" i="4" s="1"/>
  <c r="T287" i="1"/>
  <c r="U320" i="1"/>
  <c r="V320" i="1" s="1"/>
  <c r="W320" i="1" s="1"/>
  <c r="T320" i="1"/>
  <c r="U352" i="1"/>
  <c r="V352" i="1" s="1"/>
  <c r="W352" i="1" s="1"/>
  <c r="R252" i="1"/>
  <c r="S252" i="1" s="1"/>
  <c r="R268" i="1"/>
  <c r="S268" i="1" s="1"/>
  <c r="R332" i="1"/>
  <c r="S332" i="1" s="1"/>
  <c r="R335" i="1"/>
  <c r="S335" i="1" s="1"/>
  <c r="T3" i="3"/>
  <c r="U3" i="3"/>
  <c r="V3" i="3" s="1"/>
  <c r="W3" i="3" s="1"/>
  <c r="R299" i="1"/>
  <c r="S299" i="1" s="1"/>
  <c r="U325" i="1"/>
  <c r="V325" i="1" s="1"/>
  <c r="W325" i="1" s="1"/>
  <c r="R330" i="1"/>
  <c r="S330" i="1" s="1"/>
  <c r="R283" i="1"/>
  <c r="S283" i="1" s="1"/>
  <c r="U15" i="4"/>
  <c r="V15" i="4" s="1"/>
  <c r="W15" i="4" s="1"/>
  <c r="T15" i="4"/>
  <c r="T6" i="4"/>
  <c r="U6" i="4"/>
  <c r="V6" i="4" s="1"/>
  <c r="W6" i="4" s="1"/>
  <c r="V2" i="6"/>
  <c r="W2" i="6" s="1"/>
  <c r="X2" i="6" s="1"/>
  <c r="U2" i="6"/>
  <c r="R319" i="1"/>
  <c r="S319" i="1" s="1"/>
  <c r="U14" i="4"/>
  <c r="V14" i="4" s="1"/>
  <c r="W14" i="4" s="1"/>
  <c r="T14" i="4"/>
  <c r="R5" i="4"/>
  <c r="S5" i="4" s="1"/>
  <c r="U2" i="7"/>
  <c r="V2" i="7" s="1"/>
  <c r="W2" i="7" s="1"/>
  <c r="T2" i="7"/>
  <c r="U2" i="5"/>
  <c r="T283" i="1" l="1"/>
  <c r="U283" i="1"/>
  <c r="V283" i="1" s="1"/>
  <c r="W283" i="1" s="1"/>
  <c r="T142" i="1"/>
  <c r="U142" i="1"/>
  <c r="V142" i="1" s="1"/>
  <c r="W142" i="1" s="1"/>
  <c r="U12" i="1"/>
  <c r="V12" i="1" s="1"/>
  <c r="W12" i="1" s="1"/>
  <c r="T12" i="1"/>
  <c r="T155" i="1"/>
  <c r="U155" i="1"/>
  <c r="V155" i="1" s="1"/>
  <c r="W155" i="1" s="1"/>
  <c r="T330" i="1"/>
  <c r="U330" i="1"/>
  <c r="V330" i="1" s="1"/>
  <c r="W330" i="1" s="1"/>
  <c r="U100" i="1"/>
  <c r="V100" i="1" s="1"/>
  <c r="W100" i="1" s="1"/>
  <c r="T100" i="1"/>
  <c r="T148" i="1"/>
  <c r="U148" i="1"/>
  <c r="V148" i="1" s="1"/>
  <c r="W148" i="1" s="1"/>
  <c r="U28" i="1"/>
  <c r="V28" i="1" s="1"/>
  <c r="W28" i="1" s="1"/>
  <c r="T28" i="1"/>
  <c r="T340" i="1"/>
  <c r="U340" i="1"/>
  <c r="V340" i="1" s="1"/>
  <c r="W340" i="1" s="1"/>
  <c r="U299" i="1"/>
  <c r="V299" i="1" s="1"/>
  <c r="W299" i="1" s="1"/>
  <c r="T299" i="1"/>
  <c r="U42" i="1"/>
  <c r="V42" i="1" s="1"/>
  <c r="W42" i="1" s="1"/>
  <c r="T42" i="1"/>
  <c r="T24" i="1"/>
  <c r="U24" i="1"/>
  <c r="V24" i="1" s="1"/>
  <c r="W24" i="1" s="1"/>
  <c r="U153" i="1"/>
  <c r="V153" i="1" s="1"/>
  <c r="W153" i="1" s="1"/>
  <c r="T153" i="1"/>
  <c r="U68" i="1"/>
  <c r="V68" i="1" s="1"/>
  <c r="W68" i="1" s="1"/>
  <c r="T68" i="1"/>
  <c r="T198" i="1"/>
  <c r="U198" i="1"/>
  <c r="V198" i="1" s="1"/>
  <c r="W198" i="1" s="1"/>
  <c r="T244" i="1"/>
  <c r="U244" i="1"/>
  <c r="V244" i="1" s="1"/>
  <c r="W244" i="1" s="1"/>
  <c r="U8" i="1"/>
  <c r="V8" i="1" s="1"/>
  <c r="W8" i="1" s="1"/>
  <c r="T8" i="1"/>
  <c r="U263" i="1"/>
  <c r="V263" i="1" s="1"/>
  <c r="W263" i="1" s="1"/>
  <c r="T263" i="1"/>
  <c r="U288" i="1"/>
  <c r="V288" i="1" s="1"/>
  <c r="W288" i="1" s="1"/>
  <c r="T288" i="1"/>
  <c r="T5" i="4"/>
  <c r="U5" i="4"/>
  <c r="V5" i="4" s="1"/>
  <c r="W5" i="4" s="1"/>
  <c r="U335" i="1"/>
  <c r="V335" i="1" s="1"/>
  <c r="W335" i="1" s="1"/>
  <c r="T335" i="1"/>
  <c r="T233" i="1"/>
  <c r="U233" i="1"/>
  <c r="V233" i="1" s="1"/>
  <c r="W233" i="1" s="1"/>
  <c r="T145" i="1"/>
  <c r="U145" i="1"/>
  <c r="V145" i="1" s="1"/>
  <c r="W145" i="1" s="1"/>
  <c r="T137" i="1"/>
  <c r="U137" i="1"/>
  <c r="V137" i="1" s="1"/>
  <c r="W137" i="1" s="1"/>
  <c r="T268" i="1"/>
  <c r="U268" i="1"/>
  <c r="V268" i="1" s="1"/>
  <c r="W268" i="1" s="1"/>
  <c r="T196" i="1"/>
  <c r="U196" i="1"/>
  <c r="V196" i="1" s="1"/>
  <c r="W196" i="1" s="1"/>
  <c r="U319" i="1"/>
  <c r="V319" i="1" s="1"/>
  <c r="W319" i="1" s="1"/>
  <c r="T319" i="1"/>
  <c r="T252" i="1"/>
  <c r="U252" i="1"/>
  <c r="V252" i="1" s="1"/>
  <c r="W252" i="1" s="1"/>
  <c r="U360" i="1"/>
  <c r="V360" i="1" s="1"/>
  <c r="W360" i="1" s="1"/>
  <c r="T360" i="1"/>
  <c r="T230" i="1"/>
  <c r="U230" i="1"/>
  <c r="V230" i="1" s="1"/>
  <c r="W230" i="1" s="1"/>
  <c r="T332" i="1"/>
  <c r="U332" i="1"/>
  <c r="V332" i="1" s="1"/>
  <c r="W332" i="1" s="1"/>
  <c r="T92" i="1"/>
  <c r="U92" i="1"/>
  <c r="V92" i="1" s="1"/>
  <c r="W92" i="1" s="1"/>
  <c r="T298" i="1"/>
  <c r="U298" i="1"/>
  <c r="V298" i="1" s="1"/>
  <c r="W298" i="1" s="1"/>
  <c r="T251" i="1"/>
  <c r="U251" i="1"/>
  <c r="V251" i="1" s="1"/>
  <c r="W251" i="1" s="1"/>
  <c r="T292" i="1"/>
  <c r="U292" i="1"/>
  <c r="V292" i="1" s="1"/>
  <c r="W292" i="1" s="1"/>
  <c r="U238" i="1"/>
  <c r="V238" i="1" s="1"/>
  <c r="W238" i="1" s="1"/>
  <c r="T238" i="1"/>
  <c r="U255" i="1"/>
  <c r="V255" i="1" s="1"/>
  <c r="W255" i="1" s="1"/>
  <c r="T255" i="1"/>
  <c r="U239" i="1"/>
  <c r="V239" i="1" s="1"/>
  <c r="W239" i="1" s="1"/>
  <c r="T239" i="1"/>
  <c r="T60" i="1"/>
  <c r="U60" i="1"/>
  <c r="V60" i="1" s="1"/>
  <c r="W60" i="1" s="1"/>
  <c r="T346" i="1"/>
  <c r="U346" i="1"/>
  <c r="V346" i="1" s="1"/>
  <c r="W346" i="1" s="1"/>
  <c r="T368" i="1"/>
  <c r="U368" i="1"/>
  <c r="V368" i="1" s="1"/>
  <c r="W368" i="1" s="1"/>
  <c r="U247" i="1"/>
  <c r="V247" i="1" s="1"/>
  <c r="W247" i="1" s="1"/>
  <c r="T247" i="1"/>
  <c r="T201" i="1"/>
  <c r="U201" i="1"/>
  <c r="V201" i="1" s="1"/>
  <c r="W201" i="1" s="1"/>
  <c r="T174" i="1"/>
  <c r="U174" i="1"/>
  <c r="V174" i="1" s="1"/>
  <c r="W174" i="1" s="1"/>
  <c r="U223" i="1"/>
  <c r="V223" i="1" s="1"/>
  <c r="W223" i="1" s="1"/>
  <c r="T223" i="1"/>
  <c r="U44" i="1"/>
  <c r="V44" i="1" s="1"/>
  <c r="W44" i="1" s="1"/>
  <c r="T44" i="1"/>
  <c r="U13" i="1"/>
  <c r="V13" i="1" s="1"/>
  <c r="W13" i="1" s="1"/>
  <c r="T13" i="1"/>
</calcChain>
</file>

<file path=xl/sharedStrings.xml><?xml version="1.0" encoding="utf-8"?>
<sst xmlns="http://schemas.openxmlformats.org/spreadsheetml/2006/main" count="1768" uniqueCount="693">
  <si>
    <t>SEGMENT</t>
  </si>
  <si>
    <t>MODEL</t>
  </si>
  <si>
    <t>Variant</t>
  </si>
  <si>
    <t>ITEM NAME</t>
  </si>
  <si>
    <t>PART NO.</t>
  </si>
  <si>
    <t>Set Qty</t>
  </si>
  <si>
    <t>NDP</t>
  </si>
  <si>
    <t>NDP (Qty)</t>
  </si>
  <si>
    <t>GST on NDP</t>
  </si>
  <si>
    <t>NDP with GST (Qtyt)</t>
  </si>
  <si>
    <t>Selling Price</t>
  </si>
  <si>
    <t>Selling Price (Qty)</t>
  </si>
  <si>
    <t>MRP with GST (Qty)</t>
  </si>
  <si>
    <t>Fitment Chg WO GST (Qty)</t>
  </si>
  <si>
    <t>GST on Fitment</t>
  </si>
  <si>
    <t>Fitment with GST (Qty)</t>
  </si>
  <si>
    <t>Fitment Cost WO GST (Qty)</t>
  </si>
  <si>
    <t>MRP WITH FITMENT WITH GST</t>
  </si>
  <si>
    <t>MRP (ROUNDED)</t>
  </si>
  <si>
    <t>Difference</t>
  </si>
  <si>
    <t>Retn</t>
  </si>
  <si>
    <t>Retn WO GST</t>
  </si>
  <si>
    <t>Retn %</t>
  </si>
  <si>
    <t>Discount</t>
  </si>
  <si>
    <t>PERSONAL</t>
  </si>
  <si>
    <t>BE 6</t>
  </si>
  <si>
    <t>3D Boot Mat</t>
  </si>
  <si>
    <t>BE50009</t>
  </si>
  <si>
    <t>BEV</t>
  </si>
  <si>
    <t>BE6</t>
  </si>
  <si>
    <t>CeramicCoating-AR-XUV700/Scorpio/Roxx</t>
  </si>
  <si>
    <t>ArmorX PPF (5Y Wty. + 1Yr. Ins Cov)</t>
  </si>
  <si>
    <t>BE50116</t>
  </si>
  <si>
    <t>AW60177</t>
  </si>
  <si>
    <t>3D Floor Mat</t>
  </si>
  <si>
    <t>BE50023</t>
  </si>
  <si>
    <t>XEV9E</t>
  </si>
  <si>
    <t>AW90074</t>
  </si>
  <si>
    <t>Ceramic Coating-AR-XUV300/400</t>
  </si>
  <si>
    <t>AS20059</t>
  </si>
  <si>
    <t>XEV 9e</t>
  </si>
  <si>
    <t>3D Mat (Without Boot)</t>
  </si>
  <si>
    <t>AW90017</t>
  </si>
  <si>
    <t>XEV9S</t>
  </si>
  <si>
    <t>THAR</t>
  </si>
  <si>
    <t>AW61130</t>
  </si>
  <si>
    <t>Ceramic Coating-AR-Thar</t>
  </si>
  <si>
    <t>AT00298</t>
  </si>
  <si>
    <t xml:space="preserve">3D Mat Set </t>
  </si>
  <si>
    <t>AW80015</t>
  </si>
  <si>
    <t>SCORPIO-N, SCORPIO</t>
  </si>
  <si>
    <t>AZ00250</t>
  </si>
  <si>
    <t>SCORPIO CLASSIC</t>
  </si>
  <si>
    <t>Ceramic Coating-AR-BE 6</t>
  </si>
  <si>
    <t>BE50084</t>
  </si>
  <si>
    <t>7 D Matting</t>
  </si>
  <si>
    <t>AC00739</t>
  </si>
  <si>
    <t>AT00330</t>
  </si>
  <si>
    <t>SCORPIO N</t>
  </si>
  <si>
    <t>AZ00060</t>
  </si>
  <si>
    <t>Ceramic Coating-AR-XEV 9e</t>
  </si>
  <si>
    <t>AW90041</t>
  </si>
  <si>
    <t>AT50146</t>
  </si>
  <si>
    <t>XUV 700</t>
  </si>
  <si>
    <t>AW60061</t>
  </si>
  <si>
    <t>XUV700, XUV7XO</t>
  </si>
  <si>
    <t>7D Floor Mat</t>
  </si>
  <si>
    <t>BE50026</t>
  </si>
  <si>
    <t>Ultra Premium PPF (10Yr. Wty. + 1Yr. Ins Cov)</t>
  </si>
  <si>
    <t>BE50086</t>
  </si>
  <si>
    <t>7D Floor Mat - At</t>
  </si>
  <si>
    <t>AT00307</t>
  </si>
  <si>
    <t>AW90043</t>
  </si>
  <si>
    <t>7D Floor Mat - Mt</t>
  </si>
  <si>
    <t>AT00308</t>
  </si>
  <si>
    <t>AW60151</t>
  </si>
  <si>
    <t>AZ00157</t>
  </si>
  <si>
    <t>THAR ROXX</t>
  </si>
  <si>
    <t>7D Floor Mat Set</t>
  </si>
  <si>
    <t>AT50022</t>
  </si>
  <si>
    <t>AT50021</t>
  </si>
  <si>
    <t>XUV 3X0</t>
  </si>
  <si>
    <t>AT00283</t>
  </si>
  <si>
    <t>7D Floor Mat Set At</t>
  </si>
  <si>
    <t>AS20012</t>
  </si>
  <si>
    <t>7D Floor Mat Set Mt</t>
  </si>
  <si>
    <t>AS20013</t>
  </si>
  <si>
    <t>AS00280</t>
  </si>
  <si>
    <t>XUV400, THAR ROXX</t>
  </si>
  <si>
    <t>AS00279</t>
  </si>
  <si>
    <t>AW80063</t>
  </si>
  <si>
    <t>Permit</t>
  </si>
  <si>
    <t>AW61071</t>
  </si>
  <si>
    <t>AW61070</t>
  </si>
  <si>
    <t>ANY</t>
  </si>
  <si>
    <t>Passenger</t>
  </si>
  <si>
    <t xml:space="preserve"> Gps VLTD Mapmyindia</t>
  </si>
  <si>
    <t>BMT0066</t>
  </si>
  <si>
    <t>AW60164</t>
  </si>
  <si>
    <t>COMMERCIAL</t>
  </si>
  <si>
    <t>Goods</t>
  </si>
  <si>
    <t>RTO TAPE</t>
  </si>
  <si>
    <t>AS585</t>
  </si>
  <si>
    <t>VEERO</t>
  </si>
  <si>
    <t>9-Inch Infotainment Bezel</t>
  </si>
  <si>
    <t>AP20021</t>
  </si>
  <si>
    <t>9-Inch Infotainment System</t>
  </si>
  <si>
    <t>AP20020</t>
  </si>
  <si>
    <t xml:space="preserve">Access Key Card </t>
  </si>
  <si>
    <t>AW90027</t>
  </si>
  <si>
    <t>BE50077</t>
  </si>
  <si>
    <t>Active Charcoal</t>
  </si>
  <si>
    <t>T0029967665</t>
  </si>
  <si>
    <t>Air Dam Kit Set</t>
  </si>
  <si>
    <t>AT50043</t>
  </si>
  <si>
    <t>Alloy Wheel</t>
  </si>
  <si>
    <t>AT00106</t>
  </si>
  <si>
    <t>AS00275</t>
  </si>
  <si>
    <t>Alloy Wheel - 18 Inch</t>
  </si>
  <si>
    <t>AT50048</t>
  </si>
  <si>
    <t>Alloy Wheel - 19 Inch</t>
  </si>
  <si>
    <t>AT50049</t>
  </si>
  <si>
    <t>Alloy Wheel Set</t>
  </si>
  <si>
    <t>BR00217</t>
  </si>
  <si>
    <t>Alloy Wheel Hub Cap</t>
  </si>
  <si>
    <t>AT50038</t>
  </si>
  <si>
    <t>AC00741</t>
  </si>
  <si>
    <t>Alloy Wheel Set (17 Inch)</t>
  </si>
  <si>
    <t>AZ00155</t>
  </si>
  <si>
    <t>AW60102</t>
  </si>
  <si>
    <t>Alloy Wheel Set (18 Inch)</t>
  </si>
  <si>
    <t>AZ00156</t>
  </si>
  <si>
    <t>AZ00131</t>
  </si>
  <si>
    <t>AW60104</t>
  </si>
  <si>
    <t>BOLERO NEO</t>
  </si>
  <si>
    <t>Alloy Wheels Set</t>
  </si>
  <si>
    <t>ATU0062</t>
  </si>
  <si>
    <t>XUV 400</t>
  </si>
  <si>
    <t>Alloy Wheels Hub Cap</t>
  </si>
  <si>
    <t>ATU0216</t>
  </si>
  <si>
    <t>Alluminium Scuff Plate</t>
  </si>
  <si>
    <t>AT50028</t>
  </si>
  <si>
    <t>Antenna</t>
  </si>
  <si>
    <t>AS501</t>
  </si>
  <si>
    <t>Anti-Skid Rubberized Tray Kit/Console Mat (6 Pc)</t>
  </si>
  <si>
    <t>BE50055</t>
  </si>
  <si>
    <t xml:space="preserve">Auto Smart Kit-Wireless </t>
  </si>
  <si>
    <t>AW90035</t>
  </si>
  <si>
    <t>Back Door Applique</t>
  </si>
  <si>
    <t>AS20020</t>
  </si>
  <si>
    <t>BOLERO</t>
  </si>
  <si>
    <t>Body Cover</t>
  </si>
  <si>
    <t>BR00086</t>
  </si>
  <si>
    <t>ATU0168</t>
  </si>
  <si>
    <t>AS00234</t>
  </si>
  <si>
    <t>AT00084</t>
  </si>
  <si>
    <t>AC00476</t>
  </si>
  <si>
    <t>AZ00020</t>
  </si>
  <si>
    <t>AW60046</t>
  </si>
  <si>
    <t>AW80059</t>
  </si>
  <si>
    <t>Body Cover – Barcode Design</t>
  </si>
  <si>
    <t>BE50017</t>
  </si>
  <si>
    <t>Body Cover Premium</t>
  </si>
  <si>
    <t>AS20001</t>
  </si>
  <si>
    <t>Body Cover Sporty</t>
  </si>
  <si>
    <t>AS20002</t>
  </si>
  <si>
    <t>Body Cover-Silver</t>
  </si>
  <si>
    <t>AW61040</t>
  </si>
  <si>
    <t>Body Side Decals</t>
  </si>
  <si>
    <t>AZ00122</t>
  </si>
  <si>
    <t xml:space="preserve">Body Side Molding </t>
  </si>
  <si>
    <t>AW61015</t>
  </si>
  <si>
    <t>Body Side Molding-Dark Chrome Applique</t>
  </si>
  <si>
    <t>AW60192</t>
  </si>
  <si>
    <t>Body Side Moulding Set (4Pc)</t>
  </si>
  <si>
    <t>AW90003</t>
  </si>
  <si>
    <t>Boot Mat (3D / 2D)</t>
  </si>
  <si>
    <t>AW90020</t>
  </si>
  <si>
    <t>Boss Edition Exterior Kit</t>
  </si>
  <si>
    <t>AC00826</t>
  </si>
  <si>
    <t>Boss Edition Int Kit-7Cc</t>
  </si>
  <si>
    <t>AC00828</t>
  </si>
  <si>
    <t>Boss Edition Int Kit-7Sf</t>
  </si>
  <si>
    <t>AC00825</t>
  </si>
  <si>
    <t>Bottom Door Cladding Set</t>
  </si>
  <si>
    <t>AT50041</t>
  </si>
  <si>
    <t>Bug Deflector</t>
  </si>
  <si>
    <t>AZ00015</t>
  </si>
  <si>
    <t>Bumper Corner Protector</t>
  </si>
  <si>
    <t>AS20029</t>
  </si>
  <si>
    <t>AZ00044</t>
  </si>
  <si>
    <t>Byod Mobile/Tablet Gripper</t>
  </si>
  <si>
    <t>AW80009</t>
  </si>
  <si>
    <t>Camouflage Full Body Cover</t>
  </si>
  <si>
    <t>AT50013</t>
  </si>
  <si>
    <t>Central Locking</t>
  </si>
  <si>
    <t>AS00140</t>
  </si>
  <si>
    <t>Charger</t>
  </si>
  <si>
    <t>AW10189</t>
  </si>
  <si>
    <t>Charger 130 Watts</t>
  </si>
  <si>
    <t>AZ00172</t>
  </si>
  <si>
    <t>Chassis Anti Rust Treatment</t>
  </si>
  <si>
    <t>MC11MKC</t>
  </si>
  <si>
    <t>MC11MKL</t>
  </si>
  <si>
    <t>Chrome Set</t>
  </si>
  <si>
    <t>BR00187</t>
  </si>
  <si>
    <t>ATU0205</t>
  </si>
  <si>
    <t>AT00223</t>
  </si>
  <si>
    <t>AC00750</t>
  </si>
  <si>
    <t>AZ00116</t>
  </si>
  <si>
    <t>AW60105</t>
  </si>
  <si>
    <t>Chrome Set Scorpio N Lower Variant</t>
  </si>
  <si>
    <t>AZ00080</t>
  </si>
  <si>
    <t>AZ00081</t>
  </si>
  <si>
    <t>AZ00113</t>
  </si>
  <si>
    <t>AZ00011</t>
  </si>
  <si>
    <t>Chrome Set Thar Black (Hl / Tl / Sm)</t>
  </si>
  <si>
    <t>AT00164</t>
  </si>
  <si>
    <t>AT00165</t>
  </si>
  <si>
    <t>AT00166</t>
  </si>
  <si>
    <t>Comfert Kit</t>
  </si>
  <si>
    <t>AS20038</t>
  </si>
  <si>
    <t>Comfort Kit</t>
  </si>
  <si>
    <t>AS20067</t>
  </si>
  <si>
    <t>AW80062</t>
  </si>
  <si>
    <t>AZ00119</t>
  </si>
  <si>
    <t>AW61076</t>
  </si>
  <si>
    <t>Compact Vacuum Cleaner</t>
  </si>
  <si>
    <t>AK00085</t>
  </si>
  <si>
    <t>Cover Fog Lamp Lh</t>
  </si>
  <si>
    <t>2302AS203310N</t>
  </si>
  <si>
    <t>Cover Fog Lamp Rh</t>
  </si>
  <si>
    <t>2302AS203300N</t>
  </si>
  <si>
    <t>Dark Edition_Scorpion Mt</t>
  </si>
  <si>
    <t>AZ00196</t>
  </si>
  <si>
    <t>Dash Cam Dual Channel</t>
  </si>
  <si>
    <t>AT50091</t>
  </si>
  <si>
    <t>Dash Mat</t>
  </si>
  <si>
    <t>AZ00074</t>
  </si>
  <si>
    <t>Desh Cam Single Channel</t>
  </si>
  <si>
    <t>ATU0225</t>
  </si>
  <si>
    <t>Designer Floor Mat</t>
  </si>
  <si>
    <t>BE50024</t>
  </si>
  <si>
    <t>Designer Mat - Mt</t>
  </si>
  <si>
    <t>AS20005</t>
  </si>
  <si>
    <t>Designer Mat - At</t>
  </si>
  <si>
    <t>AT00309</t>
  </si>
  <si>
    <t>AT00310</t>
  </si>
  <si>
    <t>Designer Mat (Without Boot)</t>
  </si>
  <si>
    <t>AW90008</t>
  </si>
  <si>
    <t>Digital Tyre Inflator</t>
  </si>
  <si>
    <t>AW60097</t>
  </si>
  <si>
    <t>Diy Car Care Kit</t>
  </si>
  <si>
    <t>AW10115</t>
  </si>
  <si>
    <t>Door Cladding Set</t>
  </si>
  <si>
    <t>AS20018</t>
  </si>
  <si>
    <t>Door Handle Applique Set</t>
  </si>
  <si>
    <t>AT50040</t>
  </si>
  <si>
    <t>Dual Tone Full Body Cover</t>
  </si>
  <si>
    <t>AT50011</t>
  </si>
  <si>
    <t>Fender N Door Cladding Set</t>
  </si>
  <si>
    <t>AT50009</t>
  </si>
  <si>
    <t>CAMPER</t>
  </si>
  <si>
    <t>Fog Lamp</t>
  </si>
  <si>
    <t>BR00035</t>
  </si>
  <si>
    <t>BR00150</t>
  </si>
  <si>
    <t>AS20083</t>
  </si>
  <si>
    <t>Fog Lamp Cover Set</t>
  </si>
  <si>
    <t>ATU0165</t>
  </si>
  <si>
    <t>Foot Rest</t>
  </si>
  <si>
    <t>ATU0040</t>
  </si>
  <si>
    <t>AC00748</t>
  </si>
  <si>
    <t>AZ00137</t>
  </si>
  <si>
    <t>AW60021</t>
  </si>
  <si>
    <t>Fr Ctr Console Illumination Accent-</t>
  </si>
  <si>
    <t>AT50124</t>
  </si>
  <si>
    <t>Frame N Coupler Kit</t>
  </si>
  <si>
    <t>AS00230</t>
  </si>
  <si>
    <t>Front &amp; Rear Mud Flap</t>
  </si>
  <si>
    <t>AS20035</t>
  </si>
  <si>
    <t>Front &amp; Rear Stylish Bumper</t>
  </si>
  <si>
    <t>AZ00028</t>
  </si>
  <si>
    <t>AZ00045</t>
  </si>
  <si>
    <t>Front Arm Rest</t>
  </si>
  <si>
    <t>AT00261</t>
  </si>
  <si>
    <t>Front Bumper Add On</t>
  </si>
  <si>
    <t>AS20030</t>
  </si>
  <si>
    <t>AT50007</t>
  </si>
  <si>
    <t>Front Bumper Applique (3 Pc)</t>
  </si>
  <si>
    <t>BE50006</t>
  </si>
  <si>
    <t>Front Fog Lamp Applique Set</t>
  </si>
  <si>
    <t>AT50001</t>
  </si>
  <si>
    <t>Front Fog Lamp Wiring</t>
  </si>
  <si>
    <t>AT50052</t>
  </si>
  <si>
    <t>BR00152</t>
  </si>
  <si>
    <t>Front Frunk Liner</t>
  </si>
  <si>
    <t>BE50033</t>
  </si>
  <si>
    <t>Front Indicator Applique Set</t>
  </si>
  <si>
    <t>AT50002</t>
  </si>
  <si>
    <t>Front Lower Bumper Applique Set (2Pc)</t>
  </si>
  <si>
    <t>AW90005</t>
  </si>
  <si>
    <t>Front Lower Grille Applique</t>
  </si>
  <si>
    <t>AS20026</t>
  </si>
  <si>
    <t>Front N Rear Mud Flap Set</t>
  </si>
  <si>
    <t>AT50008</t>
  </si>
  <si>
    <t>Front N Rear Wheel Arch Appliqueset</t>
  </si>
  <si>
    <t>AS20019</t>
  </si>
  <si>
    <t>Front Stylish Bumper</t>
  </si>
  <si>
    <t>BR00155</t>
  </si>
  <si>
    <t>ATU0167</t>
  </si>
  <si>
    <t>AC00709</t>
  </si>
  <si>
    <t>Front Trunk Liners (Frunk Mats)</t>
  </si>
  <si>
    <t>AW80046</t>
  </si>
  <si>
    <t>Front Upper Grille Applique</t>
  </si>
  <si>
    <t>AS20025</t>
  </si>
  <si>
    <t>Front Wind Shield Sun Shade</t>
  </si>
  <si>
    <t>AS00194</t>
  </si>
  <si>
    <t>Fuel Tank Metallic Protector</t>
  </si>
  <si>
    <t>AT50055</t>
  </si>
  <si>
    <t>Head Lamp Applique Set</t>
  </si>
  <si>
    <t>AS20027</t>
  </si>
  <si>
    <t xml:space="preserve">Headlamp Garnish </t>
  </si>
  <si>
    <t>AW61001</t>
  </si>
  <si>
    <t>Hub Cap -Alloy Wheel</t>
  </si>
  <si>
    <t>AT00078</t>
  </si>
  <si>
    <t>Illuminated Ac Vent</t>
  </si>
  <si>
    <t>AT50127</t>
  </si>
  <si>
    <t>Illuminated Door Branding Bezel</t>
  </si>
  <si>
    <t>AT50128</t>
  </si>
  <si>
    <t>Illuminated Scuff Plate</t>
  </si>
  <si>
    <t>AC00418</t>
  </si>
  <si>
    <t>AZ00075</t>
  </si>
  <si>
    <t>AW60017</t>
  </si>
  <si>
    <t>AS20015</t>
  </si>
  <si>
    <t>Illuminated Scuff Protector</t>
  </si>
  <si>
    <t>BE50014</t>
  </si>
  <si>
    <t>Illuminated Scuff Protector - 4 Doors</t>
  </si>
  <si>
    <t>AW90016</t>
  </si>
  <si>
    <t>AW80031</t>
  </si>
  <si>
    <t>Indispensable Kit - Scorpion-Mt</t>
  </si>
  <si>
    <t>AZ00198</t>
  </si>
  <si>
    <t>Infotainment Screen Protector</t>
  </si>
  <si>
    <t>AT50066</t>
  </si>
  <si>
    <t>BE50034</t>
  </si>
  <si>
    <t>AW61051</t>
  </si>
  <si>
    <t>LMM</t>
  </si>
  <si>
    <t>TREO</t>
  </si>
  <si>
    <t>Kazam Charger Unit</t>
  </si>
  <si>
    <t>KAZAM</t>
  </si>
  <si>
    <t>Luggage Cover/Parcel Shelf</t>
  </si>
  <si>
    <t>AS20117</t>
  </si>
  <si>
    <t>Luggage Net</t>
  </si>
  <si>
    <t>BE50049</t>
  </si>
  <si>
    <t>Magnetic Sun Shade Set</t>
  </si>
  <si>
    <t>AS00015</t>
  </si>
  <si>
    <t>Matting</t>
  </si>
  <si>
    <t>BR00140</t>
  </si>
  <si>
    <t>ATU0177</t>
  </si>
  <si>
    <t>AS00242</t>
  </si>
  <si>
    <t>AT00071</t>
  </si>
  <si>
    <t>AC00725</t>
  </si>
  <si>
    <t>AZ00048</t>
  </si>
  <si>
    <t>AW60030</t>
  </si>
  <si>
    <t>Microfibr Cloth</t>
  </si>
  <si>
    <t>AS00156</t>
  </si>
  <si>
    <t>Mobile Holder</t>
  </si>
  <si>
    <t>AC00467</t>
  </si>
  <si>
    <t>Mud Flap</t>
  </si>
  <si>
    <t>BE50008</t>
  </si>
  <si>
    <t>Mud Flap Hv</t>
  </si>
  <si>
    <t>AW80008</t>
  </si>
  <si>
    <t>AW61006</t>
  </si>
  <si>
    <t>Mud Flap Kit- High Variant</t>
  </si>
  <si>
    <t>AW90013</t>
  </si>
  <si>
    <t>Mud Flap Kit-Low Variant</t>
  </si>
  <si>
    <t>AW90012</t>
  </si>
  <si>
    <t>Mud Flap Lv</t>
  </si>
  <si>
    <t>AW80007</t>
  </si>
  <si>
    <t>Mud Flaps</t>
  </si>
  <si>
    <t>BR00174</t>
  </si>
  <si>
    <t>ATU0158</t>
  </si>
  <si>
    <t>AS00278</t>
  </si>
  <si>
    <t>AT00246</t>
  </si>
  <si>
    <t>AZ00046</t>
  </si>
  <si>
    <t>AW60001</t>
  </si>
  <si>
    <t>Mudflap-Side Foot Step</t>
  </si>
  <si>
    <t>AT50073</t>
  </si>
  <si>
    <t>Music System (Mahindra)</t>
  </si>
  <si>
    <t>BMT0059</t>
  </si>
  <si>
    <t>Music System (Sony)</t>
  </si>
  <si>
    <t>AC00634</t>
  </si>
  <si>
    <t>Music System Android</t>
  </si>
  <si>
    <t>AC00734</t>
  </si>
  <si>
    <t>No. Plate Frame Set</t>
  </si>
  <si>
    <t>BR00198</t>
  </si>
  <si>
    <t>SCORPIO</t>
  </si>
  <si>
    <t>AC00740</t>
  </si>
  <si>
    <t>Orvm Applique</t>
  </si>
  <si>
    <t>AM00010</t>
  </si>
  <si>
    <t>Orvm Applique Set (4Pc)</t>
  </si>
  <si>
    <t>AW90004</t>
  </si>
  <si>
    <t>Orvm Appliques</t>
  </si>
  <si>
    <t>BE50004</t>
  </si>
  <si>
    <t>Parcel Tray</t>
  </si>
  <si>
    <t>AS00047</t>
  </si>
  <si>
    <t>AS20039</t>
  </si>
  <si>
    <t>AT50029</t>
  </si>
  <si>
    <t>Perfume 2</t>
  </si>
  <si>
    <t>MZ00088</t>
  </si>
  <si>
    <t>MZ00089</t>
  </si>
  <si>
    <t>Perfume</t>
  </si>
  <si>
    <t>MZ00077</t>
  </si>
  <si>
    <t>MZ00078</t>
  </si>
  <si>
    <t>MZ00079</t>
  </si>
  <si>
    <t>MZ00082</t>
  </si>
  <si>
    <t>MZ00084</t>
  </si>
  <si>
    <t>MZ00085</t>
  </si>
  <si>
    <t>MZ00086</t>
  </si>
  <si>
    <t>MZ00092</t>
  </si>
  <si>
    <t>MZ00093</t>
  </si>
  <si>
    <t>MZ00094</t>
  </si>
  <si>
    <t>MZ00095</t>
  </si>
  <si>
    <t>Perfume 1</t>
  </si>
  <si>
    <t>AR00013</t>
  </si>
  <si>
    <t>Plain Carpet Mat (Without Boot)</t>
  </si>
  <si>
    <t>AW90009</t>
  </si>
  <si>
    <t>Portable Digital Tyre Inflator</t>
  </si>
  <si>
    <t>AZ00173</t>
  </si>
  <si>
    <t>Portable Vacuum Cleaner</t>
  </si>
  <si>
    <t>AZ00174</t>
  </si>
  <si>
    <t>Premium Body Cover</t>
  </si>
  <si>
    <t>AW61041</t>
  </si>
  <si>
    <t xml:space="preserve">Premium Body Cover </t>
  </si>
  <si>
    <t>BE50079</t>
  </si>
  <si>
    <t>Premium Comfort Kit</t>
  </si>
  <si>
    <t>AW90028</t>
  </si>
  <si>
    <t>Premium Seat Cover Set</t>
  </si>
  <si>
    <t>ATU0291</t>
  </si>
  <si>
    <t>Printed Carpet Floor Mat Set - Mt</t>
  </si>
  <si>
    <t>AS20009</t>
  </si>
  <si>
    <t>Radiator Guard</t>
  </si>
  <si>
    <t>AT00245</t>
  </si>
  <si>
    <t>AT50082</t>
  </si>
  <si>
    <t>Radiator Protection</t>
  </si>
  <si>
    <t>AZ00138</t>
  </si>
  <si>
    <t>Rain Visor</t>
  </si>
  <si>
    <t>BMT0037</t>
  </si>
  <si>
    <t>AC00180</t>
  </si>
  <si>
    <t>ATU0011</t>
  </si>
  <si>
    <t>AS00026</t>
  </si>
  <si>
    <t>AT00082</t>
  </si>
  <si>
    <t>AC00116</t>
  </si>
  <si>
    <t>AZ00014</t>
  </si>
  <si>
    <t>AW60013</t>
  </si>
  <si>
    <t>BE50007</t>
  </si>
  <si>
    <t>Rain Visor (6Pc)</t>
  </si>
  <si>
    <t>AW90007</t>
  </si>
  <si>
    <t>Rain Visor Set</t>
  </si>
  <si>
    <t>AW80006</t>
  </si>
  <si>
    <t>Rain Visor With Chrome</t>
  </si>
  <si>
    <t>AC00564</t>
  </si>
  <si>
    <t>Rain Visor With Chrome Insert</t>
  </si>
  <si>
    <t>AS20036</t>
  </si>
  <si>
    <t>Rain Visor With Chrome Insert Set</t>
  </si>
  <si>
    <t>AT50006</t>
  </si>
  <si>
    <t>Rain Visor-Dark Chrome Insert</t>
  </si>
  <si>
    <t>AW60193</t>
  </si>
  <si>
    <t>Rear Add On Spoiler ( 1 Pc)</t>
  </si>
  <si>
    <t>BE50030</t>
  </si>
  <si>
    <t>Rear Add On Spoiler ( 2 Pc)</t>
  </si>
  <si>
    <t>BE50031</t>
  </si>
  <si>
    <t>Rear Arm Rest</t>
  </si>
  <si>
    <t>AT00262</t>
  </si>
  <si>
    <t>Rear Bumper Add On</t>
  </si>
  <si>
    <t>AS20031</t>
  </si>
  <si>
    <t>Rear Bumper Applique</t>
  </si>
  <si>
    <t>BE50005</t>
  </si>
  <si>
    <t>Rear Bumper Protector-Aluminium</t>
  </si>
  <si>
    <t>AW61045</t>
  </si>
  <si>
    <t>Rear Bumper Protectr-Stainlesssteel</t>
  </si>
  <si>
    <t>AW61046</t>
  </si>
  <si>
    <t>Rear Guard</t>
  </si>
  <si>
    <t>BR00114</t>
  </si>
  <si>
    <t>ATU0033</t>
  </si>
  <si>
    <t>AC00666</t>
  </si>
  <si>
    <t>AZ00017</t>
  </si>
  <si>
    <t>AW60038</t>
  </si>
  <si>
    <t>Rear Guard With Bracket</t>
  </si>
  <si>
    <t>Rear Reflector Applique Set</t>
  </si>
  <si>
    <t>AT50005</t>
  </si>
  <si>
    <t>Rear View Camera</t>
  </si>
  <si>
    <t>AS20087</t>
  </si>
  <si>
    <t>AS20096</t>
  </si>
  <si>
    <t>Red Color Theme 7D Mat  (Without Boot)- 5S</t>
  </si>
  <si>
    <t>AW90018</t>
  </si>
  <si>
    <t>Reverse Parking Camera</t>
  </si>
  <si>
    <t>AX00133</t>
  </si>
  <si>
    <t>AT00280</t>
  </si>
  <si>
    <t>AC00764</t>
  </si>
  <si>
    <t>AZ00162</t>
  </si>
  <si>
    <t>AW60118</t>
  </si>
  <si>
    <t>UDO</t>
  </si>
  <si>
    <t xml:space="preserve">Roll Over Canopy Full </t>
  </si>
  <si>
    <t>AC30004</t>
  </si>
  <si>
    <t>Roof Rails ( Ski-Rack )</t>
  </si>
  <si>
    <t>BR00109</t>
  </si>
  <si>
    <t>AC00344</t>
  </si>
  <si>
    <t>AZ00126</t>
  </si>
  <si>
    <t>Screen Guard Protective Film</t>
  </si>
  <si>
    <t>AW90014</t>
  </si>
  <si>
    <t>Scuff Plate</t>
  </si>
  <si>
    <t>BR00083</t>
  </si>
  <si>
    <t>ATU0173</t>
  </si>
  <si>
    <t>AS00244</t>
  </si>
  <si>
    <t>AT00102</t>
  </si>
  <si>
    <t>PICK UP</t>
  </si>
  <si>
    <t>Seat Cover</t>
  </si>
  <si>
    <t>AS1</t>
  </si>
  <si>
    <t>MAXX HD</t>
  </si>
  <si>
    <t>AM00039</t>
  </si>
  <si>
    <t>MAXX CITY</t>
  </si>
  <si>
    <t>AS00272</t>
  </si>
  <si>
    <t>AS20065</t>
  </si>
  <si>
    <t>AT00118</t>
  </si>
  <si>
    <t>Seat Cover - City Lx 1.3/1.4 / 1.5</t>
  </si>
  <si>
    <t>AM00041</t>
  </si>
  <si>
    <t>Seat Cover - City Ms 1.4 / Ms 1.5</t>
  </si>
  <si>
    <t>AM00040</t>
  </si>
  <si>
    <t>Seat Cover (Bucket Fitting)</t>
  </si>
  <si>
    <t>Seat Cover 2Wd / Zx</t>
  </si>
  <si>
    <t>BMT0038</t>
  </si>
  <si>
    <t>BMT0039</t>
  </si>
  <si>
    <t>Seat Cover 5 Str Veh</t>
  </si>
  <si>
    <t>AW60031</t>
  </si>
  <si>
    <t>Seat Cover 5 Str (Bucket Fitting)</t>
  </si>
  <si>
    <t>AW60032</t>
  </si>
  <si>
    <t>Seat Cover 7 Str Veh</t>
  </si>
  <si>
    <t>BR00093</t>
  </si>
  <si>
    <t>BR00094</t>
  </si>
  <si>
    <t>ATU0186</t>
  </si>
  <si>
    <t>AZ00036</t>
  </si>
  <si>
    <t>Seat Cover 7 Str Veh (Bucket Fitting)</t>
  </si>
  <si>
    <t>Seat Cover 7 Str</t>
  </si>
  <si>
    <t>AZ00042</t>
  </si>
  <si>
    <t>Seat Cover 7 Str (Bucket Fitting)</t>
  </si>
  <si>
    <t>AZ00030</t>
  </si>
  <si>
    <t>Seat Cover 7 Str New</t>
  </si>
  <si>
    <t>BR00209</t>
  </si>
  <si>
    <t>BR00206</t>
  </si>
  <si>
    <t>KAZAM  Charging Kit</t>
  </si>
  <si>
    <t>BR00211</t>
  </si>
  <si>
    <t>BR00212</t>
  </si>
  <si>
    <t>Seat Cover Ax</t>
  </si>
  <si>
    <t>AS20042</t>
  </si>
  <si>
    <t>Seat Cover Mx</t>
  </si>
  <si>
    <t>AS20062</t>
  </si>
  <si>
    <t>Seat Cover Scorpio Black Cc</t>
  </si>
  <si>
    <t>AC00603</t>
  </si>
  <si>
    <t>AC00437</t>
  </si>
  <si>
    <t>Seat Cover Scorpio Black Sf</t>
  </si>
  <si>
    <t>AC00436</t>
  </si>
  <si>
    <t>Seat Cover Scorpio Oth Clr Cc</t>
  </si>
  <si>
    <t>AC00410</t>
  </si>
  <si>
    <t>Seat Cover Scorpio Oth Clr Sf</t>
  </si>
  <si>
    <t>AC00409</t>
  </si>
  <si>
    <t>Seat Cover Set-Embossed Insert</t>
  </si>
  <si>
    <t>ATU0292</t>
  </si>
  <si>
    <t>Seat Cover Set-Perforated</t>
  </si>
  <si>
    <t>ATU0293</t>
  </si>
  <si>
    <t>Seat Cover-Brown-Square Perforation-4S</t>
  </si>
  <si>
    <t>AT00120</t>
  </si>
  <si>
    <t>Seat Cover-Greyblack Pu-Whr V6</t>
  </si>
  <si>
    <t>AP20014</t>
  </si>
  <si>
    <t>Seat Cover-Greyblack V2 &amp; V4</t>
  </si>
  <si>
    <t>AP20013</t>
  </si>
  <si>
    <t xml:space="preserve">Side Body Cladding </t>
  </si>
  <si>
    <t>AT00097</t>
  </si>
  <si>
    <t>Side Foot Step</t>
  </si>
  <si>
    <t>AW80028</t>
  </si>
  <si>
    <t>AW90030</t>
  </si>
  <si>
    <t>AW60159</t>
  </si>
  <si>
    <t>Side Moulding</t>
  </si>
  <si>
    <t>AS00250</t>
  </si>
  <si>
    <t>AW60011</t>
  </si>
  <si>
    <t>AS00042</t>
  </si>
  <si>
    <t>Silver Body Cover</t>
  </si>
  <si>
    <t>AW90021</t>
  </si>
  <si>
    <t>AS20003</t>
  </si>
  <si>
    <t>AT50010</t>
  </si>
  <si>
    <t>Silver Color Theme 7D Mat (Without Boot)-5S</t>
  </si>
  <si>
    <t>AW90019</t>
  </si>
  <si>
    <t>Sky Racks</t>
  </si>
  <si>
    <t>AS00141</t>
  </si>
  <si>
    <t>AS20022</t>
  </si>
  <si>
    <t>Speaker (Set Of 2)</t>
  </si>
  <si>
    <t>AS609</t>
  </si>
  <si>
    <t>Special Edition Kit</t>
  </si>
  <si>
    <t>BR00200</t>
  </si>
  <si>
    <t>ATU0272</t>
  </si>
  <si>
    <t>Spike Mat-W/O Srssensor With Abs</t>
  </si>
  <si>
    <t>AP20024</t>
  </si>
  <si>
    <t>Spike Mat-W/O Srssensor- Without Abs</t>
  </si>
  <si>
    <t>AP20025</t>
  </si>
  <si>
    <t>Spoiler</t>
  </si>
  <si>
    <t>BR00084</t>
  </si>
  <si>
    <t>ATU0192</t>
  </si>
  <si>
    <t>AZ00222</t>
  </si>
  <si>
    <t>AZ00128</t>
  </si>
  <si>
    <t>AS20024</t>
  </si>
  <si>
    <t>Sporty Body Cover - Black</t>
  </si>
  <si>
    <t>AW61050</t>
  </si>
  <si>
    <t xml:space="preserve">Sporty Pedal Cover </t>
  </si>
  <si>
    <t>BE50027</t>
  </si>
  <si>
    <t>Srffog Lamp Set (Lh+Rh)</t>
  </si>
  <si>
    <t>AC00227</t>
  </si>
  <si>
    <t>Ss Rear Bumper Protector</t>
  </si>
  <si>
    <t>AS00124</t>
  </si>
  <si>
    <t>Ss Scuff Plate</t>
  </si>
  <si>
    <t>AT50027</t>
  </si>
  <si>
    <t>AS20014</t>
  </si>
  <si>
    <t>Ss Scuff Protector</t>
  </si>
  <si>
    <t>BE50011</t>
  </si>
  <si>
    <t>Ss Scuff Protector - 4 Doors</t>
  </si>
  <si>
    <t>AW90010</t>
  </si>
  <si>
    <t>Ss Tailgate Scuff Protector</t>
  </si>
  <si>
    <t>BE50012</t>
  </si>
  <si>
    <t xml:space="preserve">Ss Tailgate Scuff Protector </t>
  </si>
  <si>
    <t>Steering Wheel Cover-Greyblack-P201</t>
  </si>
  <si>
    <t>AP20018</t>
  </si>
  <si>
    <t>Sun Shade Set</t>
  </si>
  <si>
    <t>AT50023</t>
  </si>
  <si>
    <t>Sun Shades - 6 Pieces</t>
  </si>
  <si>
    <t>AW60153</t>
  </si>
  <si>
    <t>ATU0019</t>
  </si>
  <si>
    <t>AC00450</t>
  </si>
  <si>
    <t>AZ00023</t>
  </si>
  <si>
    <t>AW60063</t>
  </si>
  <si>
    <t>Sunshade Front</t>
  </si>
  <si>
    <t>AT00124</t>
  </si>
  <si>
    <t>Sunshade Rear</t>
  </si>
  <si>
    <t>AT00250</t>
  </si>
  <si>
    <t>Sunshade Set (Fr Row)-(Set Of 2)</t>
  </si>
  <si>
    <t>AW80060</t>
  </si>
  <si>
    <t>Sunshade Set-(Set Of 6)</t>
  </si>
  <si>
    <t>AW80061</t>
  </si>
  <si>
    <t>Sunshades 2 Piece</t>
  </si>
  <si>
    <t>AW90038</t>
  </si>
  <si>
    <t>Sunshades 4 Piece</t>
  </si>
  <si>
    <t>AW90015</t>
  </si>
  <si>
    <t>Tail Gate Mounted Snack Tray</t>
  </si>
  <si>
    <t>AT50024</t>
  </si>
  <si>
    <t>Tail Lamp Applique Set</t>
  </si>
  <si>
    <t>AS20028</t>
  </si>
  <si>
    <t>AT50004</t>
  </si>
  <si>
    <t xml:space="preserve">Tail Lamp Garnish </t>
  </si>
  <si>
    <t>AW61005</t>
  </si>
  <si>
    <t>Thar Roxx Plain Matting (AT)</t>
  </si>
  <si>
    <t>AT50019</t>
  </si>
  <si>
    <t>Thar Roxx Plain Matting (MT)</t>
  </si>
  <si>
    <t>AT50020</t>
  </si>
  <si>
    <t>Urea Tank Metallic Protector</t>
  </si>
  <si>
    <t>AT50054</t>
  </si>
  <si>
    <t>Welcome Kit</t>
  </si>
  <si>
    <t>AM00037</t>
  </si>
  <si>
    <t>MZ00075</t>
  </si>
  <si>
    <t>MZ00076</t>
  </si>
  <si>
    <t>AM00034</t>
  </si>
  <si>
    <t>Wheel Arch Applique</t>
  </si>
  <si>
    <t>BE50003</t>
  </si>
  <si>
    <t>AZ00008</t>
  </si>
  <si>
    <t>Wheel Arch Cladding</t>
  </si>
  <si>
    <t>AS00257</t>
  </si>
  <si>
    <t>Wheel Cap Set</t>
  </si>
  <si>
    <t>AS201</t>
  </si>
  <si>
    <t>BR00193</t>
  </si>
  <si>
    <t>AZ00111</t>
  </si>
  <si>
    <t>AM00004</t>
  </si>
  <si>
    <t>Windhshield Washer</t>
  </si>
  <si>
    <t>MCWSHR50ML</t>
  </si>
  <si>
    <t>Wireless Charger Cum Holder</t>
  </si>
  <si>
    <t>AW10199</t>
  </si>
  <si>
    <t>Wireless Mobile Charger</t>
  </si>
  <si>
    <t>AW60150</t>
  </si>
  <si>
    <t>AS20109</t>
  </si>
  <si>
    <t>TREO, TREO ZOR, ZEO</t>
  </si>
  <si>
    <t>Rear View Camera-XUV 3XO, XUV3XO EV-Mx1/2</t>
  </si>
  <si>
    <t>XUV 3XO, XUV3XO EV, 3OO, 4OO</t>
  </si>
  <si>
    <t>XUV 3XO, XUV3XO EV</t>
  </si>
  <si>
    <t>XUV 3XO, XUV3XO EV -16-Black Designer Wheel Covers</t>
  </si>
  <si>
    <t>XUV7XO, ROXX, SCORPIO</t>
  </si>
  <si>
    <t>XUV400, THAR ROXX, XUV300, XUV 3XO, XUV3XO EV, XUV 3XO, XUV3XO EV</t>
  </si>
  <si>
    <t>XUV300, XUV 3XO, XUV3XO EV, XUV 3XO, XUV3XO EV</t>
  </si>
  <si>
    <t>XUV7XO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</si>
</sst>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8"/>
      <color rgb="FF000000"/>
      <name val="Calibri"/>
    </font>
    <font>
      <sz val="8"/>
      <color rgb="FF000000"/>
      <name val="Calibri"/>
    </font>
    <font>
      <sz val="10"/>
      <color theme="1"/>
      <name val="Arial"/>
      <scheme val="minor"/>
    </font>
    <font>
      <sz val="8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1" fontId="2" fillId="4" borderId="1" xfId="0" applyNumberFormat="1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/>
    </xf>
    <xf numFmtId="10" fontId="2" fillId="4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9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966"/>
  <sheetViews>
    <sheetView tabSelected="1" workbookViewId="0">
      <pane ySplit="1" topLeftCell="A139" activePane="bottomLeft" state="frozen"/>
      <selection pane="bottomLeft" activeCell="B157" sqref="B157"/>
    </sheetView>
  </sheetViews>
  <sheetFormatPr defaultColWidth="12.6640625" defaultRowHeight="15.75" customHeight="1" x14ac:dyDescent="0.25"/>
  <cols>
    <col min="1" max="1" width="9" customWidth="1"/>
    <col min="2" max="2" width="10.44140625" customWidth="1"/>
    <col min="3" max="3" width="7.44140625" customWidth="1"/>
    <col min="4" max="4" width="40.6640625" customWidth="1"/>
    <col min="5" max="5" width="10.21875" customWidth="1"/>
    <col min="6" max="6" width="7.44140625" customWidth="1"/>
    <col min="7" max="7" width="6" customWidth="1"/>
    <col min="8" max="8" width="9" customWidth="1"/>
    <col min="9" max="9" width="10.109375" customWidth="1"/>
    <col min="10" max="10" width="14.77734375" customWidth="1"/>
    <col min="11" max="11" width="10.109375" customWidth="1"/>
    <col min="12" max="12" width="13.21875" customWidth="1"/>
    <col min="13" max="13" width="14.44140625" customWidth="1"/>
    <col min="14" max="14" width="18.109375" customWidth="1"/>
    <col min="15" max="15" width="12" customWidth="1"/>
    <col min="16" max="16" width="16.109375" customWidth="1"/>
    <col min="17" max="17" width="18.33203125" customWidth="1"/>
    <col min="18" max="18" width="20.44140625" customWidth="1"/>
    <col min="19" max="19" width="13" customWidth="1"/>
    <col min="20" max="20" width="9.109375" customWidth="1"/>
    <col min="21" max="21" width="6.109375" customWidth="1"/>
    <col min="22" max="22" width="10.88671875" customWidth="1"/>
    <col min="23" max="23" width="7.33203125" customWidth="1"/>
    <col min="24" max="24" width="8.332031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6" t="s">
        <v>7</v>
      </c>
      <c r="I1" s="3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3" t="s">
        <v>13</v>
      </c>
      <c r="O1" s="3" t="s">
        <v>14</v>
      </c>
      <c r="P1" s="6" t="s">
        <v>15</v>
      </c>
      <c r="Q1" s="3" t="s">
        <v>16</v>
      </c>
      <c r="R1" s="6" t="s">
        <v>17</v>
      </c>
      <c r="S1" s="1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1" t="s">
        <v>23</v>
      </c>
    </row>
    <row r="2" spans="1:24" x14ac:dyDescent="0.25">
      <c r="A2" s="9" t="s">
        <v>24</v>
      </c>
      <c r="B2" s="9" t="s">
        <v>25</v>
      </c>
      <c r="C2" s="10"/>
      <c r="D2" s="9" t="s">
        <v>26</v>
      </c>
      <c r="E2" s="9" t="s">
        <v>27</v>
      </c>
      <c r="F2" s="12">
        <v>1</v>
      </c>
      <c r="G2" s="14">
        <v>1824</v>
      </c>
      <c r="H2" s="18">
        <f t="shared" ref="H2:H377" si="0">F2*G2</f>
        <v>1824</v>
      </c>
      <c r="I2" s="19">
        <v>0.18</v>
      </c>
      <c r="J2" s="18">
        <f t="shared" ref="J2:J377" si="1">H2*(100%+I2)</f>
        <v>2152.3199999999997</v>
      </c>
      <c r="K2" s="18">
        <v>2147</v>
      </c>
      <c r="L2" s="18">
        <f t="shared" ref="L2:L377" si="2">K2*F2</f>
        <v>2147</v>
      </c>
      <c r="M2" s="18">
        <f t="shared" ref="M2:M377" si="3">L2*(100%+I2)</f>
        <v>2533.46</v>
      </c>
      <c r="N2" s="12">
        <v>0</v>
      </c>
      <c r="O2" s="19">
        <v>0.18</v>
      </c>
      <c r="P2" s="18">
        <f t="shared" ref="P2:P377" si="4">N2*(100%+O2)</f>
        <v>0</v>
      </c>
      <c r="Q2" s="12">
        <v>0</v>
      </c>
      <c r="R2" s="18">
        <f t="shared" ref="R2:R377" si="5">M2+P2</f>
        <v>2533.46</v>
      </c>
      <c r="S2" s="22">
        <f t="shared" ref="S2:S377" si="6">MROUND(R2,50)-1</f>
        <v>2549</v>
      </c>
      <c r="T2" s="18">
        <f t="shared" ref="T2:T377" si="7">S2-R2</f>
        <v>15.539999999999964</v>
      </c>
      <c r="U2" s="18">
        <f t="shared" ref="U2:U377" si="8">S2-J2-Q2</f>
        <v>396.68000000000029</v>
      </c>
      <c r="V2" s="18">
        <f t="shared" ref="V2:V377" si="9">U2/(100%+I2)</f>
        <v>336.16949152542401</v>
      </c>
      <c r="W2" s="24">
        <f t="shared" ref="W2:W377" si="10">V2/H2</f>
        <v>0.18430344930121931</v>
      </c>
      <c r="X2" s="22"/>
    </row>
    <row r="3" spans="1:24" x14ac:dyDescent="0.25">
      <c r="A3" s="9" t="s">
        <v>24</v>
      </c>
      <c r="B3" s="9" t="s">
        <v>25</v>
      </c>
      <c r="C3" s="10"/>
      <c r="D3" s="9" t="s">
        <v>34</v>
      </c>
      <c r="E3" s="9" t="s">
        <v>35</v>
      </c>
      <c r="F3" s="12">
        <v>1</v>
      </c>
      <c r="G3" s="14">
        <v>3074</v>
      </c>
      <c r="H3" s="18">
        <f t="shared" si="0"/>
        <v>3074</v>
      </c>
      <c r="I3" s="19">
        <v>0.18</v>
      </c>
      <c r="J3" s="18">
        <f t="shared" si="1"/>
        <v>3627.3199999999997</v>
      </c>
      <c r="K3" s="18">
        <v>3619</v>
      </c>
      <c r="L3" s="18">
        <f t="shared" si="2"/>
        <v>3619</v>
      </c>
      <c r="M3" s="18">
        <f t="shared" si="3"/>
        <v>4270.42</v>
      </c>
      <c r="N3" s="12">
        <v>0</v>
      </c>
      <c r="O3" s="19">
        <v>0.18</v>
      </c>
      <c r="P3" s="18">
        <f t="shared" si="4"/>
        <v>0</v>
      </c>
      <c r="Q3" s="12">
        <v>0</v>
      </c>
      <c r="R3" s="18">
        <f t="shared" si="5"/>
        <v>4270.42</v>
      </c>
      <c r="S3" s="22">
        <f t="shared" si="6"/>
        <v>4249</v>
      </c>
      <c r="T3" s="18">
        <f t="shared" si="7"/>
        <v>-21.420000000000073</v>
      </c>
      <c r="U3" s="18">
        <f t="shared" si="8"/>
        <v>621.68000000000029</v>
      </c>
      <c r="V3" s="18">
        <f t="shared" si="9"/>
        <v>526.84745762711896</v>
      </c>
      <c r="W3" s="24">
        <f t="shared" si="10"/>
        <v>0.17138824255924495</v>
      </c>
      <c r="X3" s="22"/>
    </row>
    <row r="4" spans="1:24" x14ac:dyDescent="0.25">
      <c r="A4" s="9" t="s">
        <v>24</v>
      </c>
      <c r="B4" s="9" t="s">
        <v>40</v>
      </c>
      <c r="C4" s="10"/>
      <c r="D4" s="9" t="s">
        <v>41</v>
      </c>
      <c r="E4" s="9" t="s">
        <v>42</v>
      </c>
      <c r="F4" s="12">
        <v>1</v>
      </c>
      <c r="G4" s="14">
        <v>2920</v>
      </c>
      <c r="H4" s="18">
        <f t="shared" si="0"/>
        <v>2920</v>
      </c>
      <c r="I4" s="19">
        <v>0.18</v>
      </c>
      <c r="J4" s="18">
        <f t="shared" si="1"/>
        <v>3445.6</v>
      </c>
      <c r="K4" s="18">
        <v>3436</v>
      </c>
      <c r="L4" s="18">
        <f t="shared" si="2"/>
        <v>3436</v>
      </c>
      <c r="M4" s="18">
        <f t="shared" si="3"/>
        <v>4054.4799999999996</v>
      </c>
      <c r="N4" s="12">
        <v>0</v>
      </c>
      <c r="O4" s="19">
        <v>0.18</v>
      </c>
      <c r="P4" s="18">
        <f t="shared" si="4"/>
        <v>0</v>
      </c>
      <c r="Q4" s="12">
        <v>0</v>
      </c>
      <c r="R4" s="18">
        <f t="shared" si="5"/>
        <v>4054.4799999999996</v>
      </c>
      <c r="S4" s="22">
        <f t="shared" si="6"/>
        <v>4049</v>
      </c>
      <c r="T4" s="18">
        <f t="shared" si="7"/>
        <v>-5.4799999999995634</v>
      </c>
      <c r="U4" s="18">
        <f t="shared" si="8"/>
        <v>603.40000000000009</v>
      </c>
      <c r="V4" s="18">
        <f t="shared" si="9"/>
        <v>511.35593220338995</v>
      </c>
      <c r="W4" s="24">
        <f t="shared" si="10"/>
        <v>0.17512189459020203</v>
      </c>
      <c r="X4" s="22"/>
    </row>
    <row r="5" spans="1:24" x14ac:dyDescent="0.25">
      <c r="A5" s="9" t="s">
        <v>24</v>
      </c>
      <c r="B5" s="9" t="s">
        <v>28</v>
      </c>
      <c r="C5" s="10"/>
      <c r="D5" s="9" t="s">
        <v>48</v>
      </c>
      <c r="E5" s="9" t="s">
        <v>49</v>
      </c>
      <c r="F5" s="12">
        <v>1</v>
      </c>
      <c r="G5" s="14">
        <v>4001</v>
      </c>
      <c r="H5" s="18">
        <f t="shared" si="0"/>
        <v>4001</v>
      </c>
      <c r="I5" s="19">
        <v>0.18</v>
      </c>
      <c r="J5" s="18">
        <f t="shared" si="1"/>
        <v>4721.1799999999994</v>
      </c>
      <c r="K5" s="18">
        <v>5217</v>
      </c>
      <c r="L5" s="18">
        <f t="shared" si="2"/>
        <v>5217</v>
      </c>
      <c r="M5" s="18">
        <f t="shared" si="3"/>
        <v>6156.0599999999995</v>
      </c>
      <c r="N5" s="12">
        <v>0</v>
      </c>
      <c r="O5" s="19">
        <v>0.18</v>
      </c>
      <c r="P5" s="18">
        <f t="shared" si="4"/>
        <v>0</v>
      </c>
      <c r="Q5" s="12">
        <v>0</v>
      </c>
      <c r="R5" s="18">
        <f t="shared" si="5"/>
        <v>6156.0599999999995</v>
      </c>
      <c r="S5" s="22">
        <f t="shared" si="6"/>
        <v>6149</v>
      </c>
      <c r="T5" s="18">
        <f t="shared" si="7"/>
        <v>-7.0599999999994907</v>
      </c>
      <c r="U5" s="18">
        <f t="shared" si="8"/>
        <v>1427.8200000000006</v>
      </c>
      <c r="V5" s="18">
        <f t="shared" si="9"/>
        <v>1210.016949152543</v>
      </c>
      <c r="W5" s="24">
        <f t="shared" si="10"/>
        <v>0.30242863013060312</v>
      </c>
      <c r="X5" s="22"/>
    </row>
    <row r="6" spans="1:24" x14ac:dyDescent="0.25">
      <c r="A6" s="9" t="s">
        <v>24</v>
      </c>
      <c r="B6" s="9" t="s">
        <v>52</v>
      </c>
      <c r="C6" s="10"/>
      <c r="D6" s="9" t="s">
        <v>55</v>
      </c>
      <c r="E6" s="9" t="s">
        <v>56</v>
      </c>
      <c r="F6" s="12">
        <v>1</v>
      </c>
      <c r="G6" s="14">
        <v>6704</v>
      </c>
      <c r="H6" s="18">
        <f t="shared" si="0"/>
        <v>6704</v>
      </c>
      <c r="I6" s="19">
        <v>0.18</v>
      </c>
      <c r="J6" s="18">
        <f t="shared" si="1"/>
        <v>7910.7199999999993</v>
      </c>
      <c r="K6" s="18">
        <v>8448</v>
      </c>
      <c r="L6" s="18">
        <f t="shared" si="2"/>
        <v>8448</v>
      </c>
      <c r="M6" s="18">
        <f t="shared" si="3"/>
        <v>9968.64</v>
      </c>
      <c r="N6" s="12">
        <v>0</v>
      </c>
      <c r="O6" s="19">
        <v>0.18</v>
      </c>
      <c r="P6" s="18">
        <f t="shared" si="4"/>
        <v>0</v>
      </c>
      <c r="Q6" s="12">
        <v>0</v>
      </c>
      <c r="R6" s="18">
        <f t="shared" si="5"/>
        <v>9968.64</v>
      </c>
      <c r="S6" s="22">
        <f t="shared" si="6"/>
        <v>9949</v>
      </c>
      <c r="T6" s="18">
        <f t="shared" si="7"/>
        <v>-19.639999999999418</v>
      </c>
      <c r="U6" s="18">
        <f t="shared" si="8"/>
        <v>2038.2800000000007</v>
      </c>
      <c r="V6" s="18">
        <f t="shared" si="9"/>
        <v>1727.3559322033905</v>
      </c>
      <c r="W6" s="24">
        <f t="shared" si="10"/>
        <v>0.25766049108045802</v>
      </c>
      <c r="X6" s="22"/>
    </row>
    <row r="7" spans="1:24" x14ac:dyDescent="0.25">
      <c r="A7" s="9" t="s">
        <v>24</v>
      </c>
      <c r="B7" s="9" t="s">
        <v>58</v>
      </c>
      <c r="C7" s="10"/>
      <c r="D7" s="9" t="s">
        <v>55</v>
      </c>
      <c r="E7" s="9" t="s">
        <v>59</v>
      </c>
      <c r="F7" s="12">
        <v>1</v>
      </c>
      <c r="G7" s="14">
        <v>6633</v>
      </c>
      <c r="H7" s="18">
        <f t="shared" si="0"/>
        <v>6633</v>
      </c>
      <c r="I7" s="19">
        <v>0.18</v>
      </c>
      <c r="J7" s="18">
        <f t="shared" si="1"/>
        <v>7826.94</v>
      </c>
      <c r="K7" s="18">
        <v>8358</v>
      </c>
      <c r="L7" s="18">
        <f t="shared" si="2"/>
        <v>8358</v>
      </c>
      <c r="M7" s="18">
        <f t="shared" si="3"/>
        <v>9862.4399999999987</v>
      </c>
      <c r="N7" s="12">
        <v>0</v>
      </c>
      <c r="O7" s="19">
        <v>0.18</v>
      </c>
      <c r="P7" s="18">
        <f t="shared" si="4"/>
        <v>0</v>
      </c>
      <c r="Q7" s="12">
        <v>0</v>
      </c>
      <c r="R7" s="18">
        <f t="shared" si="5"/>
        <v>9862.4399999999987</v>
      </c>
      <c r="S7" s="22">
        <f t="shared" si="6"/>
        <v>9849</v>
      </c>
      <c r="T7" s="18">
        <f t="shared" si="7"/>
        <v>-13.43999999999869</v>
      </c>
      <c r="U7" s="18">
        <f t="shared" si="8"/>
        <v>2022.0600000000004</v>
      </c>
      <c r="V7" s="18">
        <f t="shared" si="9"/>
        <v>1713.6101694915258</v>
      </c>
      <c r="W7" s="24">
        <f t="shared" si="10"/>
        <v>0.25834617360041096</v>
      </c>
      <c r="X7" s="22"/>
    </row>
    <row r="8" spans="1:24" x14ac:dyDescent="0.25">
      <c r="A8" s="9" t="s">
        <v>24</v>
      </c>
      <c r="B8" s="9" t="s">
        <v>63</v>
      </c>
      <c r="C8" s="10"/>
      <c r="D8" s="9" t="s">
        <v>55</v>
      </c>
      <c r="E8" s="9" t="s">
        <v>64</v>
      </c>
      <c r="F8" s="12">
        <v>1</v>
      </c>
      <c r="G8" s="14">
        <v>6701</v>
      </c>
      <c r="H8" s="18">
        <f t="shared" si="0"/>
        <v>6701</v>
      </c>
      <c r="I8" s="19">
        <v>0.18</v>
      </c>
      <c r="J8" s="18">
        <f t="shared" si="1"/>
        <v>7907.1799999999994</v>
      </c>
      <c r="K8" s="18">
        <v>8445</v>
      </c>
      <c r="L8" s="18">
        <f t="shared" si="2"/>
        <v>8445</v>
      </c>
      <c r="M8" s="18">
        <f t="shared" si="3"/>
        <v>9965.1</v>
      </c>
      <c r="N8" s="12">
        <v>0</v>
      </c>
      <c r="O8" s="19">
        <v>0.18</v>
      </c>
      <c r="P8" s="18">
        <f t="shared" si="4"/>
        <v>0</v>
      </c>
      <c r="Q8" s="12">
        <v>0</v>
      </c>
      <c r="R8" s="18">
        <f t="shared" si="5"/>
        <v>9965.1</v>
      </c>
      <c r="S8" s="22">
        <f t="shared" si="6"/>
        <v>9949</v>
      </c>
      <c r="T8" s="18">
        <f t="shared" si="7"/>
        <v>-16.100000000000364</v>
      </c>
      <c r="U8" s="18">
        <f t="shared" si="8"/>
        <v>2041.8200000000006</v>
      </c>
      <c r="V8" s="18">
        <f t="shared" si="9"/>
        <v>1730.3559322033905</v>
      </c>
      <c r="W8" s="24">
        <f t="shared" si="10"/>
        <v>0.25822353860668412</v>
      </c>
      <c r="X8" s="22"/>
    </row>
    <row r="9" spans="1:24" x14ac:dyDescent="0.25">
      <c r="A9" s="9" t="s">
        <v>24</v>
      </c>
      <c r="B9" s="9" t="s">
        <v>25</v>
      </c>
      <c r="C9" s="10"/>
      <c r="D9" s="9" t="s">
        <v>66</v>
      </c>
      <c r="E9" s="9" t="s">
        <v>67</v>
      </c>
      <c r="F9" s="12">
        <v>1</v>
      </c>
      <c r="G9" s="14">
        <v>4714</v>
      </c>
      <c r="H9" s="18">
        <f t="shared" si="0"/>
        <v>4714</v>
      </c>
      <c r="I9" s="19">
        <v>0.18</v>
      </c>
      <c r="J9" s="18">
        <f t="shared" si="1"/>
        <v>5562.5199999999995</v>
      </c>
      <c r="K9" s="18">
        <v>5548</v>
      </c>
      <c r="L9" s="18">
        <f t="shared" si="2"/>
        <v>5548</v>
      </c>
      <c r="M9" s="18">
        <f t="shared" si="3"/>
        <v>6546.6399999999994</v>
      </c>
      <c r="N9" s="12">
        <v>0</v>
      </c>
      <c r="O9" s="19">
        <v>0.18</v>
      </c>
      <c r="P9" s="18">
        <f t="shared" si="4"/>
        <v>0</v>
      </c>
      <c r="Q9" s="12">
        <v>0</v>
      </c>
      <c r="R9" s="18">
        <f t="shared" si="5"/>
        <v>6546.6399999999994</v>
      </c>
      <c r="S9" s="22">
        <f t="shared" si="6"/>
        <v>6549</v>
      </c>
      <c r="T9" s="18">
        <f t="shared" si="7"/>
        <v>2.3600000000005821</v>
      </c>
      <c r="U9" s="18">
        <f t="shared" si="8"/>
        <v>986.48000000000047</v>
      </c>
      <c r="V9" s="18">
        <f t="shared" si="9"/>
        <v>836.00000000000045</v>
      </c>
      <c r="W9" s="24">
        <f t="shared" si="10"/>
        <v>0.17734408145948249</v>
      </c>
      <c r="X9" s="22"/>
    </row>
    <row r="10" spans="1:24" x14ac:dyDescent="0.25">
      <c r="A10" s="9" t="s">
        <v>24</v>
      </c>
      <c r="B10" s="9" t="s">
        <v>44</v>
      </c>
      <c r="C10" s="10"/>
      <c r="D10" s="9" t="s">
        <v>70</v>
      </c>
      <c r="E10" s="9" t="s">
        <v>71</v>
      </c>
      <c r="F10" s="12">
        <v>1</v>
      </c>
      <c r="G10" s="14">
        <v>5913</v>
      </c>
      <c r="H10" s="18">
        <f t="shared" si="0"/>
        <v>5913</v>
      </c>
      <c r="I10" s="19">
        <v>0.18</v>
      </c>
      <c r="J10" s="18">
        <f t="shared" si="1"/>
        <v>6977.3399999999992</v>
      </c>
      <c r="K10" s="18">
        <v>7452</v>
      </c>
      <c r="L10" s="18">
        <f t="shared" si="2"/>
        <v>7452</v>
      </c>
      <c r="M10" s="18">
        <f t="shared" si="3"/>
        <v>8793.3599999999988</v>
      </c>
      <c r="N10" s="12">
        <v>0</v>
      </c>
      <c r="O10" s="19">
        <v>0.18</v>
      </c>
      <c r="P10" s="18">
        <f t="shared" si="4"/>
        <v>0</v>
      </c>
      <c r="Q10" s="12">
        <v>150</v>
      </c>
      <c r="R10" s="18">
        <f t="shared" si="5"/>
        <v>8793.3599999999988</v>
      </c>
      <c r="S10" s="22">
        <f t="shared" si="6"/>
        <v>8799</v>
      </c>
      <c r="T10" s="18">
        <f t="shared" si="7"/>
        <v>5.6400000000012369</v>
      </c>
      <c r="U10" s="18">
        <f t="shared" si="8"/>
        <v>1671.6600000000008</v>
      </c>
      <c r="V10" s="18">
        <f t="shared" si="9"/>
        <v>1416.6610169491532</v>
      </c>
      <c r="W10" s="24">
        <f t="shared" si="10"/>
        <v>0.23958413951448557</v>
      </c>
      <c r="X10" s="22"/>
    </row>
    <row r="11" spans="1:24" x14ac:dyDescent="0.25">
      <c r="A11" s="9" t="s">
        <v>24</v>
      </c>
      <c r="B11" s="9" t="s">
        <v>44</v>
      </c>
      <c r="C11" s="10"/>
      <c r="D11" s="9" t="s">
        <v>73</v>
      </c>
      <c r="E11" s="9" t="s">
        <v>74</v>
      </c>
      <c r="F11" s="12">
        <v>1</v>
      </c>
      <c r="G11" s="14">
        <v>5913</v>
      </c>
      <c r="H11" s="18">
        <f t="shared" si="0"/>
        <v>5913</v>
      </c>
      <c r="I11" s="19">
        <v>0.18</v>
      </c>
      <c r="J11" s="18">
        <f t="shared" si="1"/>
        <v>6977.3399999999992</v>
      </c>
      <c r="K11" s="18">
        <v>7452</v>
      </c>
      <c r="L11" s="18">
        <f t="shared" si="2"/>
        <v>7452</v>
      </c>
      <c r="M11" s="18">
        <f t="shared" si="3"/>
        <v>8793.3599999999988</v>
      </c>
      <c r="N11" s="12">
        <v>0</v>
      </c>
      <c r="O11" s="19">
        <v>0.18</v>
      </c>
      <c r="P11" s="18">
        <f t="shared" si="4"/>
        <v>0</v>
      </c>
      <c r="Q11" s="12">
        <v>150</v>
      </c>
      <c r="R11" s="18">
        <f t="shared" si="5"/>
        <v>8793.3599999999988</v>
      </c>
      <c r="S11" s="22">
        <f t="shared" si="6"/>
        <v>8799</v>
      </c>
      <c r="T11" s="18">
        <f t="shared" si="7"/>
        <v>5.6400000000012369</v>
      </c>
      <c r="U11" s="18">
        <f t="shared" si="8"/>
        <v>1671.6600000000008</v>
      </c>
      <c r="V11" s="18">
        <f t="shared" si="9"/>
        <v>1416.6610169491532</v>
      </c>
      <c r="W11" s="24">
        <f t="shared" si="10"/>
        <v>0.23958413951448557</v>
      </c>
      <c r="X11" s="22"/>
    </row>
    <row r="12" spans="1:24" x14ac:dyDescent="0.25">
      <c r="A12" s="9" t="s">
        <v>24</v>
      </c>
      <c r="B12" s="9" t="s">
        <v>77</v>
      </c>
      <c r="C12" s="10"/>
      <c r="D12" s="9" t="s">
        <v>78</v>
      </c>
      <c r="E12" s="9" t="s">
        <v>79</v>
      </c>
      <c r="F12" s="12">
        <v>1</v>
      </c>
      <c r="G12" s="14">
        <v>5969</v>
      </c>
      <c r="H12" s="18">
        <f t="shared" si="0"/>
        <v>5969</v>
      </c>
      <c r="I12" s="19">
        <v>0.18</v>
      </c>
      <c r="J12" s="18">
        <f t="shared" si="1"/>
        <v>7043.42</v>
      </c>
      <c r="K12" s="18">
        <v>7522</v>
      </c>
      <c r="L12" s="18">
        <f t="shared" si="2"/>
        <v>7522</v>
      </c>
      <c r="M12" s="18">
        <f t="shared" si="3"/>
        <v>8875.9599999999991</v>
      </c>
      <c r="N12" s="12">
        <v>0</v>
      </c>
      <c r="O12" s="19">
        <v>0.18</v>
      </c>
      <c r="P12" s="18">
        <f t="shared" si="4"/>
        <v>0</v>
      </c>
      <c r="Q12" s="12">
        <v>10</v>
      </c>
      <c r="R12" s="18">
        <f t="shared" si="5"/>
        <v>8875.9599999999991</v>
      </c>
      <c r="S12" s="22">
        <f t="shared" si="6"/>
        <v>8899</v>
      </c>
      <c r="T12" s="18">
        <f t="shared" si="7"/>
        <v>23.040000000000873</v>
      </c>
      <c r="U12" s="18">
        <f t="shared" si="8"/>
        <v>1845.58</v>
      </c>
      <c r="V12" s="18">
        <f t="shared" si="9"/>
        <v>1564.0508474576272</v>
      </c>
      <c r="W12" s="24">
        <f t="shared" si="10"/>
        <v>0.26202895752347583</v>
      </c>
      <c r="X12" s="22"/>
    </row>
    <row r="13" spans="1:24" x14ac:dyDescent="0.25">
      <c r="A13" s="9" t="s">
        <v>24</v>
      </c>
      <c r="B13" s="9" t="s">
        <v>77</v>
      </c>
      <c r="C13" s="10"/>
      <c r="D13" s="9" t="s">
        <v>78</v>
      </c>
      <c r="E13" s="9" t="s">
        <v>80</v>
      </c>
      <c r="F13" s="12">
        <v>1</v>
      </c>
      <c r="G13" s="14">
        <v>5969</v>
      </c>
      <c r="H13" s="18">
        <f t="shared" si="0"/>
        <v>5969</v>
      </c>
      <c r="I13" s="19">
        <v>0.18</v>
      </c>
      <c r="J13" s="18">
        <f t="shared" si="1"/>
        <v>7043.42</v>
      </c>
      <c r="K13" s="18">
        <v>7522</v>
      </c>
      <c r="L13" s="18">
        <f t="shared" si="2"/>
        <v>7522</v>
      </c>
      <c r="M13" s="18">
        <f t="shared" si="3"/>
        <v>8875.9599999999991</v>
      </c>
      <c r="N13" s="12">
        <v>0</v>
      </c>
      <c r="O13" s="19">
        <v>0.18</v>
      </c>
      <c r="P13" s="18">
        <f t="shared" si="4"/>
        <v>0</v>
      </c>
      <c r="Q13" s="12">
        <v>0</v>
      </c>
      <c r="R13" s="18">
        <f t="shared" si="5"/>
        <v>8875.9599999999991</v>
      </c>
      <c r="S13" s="22">
        <f t="shared" si="6"/>
        <v>8899</v>
      </c>
      <c r="T13" s="18">
        <f t="shared" si="7"/>
        <v>23.040000000000873</v>
      </c>
      <c r="U13" s="18">
        <f t="shared" si="8"/>
        <v>1855.58</v>
      </c>
      <c r="V13" s="18">
        <f t="shared" si="9"/>
        <v>1572.5254237288136</v>
      </c>
      <c r="W13" s="24">
        <f t="shared" si="10"/>
        <v>0.26344872235362937</v>
      </c>
      <c r="X13" s="22"/>
    </row>
    <row r="14" spans="1:24" x14ac:dyDescent="0.25">
      <c r="A14" s="9" t="s">
        <v>24</v>
      </c>
      <c r="B14" s="9" t="s">
        <v>81</v>
      </c>
      <c r="C14" s="10"/>
      <c r="D14" s="9" t="s">
        <v>83</v>
      </c>
      <c r="E14" s="9" t="s">
        <v>84</v>
      </c>
      <c r="F14" s="12">
        <v>1</v>
      </c>
      <c r="G14" s="14">
        <v>5641.6</v>
      </c>
      <c r="H14" s="18">
        <f t="shared" si="0"/>
        <v>5641.6</v>
      </c>
      <c r="I14" s="19">
        <v>0.18</v>
      </c>
      <c r="J14" s="18">
        <f t="shared" si="1"/>
        <v>6657.0879999999997</v>
      </c>
      <c r="K14" s="18">
        <v>7109</v>
      </c>
      <c r="L14" s="18">
        <f t="shared" si="2"/>
        <v>7109</v>
      </c>
      <c r="M14" s="18">
        <f t="shared" si="3"/>
        <v>8388.619999999999</v>
      </c>
      <c r="N14" s="12">
        <v>0</v>
      </c>
      <c r="O14" s="19">
        <v>0.18</v>
      </c>
      <c r="P14" s="18">
        <f t="shared" si="4"/>
        <v>0</v>
      </c>
      <c r="Q14" s="12">
        <v>10</v>
      </c>
      <c r="R14" s="18">
        <f t="shared" si="5"/>
        <v>8388.619999999999</v>
      </c>
      <c r="S14" s="22">
        <f t="shared" si="6"/>
        <v>8399</v>
      </c>
      <c r="T14" s="18">
        <f t="shared" si="7"/>
        <v>10.380000000001019</v>
      </c>
      <c r="U14" s="18">
        <f t="shared" si="8"/>
        <v>1731.9120000000003</v>
      </c>
      <c r="V14" s="18">
        <f t="shared" si="9"/>
        <v>1467.7220338983054</v>
      </c>
      <c r="W14" s="24">
        <f t="shared" si="10"/>
        <v>0.26016059874828157</v>
      </c>
      <c r="X14" s="22"/>
    </row>
    <row r="15" spans="1:24" x14ac:dyDescent="0.25">
      <c r="A15" s="9" t="s">
        <v>24</v>
      </c>
      <c r="B15" s="9" t="s">
        <v>81</v>
      </c>
      <c r="C15" s="10"/>
      <c r="D15" s="9" t="s">
        <v>85</v>
      </c>
      <c r="E15" s="9" t="s">
        <v>86</v>
      </c>
      <c r="F15" s="12">
        <v>1</v>
      </c>
      <c r="G15" s="14">
        <v>5642</v>
      </c>
      <c r="H15" s="18">
        <f t="shared" si="0"/>
        <v>5642</v>
      </c>
      <c r="I15" s="19">
        <v>0.18</v>
      </c>
      <c r="J15" s="18">
        <f t="shared" si="1"/>
        <v>6657.5599999999995</v>
      </c>
      <c r="K15" s="18">
        <v>7109</v>
      </c>
      <c r="L15" s="18">
        <f t="shared" si="2"/>
        <v>7109</v>
      </c>
      <c r="M15" s="18">
        <f t="shared" si="3"/>
        <v>8388.619999999999</v>
      </c>
      <c r="N15" s="12">
        <v>0</v>
      </c>
      <c r="O15" s="19">
        <v>0.18</v>
      </c>
      <c r="P15" s="18">
        <f t="shared" si="4"/>
        <v>0</v>
      </c>
      <c r="Q15" s="12">
        <v>10</v>
      </c>
      <c r="R15" s="18">
        <f t="shared" si="5"/>
        <v>8388.619999999999</v>
      </c>
      <c r="S15" s="22">
        <f t="shared" si="6"/>
        <v>8399</v>
      </c>
      <c r="T15" s="18">
        <f t="shared" si="7"/>
        <v>10.380000000001019</v>
      </c>
      <c r="U15" s="18">
        <f t="shared" si="8"/>
        <v>1731.4400000000005</v>
      </c>
      <c r="V15" s="18">
        <f t="shared" si="9"/>
        <v>1467.3220338983056</v>
      </c>
      <c r="W15" s="24">
        <f t="shared" si="10"/>
        <v>0.26007125733752312</v>
      </c>
      <c r="X15" s="22"/>
    </row>
    <row r="16" spans="1:24" x14ac:dyDescent="0.25">
      <c r="A16" s="9" t="s">
        <v>24</v>
      </c>
      <c r="B16" s="9" t="s">
        <v>43</v>
      </c>
      <c r="C16" s="10"/>
      <c r="D16" s="9" t="s">
        <v>78</v>
      </c>
      <c r="E16" s="9" t="s">
        <v>90</v>
      </c>
      <c r="F16" s="12">
        <v>1</v>
      </c>
      <c r="G16" s="14">
        <v>6546</v>
      </c>
      <c r="H16" s="18">
        <f t="shared" si="0"/>
        <v>6546</v>
      </c>
      <c r="I16" s="19">
        <v>0.18</v>
      </c>
      <c r="J16" s="18">
        <f t="shared" si="1"/>
        <v>7724.28</v>
      </c>
      <c r="K16" s="18">
        <v>8534</v>
      </c>
      <c r="L16" s="18">
        <f t="shared" si="2"/>
        <v>8534</v>
      </c>
      <c r="M16" s="18">
        <f t="shared" si="3"/>
        <v>10070.119999999999</v>
      </c>
      <c r="N16" s="12">
        <v>0</v>
      </c>
      <c r="O16" s="19">
        <v>0.18</v>
      </c>
      <c r="P16" s="18">
        <f t="shared" si="4"/>
        <v>0</v>
      </c>
      <c r="Q16" s="12">
        <v>0</v>
      </c>
      <c r="R16" s="18">
        <f t="shared" si="5"/>
        <v>10070.119999999999</v>
      </c>
      <c r="S16" s="22">
        <f t="shared" si="6"/>
        <v>10049</v>
      </c>
      <c r="T16" s="18">
        <f t="shared" si="7"/>
        <v>-21.119999999998981</v>
      </c>
      <c r="U16" s="18">
        <f t="shared" si="8"/>
        <v>2324.7200000000003</v>
      </c>
      <c r="V16" s="18">
        <f t="shared" si="9"/>
        <v>1970.1016949152545</v>
      </c>
      <c r="W16" s="24">
        <f t="shared" si="10"/>
        <v>0.30096267872215926</v>
      </c>
      <c r="X16" s="22"/>
    </row>
    <row r="17" spans="1:24" x14ac:dyDescent="0.25">
      <c r="A17" s="9" t="s">
        <v>24</v>
      </c>
      <c r="B17" s="9" t="s">
        <v>692</v>
      </c>
      <c r="C17" s="10"/>
      <c r="D17" s="9" t="s">
        <v>83</v>
      </c>
      <c r="E17" s="9" t="s">
        <v>92</v>
      </c>
      <c r="F17" s="12">
        <v>1</v>
      </c>
      <c r="G17" s="14">
        <v>6776</v>
      </c>
      <c r="H17" s="18">
        <f t="shared" si="0"/>
        <v>6776</v>
      </c>
      <c r="I17" s="19">
        <v>0.18</v>
      </c>
      <c r="J17" s="18">
        <f t="shared" si="1"/>
        <v>7995.6799999999994</v>
      </c>
      <c r="K17" s="18">
        <v>8445</v>
      </c>
      <c r="L17" s="18">
        <f t="shared" si="2"/>
        <v>8445</v>
      </c>
      <c r="M17" s="18">
        <f t="shared" si="3"/>
        <v>9965.1</v>
      </c>
      <c r="N17" s="12">
        <v>0</v>
      </c>
      <c r="O17" s="19">
        <v>0.18</v>
      </c>
      <c r="P17" s="18">
        <f t="shared" si="4"/>
        <v>0</v>
      </c>
      <c r="Q17" s="12">
        <v>0</v>
      </c>
      <c r="R17" s="18">
        <f t="shared" si="5"/>
        <v>9965.1</v>
      </c>
      <c r="S17" s="22">
        <f t="shared" si="6"/>
        <v>9949</v>
      </c>
      <c r="T17" s="18">
        <f t="shared" si="7"/>
        <v>-16.100000000000364</v>
      </c>
      <c r="U17" s="18">
        <f t="shared" si="8"/>
        <v>1953.3200000000006</v>
      </c>
      <c r="V17" s="18">
        <f t="shared" si="9"/>
        <v>1655.3559322033905</v>
      </c>
      <c r="W17" s="24">
        <f t="shared" si="10"/>
        <v>0.24429692033698205</v>
      </c>
      <c r="X17" s="22"/>
    </row>
    <row r="18" spans="1:24" x14ac:dyDescent="0.25">
      <c r="A18" s="9" t="s">
        <v>24</v>
      </c>
      <c r="B18" s="9" t="s">
        <v>692</v>
      </c>
      <c r="C18" s="10"/>
      <c r="D18" s="9" t="s">
        <v>85</v>
      </c>
      <c r="E18" s="9" t="s">
        <v>93</v>
      </c>
      <c r="F18" s="12">
        <v>1</v>
      </c>
      <c r="G18" s="14">
        <v>6776</v>
      </c>
      <c r="H18" s="18">
        <f t="shared" si="0"/>
        <v>6776</v>
      </c>
      <c r="I18" s="19">
        <v>0.18</v>
      </c>
      <c r="J18" s="18">
        <f t="shared" si="1"/>
        <v>7995.6799999999994</v>
      </c>
      <c r="K18" s="18">
        <v>8445</v>
      </c>
      <c r="L18" s="18">
        <f t="shared" si="2"/>
        <v>8445</v>
      </c>
      <c r="M18" s="18">
        <f t="shared" si="3"/>
        <v>9965.1</v>
      </c>
      <c r="N18" s="12">
        <v>0</v>
      </c>
      <c r="O18" s="19">
        <v>0.18</v>
      </c>
      <c r="P18" s="18">
        <f t="shared" si="4"/>
        <v>0</v>
      </c>
      <c r="Q18" s="12">
        <v>0</v>
      </c>
      <c r="R18" s="18">
        <f t="shared" si="5"/>
        <v>9965.1</v>
      </c>
      <c r="S18" s="22">
        <f t="shared" si="6"/>
        <v>9949</v>
      </c>
      <c r="T18" s="18">
        <f t="shared" si="7"/>
        <v>-16.100000000000364</v>
      </c>
      <c r="U18" s="18">
        <f t="shared" si="8"/>
        <v>1953.3200000000006</v>
      </c>
      <c r="V18" s="18">
        <f t="shared" si="9"/>
        <v>1655.3559322033905</v>
      </c>
      <c r="W18" s="24">
        <f t="shared" si="10"/>
        <v>0.24429692033698205</v>
      </c>
      <c r="X18" s="22"/>
    </row>
    <row r="19" spans="1:24" x14ac:dyDescent="0.25">
      <c r="A19" s="9" t="s">
        <v>24</v>
      </c>
      <c r="B19" s="9" t="s">
        <v>692</v>
      </c>
      <c r="C19" s="10"/>
      <c r="D19" s="9" t="s">
        <v>83</v>
      </c>
      <c r="E19" s="9" t="s">
        <v>98</v>
      </c>
      <c r="F19" s="12">
        <v>1</v>
      </c>
      <c r="G19" s="14">
        <v>6701</v>
      </c>
      <c r="H19" s="18">
        <f t="shared" si="0"/>
        <v>6701</v>
      </c>
      <c r="I19" s="19">
        <v>0.18</v>
      </c>
      <c r="J19" s="18">
        <f t="shared" si="1"/>
        <v>7907.1799999999994</v>
      </c>
      <c r="K19" s="18">
        <v>8445</v>
      </c>
      <c r="L19" s="18">
        <f t="shared" si="2"/>
        <v>8445</v>
      </c>
      <c r="M19" s="18">
        <f t="shared" si="3"/>
        <v>9965.1</v>
      </c>
      <c r="N19" s="12">
        <v>0</v>
      </c>
      <c r="O19" s="19">
        <v>0.18</v>
      </c>
      <c r="P19" s="18">
        <f t="shared" si="4"/>
        <v>0</v>
      </c>
      <c r="Q19" s="12">
        <v>0</v>
      </c>
      <c r="R19" s="18">
        <f t="shared" si="5"/>
        <v>9965.1</v>
      </c>
      <c r="S19" s="22">
        <f t="shared" si="6"/>
        <v>9949</v>
      </c>
      <c r="T19" s="18">
        <f t="shared" si="7"/>
        <v>-16.100000000000364</v>
      </c>
      <c r="U19" s="18">
        <f t="shared" si="8"/>
        <v>2041.8200000000006</v>
      </c>
      <c r="V19" s="18">
        <f t="shared" si="9"/>
        <v>1730.3559322033905</v>
      </c>
      <c r="W19" s="24">
        <f t="shared" si="10"/>
        <v>0.25822353860668412</v>
      </c>
      <c r="X19" s="22"/>
    </row>
    <row r="20" spans="1:24" x14ac:dyDescent="0.25">
      <c r="A20" s="9" t="s">
        <v>99</v>
      </c>
      <c r="B20" s="9" t="s">
        <v>103</v>
      </c>
      <c r="C20" s="10"/>
      <c r="D20" s="9" t="s">
        <v>104</v>
      </c>
      <c r="E20" s="9" t="s">
        <v>105</v>
      </c>
      <c r="F20" s="12">
        <v>1</v>
      </c>
      <c r="G20" s="14">
        <v>1128</v>
      </c>
      <c r="H20" s="18">
        <f t="shared" si="0"/>
        <v>1128</v>
      </c>
      <c r="I20" s="19">
        <v>0.18</v>
      </c>
      <c r="J20" s="18">
        <f t="shared" si="1"/>
        <v>1331.04</v>
      </c>
      <c r="K20" s="18">
        <v>1470</v>
      </c>
      <c r="L20" s="18">
        <f t="shared" si="2"/>
        <v>1470</v>
      </c>
      <c r="M20" s="18">
        <f t="shared" si="3"/>
        <v>1734.6</v>
      </c>
      <c r="N20" s="12">
        <v>0</v>
      </c>
      <c r="O20" s="19">
        <v>0.18</v>
      </c>
      <c r="P20" s="18">
        <f t="shared" si="4"/>
        <v>0</v>
      </c>
      <c r="Q20" s="12">
        <v>0</v>
      </c>
      <c r="R20" s="18">
        <f t="shared" si="5"/>
        <v>1734.6</v>
      </c>
      <c r="S20" s="22">
        <f t="shared" si="6"/>
        <v>1749</v>
      </c>
      <c r="T20" s="18">
        <f t="shared" si="7"/>
        <v>14.400000000000091</v>
      </c>
      <c r="U20" s="18">
        <f t="shared" si="8"/>
        <v>417.96000000000004</v>
      </c>
      <c r="V20" s="18">
        <f t="shared" si="9"/>
        <v>354.20338983050851</v>
      </c>
      <c r="W20" s="24">
        <f t="shared" si="10"/>
        <v>0.3140100973674721</v>
      </c>
      <c r="X20" s="22"/>
    </row>
    <row r="21" spans="1:24" x14ac:dyDescent="0.25">
      <c r="A21" s="9" t="s">
        <v>99</v>
      </c>
      <c r="B21" s="9" t="s">
        <v>103</v>
      </c>
      <c r="C21" s="10"/>
      <c r="D21" s="9" t="s">
        <v>106</v>
      </c>
      <c r="E21" s="9" t="s">
        <v>107</v>
      </c>
      <c r="F21" s="12">
        <v>1</v>
      </c>
      <c r="G21" s="14">
        <v>7758</v>
      </c>
      <c r="H21" s="18">
        <f t="shared" si="0"/>
        <v>7758</v>
      </c>
      <c r="I21" s="19">
        <v>0.18</v>
      </c>
      <c r="J21" s="18">
        <f t="shared" si="1"/>
        <v>9154.4399999999987</v>
      </c>
      <c r="K21" s="18">
        <v>10114</v>
      </c>
      <c r="L21" s="18">
        <f t="shared" si="2"/>
        <v>10114</v>
      </c>
      <c r="M21" s="18">
        <f t="shared" si="3"/>
        <v>11934.519999999999</v>
      </c>
      <c r="N21" s="12">
        <v>700</v>
      </c>
      <c r="O21" s="19">
        <v>0.18</v>
      </c>
      <c r="P21" s="18">
        <f t="shared" si="4"/>
        <v>826</v>
      </c>
      <c r="Q21" s="12">
        <v>150</v>
      </c>
      <c r="R21" s="18">
        <f t="shared" si="5"/>
        <v>12760.519999999999</v>
      </c>
      <c r="S21" s="22">
        <f t="shared" si="6"/>
        <v>12749</v>
      </c>
      <c r="T21" s="18">
        <f t="shared" si="7"/>
        <v>-11.519999999998618</v>
      </c>
      <c r="U21" s="18">
        <f t="shared" si="8"/>
        <v>3444.5600000000013</v>
      </c>
      <c r="V21" s="18">
        <f t="shared" si="9"/>
        <v>2919.118644067798</v>
      </c>
      <c r="W21" s="24">
        <f t="shared" si="10"/>
        <v>0.37627206033356508</v>
      </c>
      <c r="X21" s="22"/>
    </row>
    <row r="22" spans="1:24" x14ac:dyDescent="0.25">
      <c r="A22" s="9" t="s">
        <v>24</v>
      </c>
      <c r="B22" s="9" t="s">
        <v>28</v>
      </c>
      <c r="C22" s="10"/>
      <c r="D22" s="9" t="s">
        <v>108</v>
      </c>
      <c r="E22" s="9" t="s">
        <v>109</v>
      </c>
      <c r="F22" s="12">
        <v>1</v>
      </c>
      <c r="G22" s="14">
        <v>487</v>
      </c>
      <c r="H22" s="18">
        <f t="shared" si="0"/>
        <v>487</v>
      </c>
      <c r="I22" s="19">
        <v>0.18</v>
      </c>
      <c r="J22" s="18">
        <f t="shared" si="1"/>
        <v>574.66</v>
      </c>
      <c r="K22" s="18">
        <v>635</v>
      </c>
      <c r="L22" s="18">
        <f t="shared" si="2"/>
        <v>635</v>
      </c>
      <c r="M22" s="18">
        <f t="shared" si="3"/>
        <v>749.3</v>
      </c>
      <c r="N22" s="12">
        <v>500</v>
      </c>
      <c r="O22" s="19">
        <v>0.18</v>
      </c>
      <c r="P22" s="18">
        <f t="shared" si="4"/>
        <v>590</v>
      </c>
      <c r="Q22" s="12">
        <v>100</v>
      </c>
      <c r="R22" s="18">
        <f t="shared" si="5"/>
        <v>1339.3</v>
      </c>
      <c r="S22" s="22">
        <f t="shared" si="6"/>
        <v>1349</v>
      </c>
      <c r="T22" s="18">
        <f t="shared" si="7"/>
        <v>9.7000000000000455</v>
      </c>
      <c r="U22" s="18">
        <f t="shared" si="8"/>
        <v>674.34</v>
      </c>
      <c r="V22" s="18">
        <f t="shared" si="9"/>
        <v>571.47457627118649</v>
      </c>
      <c r="W22" s="24">
        <f t="shared" si="10"/>
        <v>1.1734590888525389</v>
      </c>
      <c r="X22" s="22"/>
    </row>
    <row r="23" spans="1:24" x14ac:dyDescent="0.25">
      <c r="A23" s="9" t="s">
        <v>24</v>
      </c>
      <c r="B23" s="9" t="s">
        <v>28</v>
      </c>
      <c r="C23" s="10"/>
      <c r="D23" s="9" t="s">
        <v>108</v>
      </c>
      <c r="E23" s="9" t="s">
        <v>110</v>
      </c>
      <c r="F23" s="12">
        <v>1</v>
      </c>
      <c r="G23" s="14">
        <v>487</v>
      </c>
      <c r="H23" s="18">
        <f t="shared" si="0"/>
        <v>487</v>
      </c>
      <c r="I23" s="19">
        <v>0.18</v>
      </c>
      <c r="J23" s="18">
        <f t="shared" si="1"/>
        <v>574.66</v>
      </c>
      <c r="K23" s="18">
        <v>635</v>
      </c>
      <c r="L23" s="18">
        <f t="shared" si="2"/>
        <v>635</v>
      </c>
      <c r="M23" s="18">
        <f t="shared" si="3"/>
        <v>749.3</v>
      </c>
      <c r="N23" s="12">
        <v>500</v>
      </c>
      <c r="O23" s="19">
        <v>0.18</v>
      </c>
      <c r="P23" s="18">
        <f t="shared" si="4"/>
        <v>590</v>
      </c>
      <c r="Q23" s="12">
        <v>100</v>
      </c>
      <c r="R23" s="18">
        <f t="shared" si="5"/>
        <v>1339.3</v>
      </c>
      <c r="S23" s="22">
        <f t="shared" si="6"/>
        <v>1349</v>
      </c>
      <c r="T23" s="18">
        <f t="shared" si="7"/>
        <v>9.7000000000000455</v>
      </c>
      <c r="U23" s="18">
        <f t="shared" si="8"/>
        <v>674.34</v>
      </c>
      <c r="V23" s="18">
        <f t="shared" si="9"/>
        <v>571.47457627118649</v>
      </c>
      <c r="W23" s="24">
        <f t="shared" si="10"/>
        <v>1.1734590888525389</v>
      </c>
      <c r="X23" s="22"/>
    </row>
    <row r="24" spans="1:24" x14ac:dyDescent="0.25">
      <c r="A24" s="9" t="s">
        <v>99</v>
      </c>
      <c r="B24" s="9" t="s">
        <v>94</v>
      </c>
      <c r="C24" s="10"/>
      <c r="D24" s="9" t="s">
        <v>111</v>
      </c>
      <c r="E24" s="9" t="s">
        <v>112</v>
      </c>
      <c r="F24" s="12">
        <v>1</v>
      </c>
      <c r="G24" s="14">
        <v>206</v>
      </c>
      <c r="H24" s="18">
        <f t="shared" si="0"/>
        <v>206</v>
      </c>
      <c r="I24" s="19">
        <v>0.18</v>
      </c>
      <c r="J24" s="18">
        <f t="shared" si="1"/>
        <v>243.07999999999998</v>
      </c>
      <c r="K24" s="18">
        <v>274</v>
      </c>
      <c r="L24" s="18">
        <f t="shared" si="2"/>
        <v>274</v>
      </c>
      <c r="M24" s="18">
        <f t="shared" si="3"/>
        <v>323.32</v>
      </c>
      <c r="N24" s="12">
        <v>0</v>
      </c>
      <c r="O24" s="19">
        <v>0.18</v>
      </c>
      <c r="P24" s="18">
        <f t="shared" si="4"/>
        <v>0</v>
      </c>
      <c r="Q24" s="12">
        <v>0</v>
      </c>
      <c r="R24" s="18">
        <f t="shared" si="5"/>
        <v>323.32</v>
      </c>
      <c r="S24" s="22">
        <f t="shared" si="6"/>
        <v>299</v>
      </c>
      <c r="T24" s="18">
        <f t="shared" si="7"/>
        <v>-24.319999999999993</v>
      </c>
      <c r="U24" s="18">
        <f t="shared" si="8"/>
        <v>55.920000000000016</v>
      </c>
      <c r="V24" s="18">
        <f t="shared" si="9"/>
        <v>47.389830508474596</v>
      </c>
      <c r="W24" s="24">
        <f t="shared" si="10"/>
        <v>0.23004772091492523</v>
      </c>
      <c r="X24" s="22"/>
    </row>
    <row r="25" spans="1:24" x14ac:dyDescent="0.25">
      <c r="A25" s="9" t="s">
        <v>24</v>
      </c>
      <c r="B25" s="9" t="s">
        <v>77</v>
      </c>
      <c r="C25" s="10"/>
      <c r="D25" s="9" t="s">
        <v>113</v>
      </c>
      <c r="E25" s="9" t="s">
        <v>114</v>
      </c>
      <c r="F25" s="12">
        <v>1</v>
      </c>
      <c r="G25" s="14">
        <v>818</v>
      </c>
      <c r="H25" s="18">
        <f t="shared" si="0"/>
        <v>818</v>
      </c>
      <c r="I25" s="19">
        <v>0.18</v>
      </c>
      <c r="J25" s="18">
        <f t="shared" si="1"/>
        <v>965.2399999999999</v>
      </c>
      <c r="K25" s="18">
        <v>1031</v>
      </c>
      <c r="L25" s="18">
        <f t="shared" si="2"/>
        <v>1031</v>
      </c>
      <c r="M25" s="18">
        <f t="shared" si="3"/>
        <v>1216.58</v>
      </c>
      <c r="N25" s="12">
        <v>150</v>
      </c>
      <c r="O25" s="19">
        <v>0.18</v>
      </c>
      <c r="P25" s="18">
        <f t="shared" si="4"/>
        <v>177</v>
      </c>
      <c r="Q25" s="12">
        <v>20</v>
      </c>
      <c r="R25" s="18">
        <f t="shared" si="5"/>
        <v>1393.58</v>
      </c>
      <c r="S25" s="22">
        <f t="shared" si="6"/>
        <v>1399</v>
      </c>
      <c r="T25" s="18">
        <f t="shared" si="7"/>
        <v>5.4200000000000728</v>
      </c>
      <c r="U25" s="18">
        <f t="shared" si="8"/>
        <v>413.7600000000001</v>
      </c>
      <c r="V25" s="18">
        <f t="shared" si="9"/>
        <v>350.64406779661027</v>
      </c>
      <c r="W25" s="24">
        <f t="shared" si="10"/>
        <v>0.42866022958020816</v>
      </c>
      <c r="X25" s="22"/>
    </row>
    <row r="26" spans="1:24" x14ac:dyDescent="0.25">
      <c r="A26" s="9" t="s">
        <v>24</v>
      </c>
      <c r="B26" s="9" t="s">
        <v>44</v>
      </c>
      <c r="C26" s="10"/>
      <c r="D26" s="9" t="s">
        <v>115</v>
      </c>
      <c r="E26" s="9" t="s">
        <v>116</v>
      </c>
      <c r="F26" s="12">
        <v>4</v>
      </c>
      <c r="G26" s="14">
        <v>9135</v>
      </c>
      <c r="H26" s="18">
        <f t="shared" si="0"/>
        <v>36540</v>
      </c>
      <c r="I26" s="19">
        <v>0.18</v>
      </c>
      <c r="J26" s="18">
        <f t="shared" si="1"/>
        <v>43117.2</v>
      </c>
      <c r="K26" s="18">
        <v>11518</v>
      </c>
      <c r="L26" s="18">
        <f t="shared" si="2"/>
        <v>46072</v>
      </c>
      <c r="M26" s="18">
        <f t="shared" si="3"/>
        <v>54364.959999999999</v>
      </c>
      <c r="N26" s="12">
        <v>2700</v>
      </c>
      <c r="O26" s="19">
        <v>0.18</v>
      </c>
      <c r="P26" s="18">
        <f t="shared" si="4"/>
        <v>3186</v>
      </c>
      <c r="Q26" s="12">
        <v>575</v>
      </c>
      <c r="R26" s="18">
        <f t="shared" si="5"/>
        <v>57550.96</v>
      </c>
      <c r="S26" s="22">
        <f t="shared" si="6"/>
        <v>57549</v>
      </c>
      <c r="T26" s="18">
        <f t="shared" si="7"/>
        <v>-1.9599999999991269</v>
      </c>
      <c r="U26" s="18">
        <f t="shared" si="8"/>
        <v>13856.800000000003</v>
      </c>
      <c r="V26" s="18">
        <f t="shared" si="9"/>
        <v>11743.050847457631</v>
      </c>
      <c r="W26" s="24">
        <f t="shared" si="10"/>
        <v>0.32137522844711636</v>
      </c>
      <c r="X26" s="22"/>
    </row>
    <row r="27" spans="1:24" x14ac:dyDescent="0.25">
      <c r="A27" s="9" t="s">
        <v>24</v>
      </c>
      <c r="B27" s="9" t="s">
        <v>81</v>
      </c>
      <c r="C27" s="10"/>
      <c r="D27" s="9" t="s">
        <v>115</v>
      </c>
      <c r="E27" s="9" t="s">
        <v>117</v>
      </c>
      <c r="F27" s="12">
        <v>4</v>
      </c>
      <c r="G27" s="14">
        <v>8159</v>
      </c>
      <c r="H27" s="18">
        <f t="shared" si="0"/>
        <v>32636</v>
      </c>
      <c r="I27" s="19">
        <v>0.18</v>
      </c>
      <c r="J27" s="18">
        <f t="shared" si="1"/>
        <v>38510.479999999996</v>
      </c>
      <c r="K27" s="18">
        <v>10282</v>
      </c>
      <c r="L27" s="18">
        <f t="shared" si="2"/>
        <v>41128</v>
      </c>
      <c r="M27" s="18">
        <f t="shared" si="3"/>
        <v>48531.040000000001</v>
      </c>
      <c r="N27" s="12">
        <v>2500</v>
      </c>
      <c r="O27" s="19">
        <v>0.18</v>
      </c>
      <c r="P27" s="18">
        <f t="shared" si="4"/>
        <v>2950</v>
      </c>
      <c r="Q27" s="12">
        <v>350</v>
      </c>
      <c r="R27" s="18">
        <f t="shared" si="5"/>
        <v>51481.04</v>
      </c>
      <c r="S27" s="22">
        <f t="shared" si="6"/>
        <v>51499</v>
      </c>
      <c r="T27" s="18">
        <f t="shared" si="7"/>
        <v>17.959999999999127</v>
      </c>
      <c r="U27" s="18">
        <f t="shared" si="8"/>
        <v>12638.520000000004</v>
      </c>
      <c r="V27" s="18">
        <f t="shared" si="9"/>
        <v>10710.610169491529</v>
      </c>
      <c r="W27" s="24">
        <f t="shared" si="10"/>
        <v>0.32818391253497758</v>
      </c>
      <c r="X27" s="22"/>
    </row>
    <row r="28" spans="1:24" x14ac:dyDescent="0.25">
      <c r="A28" s="9" t="s">
        <v>24</v>
      </c>
      <c r="B28" s="9" t="s">
        <v>77</v>
      </c>
      <c r="C28" s="10"/>
      <c r="D28" s="9" t="s">
        <v>118</v>
      </c>
      <c r="E28" s="9" t="s">
        <v>119</v>
      </c>
      <c r="F28" s="12">
        <v>4</v>
      </c>
      <c r="G28" s="14">
        <v>10330</v>
      </c>
      <c r="H28" s="18">
        <f t="shared" si="0"/>
        <v>41320</v>
      </c>
      <c r="I28" s="19">
        <v>0.18</v>
      </c>
      <c r="J28" s="18">
        <f t="shared" si="1"/>
        <v>48757.599999999999</v>
      </c>
      <c r="K28" s="18">
        <v>13017</v>
      </c>
      <c r="L28" s="18">
        <f t="shared" si="2"/>
        <v>52068</v>
      </c>
      <c r="M28" s="18">
        <f t="shared" si="3"/>
        <v>61440.24</v>
      </c>
      <c r="N28" s="12">
        <v>2500</v>
      </c>
      <c r="O28" s="19">
        <v>0.18</v>
      </c>
      <c r="P28" s="18">
        <f t="shared" si="4"/>
        <v>2950</v>
      </c>
      <c r="Q28" s="12">
        <v>350</v>
      </c>
      <c r="R28" s="18">
        <f t="shared" si="5"/>
        <v>64390.239999999998</v>
      </c>
      <c r="S28" s="22">
        <f t="shared" si="6"/>
        <v>64399</v>
      </c>
      <c r="T28" s="18">
        <f t="shared" si="7"/>
        <v>8.7600000000020373</v>
      </c>
      <c r="U28" s="18">
        <f t="shared" si="8"/>
        <v>15291.400000000001</v>
      </c>
      <c r="V28" s="18">
        <f t="shared" si="9"/>
        <v>12958.813559322036</v>
      </c>
      <c r="W28" s="24">
        <f t="shared" si="10"/>
        <v>0.31362085090324388</v>
      </c>
      <c r="X28" s="22"/>
    </row>
    <row r="29" spans="1:24" x14ac:dyDescent="0.25">
      <c r="A29" s="9" t="s">
        <v>24</v>
      </c>
      <c r="B29" s="9" t="s">
        <v>77</v>
      </c>
      <c r="C29" s="10"/>
      <c r="D29" s="9" t="s">
        <v>120</v>
      </c>
      <c r="E29" s="9" t="s">
        <v>121</v>
      </c>
      <c r="F29" s="12">
        <v>4</v>
      </c>
      <c r="G29" s="14">
        <v>10736</v>
      </c>
      <c r="H29" s="18">
        <f t="shared" si="0"/>
        <v>42944</v>
      </c>
      <c r="I29" s="19">
        <v>0.18</v>
      </c>
      <c r="J29" s="18">
        <f t="shared" si="1"/>
        <v>50673.919999999998</v>
      </c>
      <c r="K29" s="18">
        <v>13529</v>
      </c>
      <c r="L29" s="18">
        <f t="shared" si="2"/>
        <v>54116</v>
      </c>
      <c r="M29" s="18">
        <f t="shared" si="3"/>
        <v>63856.88</v>
      </c>
      <c r="N29" s="12">
        <v>2500</v>
      </c>
      <c r="O29" s="19">
        <v>0.18</v>
      </c>
      <c r="P29" s="18">
        <f t="shared" si="4"/>
        <v>2950</v>
      </c>
      <c r="Q29" s="12">
        <v>350</v>
      </c>
      <c r="R29" s="18">
        <f t="shared" si="5"/>
        <v>66806.880000000005</v>
      </c>
      <c r="S29" s="22">
        <f t="shared" si="6"/>
        <v>66799</v>
      </c>
      <c r="T29" s="18">
        <f t="shared" si="7"/>
        <v>-7.8800000000046566</v>
      </c>
      <c r="U29" s="18">
        <f t="shared" si="8"/>
        <v>15775.080000000002</v>
      </c>
      <c r="V29" s="18">
        <f t="shared" si="9"/>
        <v>13368.711864406781</v>
      </c>
      <c r="W29" s="24">
        <f t="shared" si="10"/>
        <v>0.31130569728965118</v>
      </c>
      <c r="X29" s="22"/>
    </row>
    <row r="30" spans="1:24" x14ac:dyDescent="0.25">
      <c r="A30" s="9" t="s">
        <v>99</v>
      </c>
      <c r="B30" s="9" t="s">
        <v>94</v>
      </c>
      <c r="C30" s="10"/>
      <c r="D30" s="9" t="s">
        <v>122</v>
      </c>
      <c r="E30" s="9" t="s">
        <v>123</v>
      </c>
      <c r="F30" s="12">
        <v>4</v>
      </c>
      <c r="G30" s="14">
        <v>7388</v>
      </c>
      <c r="H30" s="18">
        <f t="shared" si="0"/>
        <v>29552</v>
      </c>
      <c r="I30" s="19">
        <v>0.18</v>
      </c>
      <c r="J30" s="18">
        <f t="shared" si="1"/>
        <v>34871.360000000001</v>
      </c>
      <c r="K30" s="18">
        <v>9208</v>
      </c>
      <c r="L30" s="18">
        <f t="shared" si="2"/>
        <v>36832</v>
      </c>
      <c r="M30" s="18">
        <f t="shared" si="3"/>
        <v>43461.759999999995</v>
      </c>
      <c r="N30" s="12">
        <v>700</v>
      </c>
      <c r="O30" s="19">
        <v>0.18</v>
      </c>
      <c r="P30" s="18">
        <f t="shared" si="4"/>
        <v>826</v>
      </c>
      <c r="Q30" s="12">
        <v>300</v>
      </c>
      <c r="R30" s="18">
        <f t="shared" si="5"/>
        <v>44287.759999999995</v>
      </c>
      <c r="S30" s="22">
        <f t="shared" si="6"/>
        <v>44299</v>
      </c>
      <c r="T30" s="18">
        <f t="shared" si="7"/>
        <v>11.240000000005239</v>
      </c>
      <c r="U30" s="18">
        <f t="shared" si="8"/>
        <v>9127.64</v>
      </c>
      <c r="V30" s="18">
        <f t="shared" si="9"/>
        <v>7735.2881355932204</v>
      </c>
      <c r="W30" s="24">
        <f t="shared" si="10"/>
        <v>0.26175176419847118</v>
      </c>
      <c r="X30" s="22"/>
    </row>
    <row r="31" spans="1:24" x14ac:dyDescent="0.25">
      <c r="A31" s="9" t="s">
        <v>24</v>
      </c>
      <c r="B31" s="9" t="s">
        <v>77</v>
      </c>
      <c r="C31" s="10"/>
      <c r="D31" s="9" t="s">
        <v>124</v>
      </c>
      <c r="E31" s="9" t="s">
        <v>125</v>
      </c>
      <c r="F31" s="12">
        <v>4</v>
      </c>
      <c r="G31" s="14">
        <v>177</v>
      </c>
      <c r="H31" s="18">
        <f t="shared" si="0"/>
        <v>708</v>
      </c>
      <c r="I31" s="19">
        <v>0.18</v>
      </c>
      <c r="J31" s="18">
        <f t="shared" si="1"/>
        <v>835.43999999999994</v>
      </c>
      <c r="K31" s="18">
        <v>223</v>
      </c>
      <c r="L31" s="18">
        <f t="shared" si="2"/>
        <v>892</v>
      </c>
      <c r="M31" s="18">
        <f t="shared" si="3"/>
        <v>1052.56</v>
      </c>
      <c r="N31" s="12">
        <v>0</v>
      </c>
      <c r="O31" s="19">
        <v>0.18</v>
      </c>
      <c r="P31" s="18">
        <f t="shared" si="4"/>
        <v>0</v>
      </c>
      <c r="Q31" s="12">
        <v>0</v>
      </c>
      <c r="R31" s="18">
        <f t="shared" si="5"/>
        <v>1052.56</v>
      </c>
      <c r="S31" s="22">
        <f t="shared" si="6"/>
        <v>1049</v>
      </c>
      <c r="T31" s="18">
        <f t="shared" si="7"/>
        <v>-3.5599999999999454</v>
      </c>
      <c r="U31" s="18">
        <f t="shared" si="8"/>
        <v>213.56000000000006</v>
      </c>
      <c r="V31" s="18">
        <f t="shared" si="9"/>
        <v>180.98305084745769</v>
      </c>
      <c r="W31" s="24">
        <f t="shared" si="10"/>
        <v>0.25562577803313236</v>
      </c>
      <c r="X31" s="22"/>
    </row>
    <row r="32" spans="1:24" x14ac:dyDescent="0.25">
      <c r="A32" s="9" t="s">
        <v>24</v>
      </c>
      <c r="B32" s="9" t="s">
        <v>52</v>
      </c>
      <c r="C32" s="10"/>
      <c r="D32" s="9" t="s">
        <v>122</v>
      </c>
      <c r="E32" s="9" t="s">
        <v>126</v>
      </c>
      <c r="F32" s="12">
        <v>4</v>
      </c>
      <c r="G32" s="14">
        <v>10402</v>
      </c>
      <c r="H32" s="18">
        <f t="shared" si="0"/>
        <v>41608</v>
      </c>
      <c r="I32" s="19">
        <v>0.18</v>
      </c>
      <c r="J32" s="18">
        <f t="shared" si="1"/>
        <v>49097.439999999995</v>
      </c>
      <c r="K32" s="18">
        <v>13108</v>
      </c>
      <c r="L32" s="18">
        <f t="shared" si="2"/>
        <v>52432</v>
      </c>
      <c r="M32" s="18">
        <f t="shared" si="3"/>
        <v>61869.759999999995</v>
      </c>
      <c r="N32" s="12">
        <v>700</v>
      </c>
      <c r="O32" s="19">
        <v>0.18</v>
      </c>
      <c r="P32" s="18">
        <f t="shared" si="4"/>
        <v>826</v>
      </c>
      <c r="Q32" s="12">
        <v>300</v>
      </c>
      <c r="R32" s="18">
        <f t="shared" si="5"/>
        <v>62695.759999999995</v>
      </c>
      <c r="S32" s="22">
        <f t="shared" si="6"/>
        <v>62699</v>
      </c>
      <c r="T32" s="18">
        <f t="shared" si="7"/>
        <v>3.2400000000052387</v>
      </c>
      <c r="U32" s="18">
        <f t="shared" si="8"/>
        <v>13301.560000000005</v>
      </c>
      <c r="V32" s="18">
        <f t="shared" si="9"/>
        <v>11272.508474576276</v>
      </c>
      <c r="W32" s="24">
        <f t="shared" si="10"/>
        <v>0.27092166108864346</v>
      </c>
      <c r="X32" s="22"/>
    </row>
    <row r="33" spans="1:24" x14ac:dyDescent="0.25">
      <c r="A33" s="9" t="s">
        <v>24</v>
      </c>
      <c r="B33" s="9" t="s">
        <v>58</v>
      </c>
      <c r="C33" s="10"/>
      <c r="D33" s="9" t="s">
        <v>127</v>
      </c>
      <c r="E33" s="9" t="s">
        <v>128</v>
      </c>
      <c r="F33" s="12">
        <v>4</v>
      </c>
      <c r="G33" s="14">
        <v>10333</v>
      </c>
      <c r="H33" s="18">
        <f t="shared" si="0"/>
        <v>41332</v>
      </c>
      <c r="I33" s="19">
        <v>0.18</v>
      </c>
      <c r="J33" s="18">
        <f t="shared" si="1"/>
        <v>48771.759999999995</v>
      </c>
      <c r="K33" s="18">
        <v>13021</v>
      </c>
      <c r="L33" s="18">
        <f t="shared" si="2"/>
        <v>52084</v>
      </c>
      <c r="M33" s="18">
        <f t="shared" si="3"/>
        <v>61459.119999999995</v>
      </c>
      <c r="N33" s="12">
        <v>2600</v>
      </c>
      <c r="O33" s="19">
        <v>0.18</v>
      </c>
      <c r="P33" s="18">
        <f t="shared" si="4"/>
        <v>3068</v>
      </c>
      <c r="Q33" s="12">
        <v>300</v>
      </c>
      <c r="R33" s="18">
        <f t="shared" si="5"/>
        <v>64527.119999999995</v>
      </c>
      <c r="S33" s="22">
        <f t="shared" si="6"/>
        <v>64549</v>
      </c>
      <c r="T33" s="18">
        <f t="shared" si="7"/>
        <v>21.880000000004657</v>
      </c>
      <c r="U33" s="18">
        <f t="shared" si="8"/>
        <v>15477.240000000005</v>
      </c>
      <c r="V33" s="18">
        <f t="shared" si="9"/>
        <v>13116.305084745767</v>
      </c>
      <c r="W33" s="24">
        <f t="shared" si="10"/>
        <v>0.31734019850831724</v>
      </c>
      <c r="X33" s="22"/>
    </row>
    <row r="34" spans="1:24" x14ac:dyDescent="0.25">
      <c r="A34" s="9" t="s">
        <v>24</v>
      </c>
      <c r="B34" s="9" t="s">
        <v>63</v>
      </c>
      <c r="C34" s="10"/>
      <c r="D34" s="9" t="s">
        <v>127</v>
      </c>
      <c r="E34" s="9" t="s">
        <v>129</v>
      </c>
      <c r="F34" s="12">
        <v>4</v>
      </c>
      <c r="G34" s="14">
        <v>10494</v>
      </c>
      <c r="H34" s="18">
        <f t="shared" si="0"/>
        <v>41976</v>
      </c>
      <c r="I34" s="19">
        <v>0.18</v>
      </c>
      <c r="J34" s="18">
        <f t="shared" si="1"/>
        <v>49531.68</v>
      </c>
      <c r="K34" s="18">
        <v>13225</v>
      </c>
      <c r="L34" s="18">
        <f t="shared" si="2"/>
        <v>52900</v>
      </c>
      <c r="M34" s="18">
        <f t="shared" si="3"/>
        <v>62422</v>
      </c>
      <c r="N34" s="12">
        <v>2600</v>
      </c>
      <c r="O34" s="19">
        <v>0.18</v>
      </c>
      <c r="P34" s="18">
        <f t="shared" si="4"/>
        <v>3068</v>
      </c>
      <c r="Q34" s="12">
        <v>300</v>
      </c>
      <c r="R34" s="18">
        <f t="shared" si="5"/>
        <v>65490</v>
      </c>
      <c r="S34" s="22">
        <f t="shared" si="6"/>
        <v>65499</v>
      </c>
      <c r="T34" s="18">
        <f t="shared" si="7"/>
        <v>9</v>
      </c>
      <c r="U34" s="18">
        <f t="shared" si="8"/>
        <v>15667.32</v>
      </c>
      <c r="V34" s="18">
        <f t="shared" si="9"/>
        <v>13277.389830508475</v>
      </c>
      <c r="W34" s="24">
        <f t="shared" si="10"/>
        <v>0.31630907734201624</v>
      </c>
      <c r="X34" s="22"/>
    </row>
    <row r="35" spans="1:24" x14ac:dyDescent="0.25">
      <c r="A35" s="9" t="s">
        <v>24</v>
      </c>
      <c r="B35" s="9" t="s">
        <v>58</v>
      </c>
      <c r="C35" s="10"/>
      <c r="D35" s="9" t="s">
        <v>130</v>
      </c>
      <c r="E35" s="9" t="s">
        <v>131</v>
      </c>
      <c r="F35" s="12">
        <v>4</v>
      </c>
      <c r="G35" s="14">
        <v>11341</v>
      </c>
      <c r="H35" s="18">
        <f t="shared" si="0"/>
        <v>45364</v>
      </c>
      <c r="I35" s="19">
        <v>0.18</v>
      </c>
      <c r="J35" s="18">
        <f t="shared" si="1"/>
        <v>53529.52</v>
      </c>
      <c r="K35" s="18">
        <v>14292</v>
      </c>
      <c r="L35" s="18">
        <f t="shared" si="2"/>
        <v>57168</v>
      </c>
      <c r="M35" s="18">
        <f t="shared" si="3"/>
        <v>67458.239999999991</v>
      </c>
      <c r="N35" s="12">
        <v>2600</v>
      </c>
      <c r="O35" s="19">
        <v>0.18</v>
      </c>
      <c r="P35" s="18">
        <f t="shared" si="4"/>
        <v>3068</v>
      </c>
      <c r="Q35" s="12">
        <v>300</v>
      </c>
      <c r="R35" s="18">
        <f t="shared" si="5"/>
        <v>70526.239999999991</v>
      </c>
      <c r="S35" s="22">
        <f t="shared" si="6"/>
        <v>70549</v>
      </c>
      <c r="T35" s="18">
        <f t="shared" si="7"/>
        <v>22.760000000009313</v>
      </c>
      <c r="U35" s="18">
        <f t="shared" si="8"/>
        <v>16719.480000000003</v>
      </c>
      <c r="V35" s="18">
        <f t="shared" si="9"/>
        <v>14169.050847457631</v>
      </c>
      <c r="W35" s="24">
        <f t="shared" si="10"/>
        <v>0.31234130251868508</v>
      </c>
      <c r="X35" s="22"/>
    </row>
    <row r="36" spans="1:24" x14ac:dyDescent="0.25">
      <c r="A36" s="9" t="s">
        <v>24</v>
      </c>
      <c r="B36" s="9" t="s">
        <v>58</v>
      </c>
      <c r="C36" s="10"/>
      <c r="D36" s="9" t="s">
        <v>130</v>
      </c>
      <c r="E36" s="9" t="s">
        <v>132</v>
      </c>
      <c r="F36" s="12">
        <v>4</v>
      </c>
      <c r="G36" s="14">
        <v>11341</v>
      </c>
      <c r="H36" s="18">
        <f t="shared" si="0"/>
        <v>45364</v>
      </c>
      <c r="I36" s="19">
        <v>0.18</v>
      </c>
      <c r="J36" s="18">
        <f t="shared" si="1"/>
        <v>53529.52</v>
      </c>
      <c r="K36" s="18">
        <v>14292</v>
      </c>
      <c r="L36" s="18">
        <f t="shared" si="2"/>
        <v>57168</v>
      </c>
      <c r="M36" s="18">
        <f t="shared" si="3"/>
        <v>67458.239999999991</v>
      </c>
      <c r="N36" s="12">
        <v>2600</v>
      </c>
      <c r="O36" s="19">
        <v>0.18</v>
      </c>
      <c r="P36" s="18">
        <f t="shared" si="4"/>
        <v>3068</v>
      </c>
      <c r="Q36" s="12">
        <v>300</v>
      </c>
      <c r="R36" s="18">
        <f t="shared" si="5"/>
        <v>70526.239999999991</v>
      </c>
      <c r="S36" s="22">
        <f t="shared" si="6"/>
        <v>70549</v>
      </c>
      <c r="T36" s="18">
        <f t="shared" si="7"/>
        <v>22.760000000009313</v>
      </c>
      <c r="U36" s="18">
        <f t="shared" si="8"/>
        <v>16719.480000000003</v>
      </c>
      <c r="V36" s="18">
        <f t="shared" si="9"/>
        <v>14169.050847457631</v>
      </c>
      <c r="W36" s="24">
        <f t="shared" si="10"/>
        <v>0.31234130251868508</v>
      </c>
      <c r="X36" s="22"/>
    </row>
    <row r="37" spans="1:24" x14ac:dyDescent="0.25">
      <c r="A37" s="9" t="s">
        <v>24</v>
      </c>
      <c r="B37" s="9" t="s">
        <v>63</v>
      </c>
      <c r="C37" s="10"/>
      <c r="D37" s="9" t="s">
        <v>130</v>
      </c>
      <c r="E37" s="9" t="s">
        <v>133</v>
      </c>
      <c r="F37" s="12">
        <v>4</v>
      </c>
      <c r="G37" s="14">
        <v>11498</v>
      </c>
      <c r="H37" s="18">
        <f t="shared" si="0"/>
        <v>45992</v>
      </c>
      <c r="I37" s="19">
        <v>0.18</v>
      </c>
      <c r="J37" s="18">
        <f t="shared" si="1"/>
        <v>54270.559999999998</v>
      </c>
      <c r="K37" s="18">
        <v>14490</v>
      </c>
      <c r="L37" s="18">
        <f t="shared" si="2"/>
        <v>57960</v>
      </c>
      <c r="M37" s="18">
        <f t="shared" si="3"/>
        <v>68392.800000000003</v>
      </c>
      <c r="N37" s="12">
        <v>2600</v>
      </c>
      <c r="O37" s="19">
        <v>0.18</v>
      </c>
      <c r="P37" s="18">
        <f t="shared" si="4"/>
        <v>3068</v>
      </c>
      <c r="Q37" s="12">
        <v>300</v>
      </c>
      <c r="R37" s="18">
        <f t="shared" si="5"/>
        <v>71460.800000000003</v>
      </c>
      <c r="S37" s="22">
        <f t="shared" si="6"/>
        <v>71449</v>
      </c>
      <c r="T37" s="18">
        <f t="shared" si="7"/>
        <v>-11.80000000000291</v>
      </c>
      <c r="U37" s="18">
        <f t="shared" si="8"/>
        <v>16878.440000000002</v>
      </c>
      <c r="V37" s="18">
        <f t="shared" si="9"/>
        <v>14303.762711864409</v>
      </c>
      <c r="W37" s="24">
        <f t="shared" si="10"/>
        <v>0.31100545120595774</v>
      </c>
      <c r="X37" s="22"/>
    </row>
    <row r="38" spans="1:24" x14ac:dyDescent="0.25">
      <c r="A38" s="9" t="s">
        <v>24</v>
      </c>
      <c r="B38" s="9" t="s">
        <v>134</v>
      </c>
      <c r="C38" s="10"/>
      <c r="D38" s="9" t="s">
        <v>135</v>
      </c>
      <c r="E38" s="9" t="s">
        <v>136</v>
      </c>
      <c r="F38" s="12">
        <v>4</v>
      </c>
      <c r="G38" s="14">
        <v>6419</v>
      </c>
      <c r="H38" s="18">
        <f t="shared" si="0"/>
        <v>25676</v>
      </c>
      <c r="I38" s="19">
        <v>0.18</v>
      </c>
      <c r="J38" s="18">
        <f t="shared" si="1"/>
        <v>30297.679999999997</v>
      </c>
      <c r="K38" s="18">
        <v>8089</v>
      </c>
      <c r="L38" s="18">
        <f t="shared" si="2"/>
        <v>32356</v>
      </c>
      <c r="M38" s="18">
        <f t="shared" si="3"/>
        <v>38180.079999999994</v>
      </c>
      <c r="N38" s="12">
        <v>1200</v>
      </c>
      <c r="O38" s="19">
        <v>0.18</v>
      </c>
      <c r="P38" s="18">
        <f t="shared" si="4"/>
        <v>1416</v>
      </c>
      <c r="Q38" s="12">
        <v>350</v>
      </c>
      <c r="R38" s="18">
        <f t="shared" si="5"/>
        <v>39596.079999999994</v>
      </c>
      <c r="S38" s="22">
        <f t="shared" si="6"/>
        <v>39599</v>
      </c>
      <c r="T38" s="18">
        <f t="shared" si="7"/>
        <v>2.9200000000055297</v>
      </c>
      <c r="U38" s="18">
        <f t="shared" si="8"/>
        <v>8951.3200000000033</v>
      </c>
      <c r="V38" s="18">
        <f t="shared" si="9"/>
        <v>7585.864406779664</v>
      </c>
      <c r="W38" s="24">
        <f t="shared" si="10"/>
        <v>0.29544572389701135</v>
      </c>
      <c r="X38" s="22"/>
    </row>
    <row r="39" spans="1:24" x14ac:dyDescent="0.25">
      <c r="A39" s="9" t="s">
        <v>24</v>
      </c>
      <c r="B39" s="9" t="s">
        <v>137</v>
      </c>
      <c r="C39" s="10"/>
      <c r="D39" s="9" t="s">
        <v>135</v>
      </c>
      <c r="E39" s="9" t="s">
        <v>117</v>
      </c>
      <c r="F39" s="12">
        <v>4</v>
      </c>
      <c r="G39" s="14">
        <v>8159</v>
      </c>
      <c r="H39" s="18">
        <f t="shared" si="0"/>
        <v>32636</v>
      </c>
      <c r="I39" s="19">
        <v>0.18</v>
      </c>
      <c r="J39" s="18">
        <f t="shared" si="1"/>
        <v>38510.479999999996</v>
      </c>
      <c r="K39" s="18">
        <v>10282</v>
      </c>
      <c r="L39" s="18">
        <f t="shared" si="2"/>
        <v>41128</v>
      </c>
      <c r="M39" s="18">
        <f t="shared" si="3"/>
        <v>48531.040000000001</v>
      </c>
      <c r="N39" s="12">
        <v>2500</v>
      </c>
      <c r="O39" s="19">
        <v>0.18</v>
      </c>
      <c r="P39" s="18">
        <f t="shared" si="4"/>
        <v>2950</v>
      </c>
      <c r="Q39" s="12">
        <v>350</v>
      </c>
      <c r="R39" s="18">
        <f t="shared" si="5"/>
        <v>51481.04</v>
      </c>
      <c r="S39" s="22">
        <f t="shared" si="6"/>
        <v>51499</v>
      </c>
      <c r="T39" s="18">
        <f t="shared" si="7"/>
        <v>17.959999999999127</v>
      </c>
      <c r="U39" s="18">
        <f t="shared" si="8"/>
        <v>12638.520000000004</v>
      </c>
      <c r="V39" s="18">
        <f t="shared" si="9"/>
        <v>10710.610169491529</v>
      </c>
      <c r="W39" s="24">
        <f t="shared" si="10"/>
        <v>0.32818391253497758</v>
      </c>
      <c r="X39" s="22"/>
    </row>
    <row r="40" spans="1:24" x14ac:dyDescent="0.25">
      <c r="A40" s="9" t="s">
        <v>24</v>
      </c>
      <c r="B40" s="9" t="s">
        <v>134</v>
      </c>
      <c r="C40" s="10"/>
      <c r="D40" s="9" t="s">
        <v>138</v>
      </c>
      <c r="E40" s="9" t="s">
        <v>139</v>
      </c>
      <c r="F40" s="12">
        <v>4</v>
      </c>
      <c r="G40" s="14">
        <v>140.55000000000001</v>
      </c>
      <c r="H40" s="18">
        <f t="shared" si="0"/>
        <v>562.20000000000005</v>
      </c>
      <c r="I40" s="19">
        <v>0.18</v>
      </c>
      <c r="J40" s="18">
        <f t="shared" si="1"/>
        <v>663.39600000000007</v>
      </c>
      <c r="K40" s="18">
        <v>177</v>
      </c>
      <c r="L40" s="18">
        <f t="shared" si="2"/>
        <v>708</v>
      </c>
      <c r="M40" s="18">
        <f t="shared" si="3"/>
        <v>835.43999999999994</v>
      </c>
      <c r="N40" s="12">
        <v>0</v>
      </c>
      <c r="O40" s="19">
        <v>0.18</v>
      </c>
      <c r="P40" s="18">
        <f t="shared" si="4"/>
        <v>0</v>
      </c>
      <c r="Q40" s="12">
        <v>0</v>
      </c>
      <c r="R40" s="18">
        <f t="shared" si="5"/>
        <v>835.43999999999994</v>
      </c>
      <c r="S40" s="22">
        <f t="shared" si="6"/>
        <v>849</v>
      </c>
      <c r="T40" s="18">
        <f t="shared" si="7"/>
        <v>13.560000000000059</v>
      </c>
      <c r="U40" s="18">
        <f t="shared" si="8"/>
        <v>185.60399999999993</v>
      </c>
      <c r="V40" s="18">
        <f t="shared" si="9"/>
        <v>157.29152542372876</v>
      </c>
      <c r="W40" s="24">
        <f t="shared" si="10"/>
        <v>0.27977859378108988</v>
      </c>
      <c r="X40" s="22"/>
    </row>
    <row r="41" spans="1:24" x14ac:dyDescent="0.25">
      <c r="A41" s="9" t="s">
        <v>24</v>
      </c>
      <c r="B41" s="9" t="s">
        <v>77</v>
      </c>
      <c r="C41" s="10"/>
      <c r="D41" s="9" t="s">
        <v>140</v>
      </c>
      <c r="E41" s="9" t="s">
        <v>141</v>
      </c>
      <c r="F41" s="12">
        <v>1</v>
      </c>
      <c r="G41" s="14">
        <v>831</v>
      </c>
      <c r="H41" s="18">
        <f t="shared" si="0"/>
        <v>831</v>
      </c>
      <c r="I41" s="19">
        <v>0.18</v>
      </c>
      <c r="J41" s="18">
        <f t="shared" si="1"/>
        <v>980.57999999999993</v>
      </c>
      <c r="K41" s="18">
        <v>1047</v>
      </c>
      <c r="L41" s="18">
        <f t="shared" si="2"/>
        <v>1047</v>
      </c>
      <c r="M41" s="18">
        <f t="shared" si="3"/>
        <v>1235.46</v>
      </c>
      <c r="N41" s="12">
        <v>300</v>
      </c>
      <c r="O41" s="19">
        <v>0.18</v>
      </c>
      <c r="P41" s="18">
        <f t="shared" si="4"/>
        <v>354</v>
      </c>
      <c r="Q41" s="12">
        <v>50</v>
      </c>
      <c r="R41" s="18">
        <f t="shared" si="5"/>
        <v>1589.46</v>
      </c>
      <c r="S41" s="22">
        <f t="shared" si="6"/>
        <v>1599</v>
      </c>
      <c r="T41" s="18">
        <f t="shared" si="7"/>
        <v>9.5399999999999636</v>
      </c>
      <c r="U41" s="18">
        <f t="shared" si="8"/>
        <v>568.42000000000007</v>
      </c>
      <c r="V41" s="18">
        <f t="shared" si="9"/>
        <v>481.71186440677974</v>
      </c>
      <c r="W41" s="24">
        <f t="shared" si="10"/>
        <v>0.57967733382283959</v>
      </c>
      <c r="X41" s="22"/>
    </row>
    <row r="42" spans="1:24" x14ac:dyDescent="0.25">
      <c r="A42" s="9" t="s">
        <v>99</v>
      </c>
      <c r="B42" s="9" t="s">
        <v>94</v>
      </c>
      <c r="C42" s="10"/>
      <c r="D42" s="9" t="s">
        <v>142</v>
      </c>
      <c r="E42" s="9" t="s">
        <v>143</v>
      </c>
      <c r="F42" s="12">
        <v>1</v>
      </c>
      <c r="G42" s="14">
        <v>150</v>
      </c>
      <c r="H42" s="18">
        <f t="shared" si="0"/>
        <v>150</v>
      </c>
      <c r="I42" s="19">
        <v>0.18</v>
      </c>
      <c r="J42" s="18">
        <f t="shared" si="1"/>
        <v>177</v>
      </c>
      <c r="K42" s="18">
        <v>424</v>
      </c>
      <c r="L42" s="18">
        <f t="shared" si="2"/>
        <v>424</v>
      </c>
      <c r="M42" s="18">
        <f t="shared" si="3"/>
        <v>500.32</v>
      </c>
      <c r="N42" s="12">
        <v>0</v>
      </c>
      <c r="O42" s="19">
        <v>0.18</v>
      </c>
      <c r="P42" s="18">
        <f t="shared" si="4"/>
        <v>0</v>
      </c>
      <c r="Q42" s="12">
        <v>0</v>
      </c>
      <c r="R42" s="18">
        <f t="shared" si="5"/>
        <v>500.32</v>
      </c>
      <c r="S42" s="22">
        <f t="shared" si="6"/>
        <v>499</v>
      </c>
      <c r="T42" s="18">
        <f t="shared" si="7"/>
        <v>-1.3199999999999932</v>
      </c>
      <c r="U42" s="18">
        <f t="shared" si="8"/>
        <v>322</v>
      </c>
      <c r="V42" s="18">
        <f t="shared" si="9"/>
        <v>272.88135593220341</v>
      </c>
      <c r="W42" s="24">
        <f t="shared" si="10"/>
        <v>1.8192090395480227</v>
      </c>
      <c r="X42" s="22"/>
    </row>
    <row r="43" spans="1:24" x14ac:dyDescent="0.25">
      <c r="A43" s="9" t="s">
        <v>24</v>
      </c>
      <c r="B43" s="9" t="s">
        <v>25</v>
      </c>
      <c r="C43" s="10"/>
      <c r="D43" s="9" t="s">
        <v>144</v>
      </c>
      <c r="E43" s="9" t="s">
        <v>145</v>
      </c>
      <c r="F43" s="12">
        <v>1</v>
      </c>
      <c r="G43" s="14">
        <v>557</v>
      </c>
      <c r="H43" s="18">
        <f t="shared" si="0"/>
        <v>557</v>
      </c>
      <c r="I43" s="19">
        <v>0.18</v>
      </c>
      <c r="J43" s="18">
        <f t="shared" si="1"/>
        <v>657.26</v>
      </c>
      <c r="K43" s="18">
        <v>656</v>
      </c>
      <c r="L43" s="18">
        <f t="shared" si="2"/>
        <v>656</v>
      </c>
      <c r="M43" s="18">
        <f t="shared" si="3"/>
        <v>774.07999999999993</v>
      </c>
      <c r="N43" s="12">
        <v>0</v>
      </c>
      <c r="O43" s="19">
        <v>0.18</v>
      </c>
      <c r="P43" s="18">
        <f t="shared" si="4"/>
        <v>0</v>
      </c>
      <c r="Q43" s="12">
        <v>0</v>
      </c>
      <c r="R43" s="18">
        <f t="shared" si="5"/>
        <v>774.07999999999993</v>
      </c>
      <c r="S43" s="22">
        <f t="shared" si="6"/>
        <v>749</v>
      </c>
      <c r="T43" s="18">
        <f t="shared" si="7"/>
        <v>-25.079999999999927</v>
      </c>
      <c r="U43" s="18">
        <f t="shared" si="8"/>
        <v>91.740000000000009</v>
      </c>
      <c r="V43" s="18">
        <f t="shared" si="9"/>
        <v>77.745762711864415</v>
      </c>
      <c r="W43" s="24">
        <f t="shared" si="10"/>
        <v>0.1395794662690564</v>
      </c>
      <c r="X43" s="22"/>
    </row>
    <row r="44" spans="1:24" x14ac:dyDescent="0.25">
      <c r="A44" s="9" t="s">
        <v>24</v>
      </c>
      <c r="B44" s="9" t="s">
        <v>40</v>
      </c>
      <c r="C44" s="10"/>
      <c r="D44" s="9" t="s">
        <v>146</v>
      </c>
      <c r="E44" s="9" t="s">
        <v>147</v>
      </c>
      <c r="F44" s="12">
        <v>1</v>
      </c>
      <c r="G44" s="14">
        <v>11572</v>
      </c>
      <c r="H44" s="18">
        <f t="shared" si="0"/>
        <v>11572</v>
      </c>
      <c r="I44" s="19">
        <v>0.18</v>
      </c>
      <c r="J44" s="18">
        <f t="shared" si="1"/>
        <v>13654.96</v>
      </c>
      <c r="K44" s="18">
        <v>12733</v>
      </c>
      <c r="L44" s="18">
        <f t="shared" si="2"/>
        <v>12733</v>
      </c>
      <c r="M44" s="18">
        <f t="shared" si="3"/>
        <v>15024.939999999999</v>
      </c>
      <c r="N44" s="12">
        <v>0</v>
      </c>
      <c r="O44" s="19">
        <v>0.18</v>
      </c>
      <c r="P44" s="18">
        <f t="shared" si="4"/>
        <v>0</v>
      </c>
      <c r="Q44" s="12">
        <v>0</v>
      </c>
      <c r="R44" s="18">
        <f t="shared" si="5"/>
        <v>15024.939999999999</v>
      </c>
      <c r="S44" s="22">
        <f t="shared" si="6"/>
        <v>14999</v>
      </c>
      <c r="T44" s="18">
        <f t="shared" si="7"/>
        <v>-25.93999999999869</v>
      </c>
      <c r="U44" s="18">
        <f t="shared" si="8"/>
        <v>1344.0400000000009</v>
      </c>
      <c r="V44" s="18">
        <f t="shared" si="9"/>
        <v>1139.0169491525432</v>
      </c>
      <c r="W44" s="24">
        <f t="shared" si="10"/>
        <v>9.8428702830326925E-2</v>
      </c>
      <c r="X44" s="22"/>
    </row>
    <row r="45" spans="1:24" x14ac:dyDescent="0.25">
      <c r="A45" s="9" t="s">
        <v>24</v>
      </c>
      <c r="B45" s="9" t="s">
        <v>81</v>
      </c>
      <c r="C45" s="10"/>
      <c r="D45" s="9" t="s">
        <v>148</v>
      </c>
      <c r="E45" s="9" t="s">
        <v>149</v>
      </c>
      <c r="F45" s="12">
        <v>1</v>
      </c>
      <c r="G45" s="14">
        <v>593.91999999999996</v>
      </c>
      <c r="H45" s="18">
        <f t="shared" si="0"/>
        <v>593.91999999999996</v>
      </c>
      <c r="I45" s="19">
        <v>0.18</v>
      </c>
      <c r="J45" s="18">
        <f t="shared" si="1"/>
        <v>700.82559999999989</v>
      </c>
      <c r="K45" s="18">
        <v>786</v>
      </c>
      <c r="L45" s="18">
        <f t="shared" si="2"/>
        <v>786</v>
      </c>
      <c r="M45" s="18">
        <f t="shared" si="3"/>
        <v>927.4799999999999</v>
      </c>
      <c r="N45" s="12">
        <v>100</v>
      </c>
      <c r="O45" s="19">
        <v>0.18</v>
      </c>
      <c r="P45" s="18">
        <f t="shared" si="4"/>
        <v>118</v>
      </c>
      <c r="Q45" s="12">
        <v>20</v>
      </c>
      <c r="R45" s="18">
        <f t="shared" si="5"/>
        <v>1045.48</v>
      </c>
      <c r="S45" s="22">
        <f t="shared" si="6"/>
        <v>1049</v>
      </c>
      <c r="T45" s="18">
        <f t="shared" si="7"/>
        <v>3.5199999999999818</v>
      </c>
      <c r="U45" s="18">
        <f t="shared" si="8"/>
        <v>328.17440000000011</v>
      </c>
      <c r="V45" s="18">
        <f t="shared" si="9"/>
        <v>278.11389830508483</v>
      </c>
      <c r="W45" s="24">
        <f t="shared" si="10"/>
        <v>0.46826828243717145</v>
      </c>
      <c r="X45" s="22"/>
    </row>
    <row r="46" spans="1:24" x14ac:dyDescent="0.25">
      <c r="A46" s="9" t="s">
        <v>24</v>
      </c>
      <c r="B46" s="9" t="s">
        <v>150</v>
      </c>
      <c r="C46" s="10"/>
      <c r="D46" s="9" t="s">
        <v>151</v>
      </c>
      <c r="E46" s="9" t="s">
        <v>152</v>
      </c>
      <c r="F46" s="12">
        <v>1</v>
      </c>
      <c r="G46" s="14">
        <v>1410</v>
      </c>
      <c r="H46" s="18">
        <f t="shared" si="0"/>
        <v>1410</v>
      </c>
      <c r="I46" s="19">
        <v>0.18</v>
      </c>
      <c r="J46" s="18">
        <f t="shared" si="1"/>
        <v>1663.8</v>
      </c>
      <c r="K46" s="18">
        <v>1572</v>
      </c>
      <c r="L46" s="18">
        <f t="shared" si="2"/>
        <v>1572</v>
      </c>
      <c r="M46" s="18">
        <f t="shared" si="3"/>
        <v>1854.9599999999998</v>
      </c>
      <c r="N46" s="12">
        <v>0</v>
      </c>
      <c r="O46" s="19">
        <v>0.18</v>
      </c>
      <c r="P46" s="18">
        <f t="shared" si="4"/>
        <v>0</v>
      </c>
      <c r="Q46" s="12">
        <v>0</v>
      </c>
      <c r="R46" s="18">
        <f t="shared" si="5"/>
        <v>1854.9599999999998</v>
      </c>
      <c r="S46" s="22">
        <f t="shared" si="6"/>
        <v>1849</v>
      </c>
      <c r="T46" s="18">
        <f t="shared" si="7"/>
        <v>-5.959999999999809</v>
      </c>
      <c r="U46" s="18">
        <f t="shared" si="8"/>
        <v>185.20000000000005</v>
      </c>
      <c r="V46" s="18">
        <f t="shared" si="9"/>
        <v>156.94915254237293</v>
      </c>
      <c r="W46" s="24">
        <f t="shared" si="10"/>
        <v>0.11131145570381058</v>
      </c>
      <c r="X46" s="22"/>
    </row>
    <row r="47" spans="1:24" x14ac:dyDescent="0.25">
      <c r="A47" s="9" t="s">
        <v>24</v>
      </c>
      <c r="B47" s="9" t="s">
        <v>134</v>
      </c>
      <c r="C47" s="10"/>
      <c r="D47" s="9" t="s">
        <v>151</v>
      </c>
      <c r="E47" s="9" t="s">
        <v>153</v>
      </c>
      <c r="F47" s="12">
        <v>1</v>
      </c>
      <c r="G47" s="14">
        <v>1133</v>
      </c>
      <c r="H47" s="18">
        <f t="shared" si="0"/>
        <v>1133</v>
      </c>
      <c r="I47" s="19">
        <v>0.12</v>
      </c>
      <c r="J47" s="18">
        <f t="shared" si="1"/>
        <v>1268.96</v>
      </c>
      <c r="K47" s="18">
        <v>1449</v>
      </c>
      <c r="L47" s="18">
        <f t="shared" si="2"/>
        <v>1449</v>
      </c>
      <c r="M47" s="18">
        <f t="shared" si="3"/>
        <v>1622.88</v>
      </c>
      <c r="N47" s="12">
        <v>0</v>
      </c>
      <c r="O47" s="19">
        <v>0.18</v>
      </c>
      <c r="P47" s="18">
        <f t="shared" si="4"/>
        <v>0</v>
      </c>
      <c r="Q47" s="12">
        <v>0</v>
      </c>
      <c r="R47" s="18">
        <f t="shared" si="5"/>
        <v>1622.88</v>
      </c>
      <c r="S47" s="22">
        <f t="shared" si="6"/>
        <v>1599</v>
      </c>
      <c r="T47" s="18">
        <f t="shared" si="7"/>
        <v>-23.880000000000109</v>
      </c>
      <c r="U47" s="18">
        <f t="shared" si="8"/>
        <v>330.03999999999996</v>
      </c>
      <c r="V47" s="18">
        <f t="shared" si="9"/>
        <v>294.67857142857139</v>
      </c>
      <c r="W47" s="24">
        <f t="shared" si="10"/>
        <v>0.26008700037826249</v>
      </c>
      <c r="X47" s="22"/>
    </row>
    <row r="48" spans="1:24" x14ac:dyDescent="0.25">
      <c r="A48" s="9" t="s">
        <v>24</v>
      </c>
      <c r="B48" s="9" t="s">
        <v>137</v>
      </c>
      <c r="C48" s="10"/>
      <c r="D48" s="9" t="s">
        <v>151</v>
      </c>
      <c r="E48" s="9" t="s">
        <v>154</v>
      </c>
      <c r="F48" s="12">
        <v>1</v>
      </c>
      <c r="G48" s="14">
        <v>1250</v>
      </c>
      <c r="H48" s="18">
        <f t="shared" si="0"/>
        <v>1250</v>
      </c>
      <c r="I48" s="19">
        <v>0.18</v>
      </c>
      <c r="J48" s="18">
        <f t="shared" si="1"/>
        <v>1475</v>
      </c>
      <c r="K48" s="18">
        <v>1375</v>
      </c>
      <c r="L48" s="18">
        <f t="shared" si="2"/>
        <v>1375</v>
      </c>
      <c r="M48" s="18">
        <f t="shared" si="3"/>
        <v>1622.5</v>
      </c>
      <c r="N48" s="12">
        <v>0</v>
      </c>
      <c r="O48" s="19">
        <v>0.18</v>
      </c>
      <c r="P48" s="18">
        <f t="shared" si="4"/>
        <v>0</v>
      </c>
      <c r="Q48" s="12">
        <v>0</v>
      </c>
      <c r="R48" s="18">
        <f t="shared" si="5"/>
        <v>1622.5</v>
      </c>
      <c r="S48" s="22">
        <f t="shared" si="6"/>
        <v>1599</v>
      </c>
      <c r="T48" s="18">
        <f t="shared" si="7"/>
        <v>-23.5</v>
      </c>
      <c r="U48" s="18">
        <f t="shared" si="8"/>
        <v>124</v>
      </c>
      <c r="V48" s="18">
        <f t="shared" si="9"/>
        <v>105.08474576271188</v>
      </c>
      <c r="W48" s="24">
        <f t="shared" si="10"/>
        <v>8.4067796610169498E-2</v>
      </c>
      <c r="X48" s="22"/>
    </row>
    <row r="49" spans="1:24" x14ac:dyDescent="0.25">
      <c r="A49" s="9" t="s">
        <v>24</v>
      </c>
      <c r="B49" s="9" t="s">
        <v>44</v>
      </c>
      <c r="C49" s="10"/>
      <c r="D49" s="9" t="s">
        <v>151</v>
      </c>
      <c r="E49" s="9" t="s">
        <v>155</v>
      </c>
      <c r="F49" s="12">
        <v>1</v>
      </c>
      <c r="G49" s="14">
        <v>1566</v>
      </c>
      <c r="H49" s="18">
        <f t="shared" si="0"/>
        <v>1566</v>
      </c>
      <c r="I49" s="19">
        <v>0.18</v>
      </c>
      <c r="J49" s="18">
        <f t="shared" si="1"/>
        <v>1847.8799999999999</v>
      </c>
      <c r="K49" s="18">
        <v>1746</v>
      </c>
      <c r="L49" s="18">
        <f t="shared" si="2"/>
        <v>1746</v>
      </c>
      <c r="M49" s="18">
        <f t="shared" si="3"/>
        <v>2060.2799999999997</v>
      </c>
      <c r="N49" s="12">
        <v>0</v>
      </c>
      <c r="O49" s="19">
        <v>0.18</v>
      </c>
      <c r="P49" s="18">
        <f t="shared" si="4"/>
        <v>0</v>
      </c>
      <c r="Q49" s="12">
        <v>0</v>
      </c>
      <c r="R49" s="18">
        <f t="shared" si="5"/>
        <v>2060.2799999999997</v>
      </c>
      <c r="S49" s="22">
        <f t="shared" si="6"/>
        <v>2049</v>
      </c>
      <c r="T49" s="18">
        <f t="shared" si="7"/>
        <v>-11.279999999999745</v>
      </c>
      <c r="U49" s="18">
        <f t="shared" si="8"/>
        <v>201.12000000000012</v>
      </c>
      <c r="V49" s="18">
        <f t="shared" si="9"/>
        <v>170.44067796610182</v>
      </c>
      <c r="W49" s="24">
        <f t="shared" si="10"/>
        <v>0.10883823624910716</v>
      </c>
      <c r="X49" s="22"/>
    </row>
    <row r="50" spans="1:24" x14ac:dyDescent="0.25">
      <c r="A50" s="9" t="s">
        <v>24</v>
      </c>
      <c r="B50" s="9" t="s">
        <v>52</v>
      </c>
      <c r="C50" s="10"/>
      <c r="D50" s="9" t="s">
        <v>151</v>
      </c>
      <c r="E50" s="9" t="s">
        <v>156</v>
      </c>
      <c r="F50" s="12">
        <v>1</v>
      </c>
      <c r="G50" s="14">
        <v>1499</v>
      </c>
      <c r="H50" s="18">
        <f t="shared" si="0"/>
        <v>1499</v>
      </c>
      <c r="I50" s="19">
        <v>0.18</v>
      </c>
      <c r="J50" s="18">
        <f t="shared" si="1"/>
        <v>1768.82</v>
      </c>
      <c r="K50" s="18">
        <v>1672</v>
      </c>
      <c r="L50" s="18">
        <f t="shared" si="2"/>
        <v>1672</v>
      </c>
      <c r="M50" s="18">
        <f t="shared" si="3"/>
        <v>1972.9599999999998</v>
      </c>
      <c r="N50" s="12">
        <v>0</v>
      </c>
      <c r="O50" s="19">
        <v>0.18</v>
      </c>
      <c r="P50" s="18">
        <f t="shared" si="4"/>
        <v>0</v>
      </c>
      <c r="Q50" s="12">
        <v>0</v>
      </c>
      <c r="R50" s="18">
        <f t="shared" si="5"/>
        <v>1972.9599999999998</v>
      </c>
      <c r="S50" s="22">
        <f t="shared" si="6"/>
        <v>1949</v>
      </c>
      <c r="T50" s="18">
        <f t="shared" si="7"/>
        <v>-23.959999999999809</v>
      </c>
      <c r="U50" s="18">
        <f t="shared" si="8"/>
        <v>180.18000000000006</v>
      </c>
      <c r="V50" s="18">
        <f t="shared" si="9"/>
        <v>152.69491525423734</v>
      </c>
      <c r="W50" s="24">
        <f t="shared" si="10"/>
        <v>0.10186451984939116</v>
      </c>
      <c r="X50" s="22"/>
    </row>
    <row r="51" spans="1:24" x14ac:dyDescent="0.25">
      <c r="A51" s="9" t="s">
        <v>24</v>
      </c>
      <c r="B51" s="9" t="s">
        <v>58</v>
      </c>
      <c r="C51" s="10"/>
      <c r="D51" s="9" t="s">
        <v>151</v>
      </c>
      <c r="E51" s="9" t="s">
        <v>157</v>
      </c>
      <c r="F51" s="12">
        <v>1</v>
      </c>
      <c r="G51" s="14">
        <v>1527</v>
      </c>
      <c r="H51" s="18">
        <f t="shared" si="0"/>
        <v>1527</v>
      </c>
      <c r="I51" s="19">
        <v>0.18</v>
      </c>
      <c r="J51" s="18">
        <f t="shared" si="1"/>
        <v>1801.86</v>
      </c>
      <c r="K51" s="18">
        <v>1961</v>
      </c>
      <c r="L51" s="18">
        <f t="shared" si="2"/>
        <v>1961</v>
      </c>
      <c r="M51" s="18">
        <f t="shared" si="3"/>
        <v>2313.98</v>
      </c>
      <c r="N51" s="12">
        <v>0</v>
      </c>
      <c r="O51" s="19">
        <v>0.18</v>
      </c>
      <c r="P51" s="18">
        <f t="shared" si="4"/>
        <v>0</v>
      </c>
      <c r="Q51" s="12">
        <v>0</v>
      </c>
      <c r="R51" s="18">
        <f t="shared" si="5"/>
        <v>2313.98</v>
      </c>
      <c r="S51" s="22">
        <f t="shared" si="6"/>
        <v>2299</v>
      </c>
      <c r="T51" s="18">
        <f t="shared" si="7"/>
        <v>-14.980000000000018</v>
      </c>
      <c r="U51" s="18">
        <f t="shared" si="8"/>
        <v>497.1400000000001</v>
      </c>
      <c r="V51" s="18">
        <f t="shared" si="9"/>
        <v>421.30508474576283</v>
      </c>
      <c r="W51" s="24">
        <f t="shared" si="10"/>
        <v>0.27590378830763773</v>
      </c>
      <c r="X51" s="22"/>
    </row>
    <row r="52" spans="1:24" x14ac:dyDescent="0.25">
      <c r="A52" s="9" t="s">
        <v>24</v>
      </c>
      <c r="B52" s="9" t="s">
        <v>63</v>
      </c>
      <c r="C52" s="10"/>
      <c r="D52" s="9" t="s">
        <v>151</v>
      </c>
      <c r="E52" s="9" t="s">
        <v>158</v>
      </c>
      <c r="F52" s="12">
        <v>1</v>
      </c>
      <c r="G52" s="14">
        <v>1309</v>
      </c>
      <c r="H52" s="18">
        <f t="shared" si="0"/>
        <v>1309</v>
      </c>
      <c r="I52" s="19">
        <v>0.18</v>
      </c>
      <c r="J52" s="18">
        <f t="shared" si="1"/>
        <v>1544.62</v>
      </c>
      <c r="K52" s="18">
        <v>1681</v>
      </c>
      <c r="L52" s="18">
        <f t="shared" si="2"/>
        <v>1681</v>
      </c>
      <c r="M52" s="18">
        <f t="shared" si="3"/>
        <v>1983.58</v>
      </c>
      <c r="N52" s="12">
        <v>0</v>
      </c>
      <c r="O52" s="19">
        <v>0.18</v>
      </c>
      <c r="P52" s="18">
        <f t="shared" si="4"/>
        <v>0</v>
      </c>
      <c r="Q52" s="12">
        <v>0</v>
      </c>
      <c r="R52" s="18">
        <f t="shared" si="5"/>
        <v>1983.58</v>
      </c>
      <c r="S52" s="22">
        <f t="shared" si="6"/>
        <v>1999</v>
      </c>
      <c r="T52" s="18">
        <f t="shared" si="7"/>
        <v>15.420000000000073</v>
      </c>
      <c r="U52" s="18">
        <f t="shared" si="8"/>
        <v>454.38000000000011</v>
      </c>
      <c r="V52" s="18">
        <f t="shared" si="9"/>
        <v>385.06779661016958</v>
      </c>
      <c r="W52" s="24">
        <f t="shared" si="10"/>
        <v>0.29416943973274989</v>
      </c>
      <c r="X52" s="22"/>
    </row>
    <row r="53" spans="1:24" x14ac:dyDescent="0.25">
      <c r="A53" s="9" t="s">
        <v>24</v>
      </c>
      <c r="B53" s="9" t="s">
        <v>43</v>
      </c>
      <c r="C53" s="10"/>
      <c r="D53" s="9" t="s">
        <v>151</v>
      </c>
      <c r="E53" s="9" t="s">
        <v>159</v>
      </c>
      <c r="F53" s="12">
        <v>1</v>
      </c>
      <c r="G53" s="14">
        <v>1873</v>
      </c>
      <c r="H53" s="18">
        <f t="shared" si="0"/>
        <v>1873</v>
      </c>
      <c r="I53" s="19">
        <v>0.18</v>
      </c>
      <c r="J53" s="18">
        <f t="shared" si="1"/>
        <v>2210.14</v>
      </c>
      <c r="K53" s="18">
        <v>2334</v>
      </c>
      <c r="L53" s="18">
        <f t="shared" si="2"/>
        <v>2334</v>
      </c>
      <c r="M53" s="18">
        <f t="shared" si="3"/>
        <v>2754.12</v>
      </c>
      <c r="N53" s="12">
        <v>0</v>
      </c>
      <c r="O53" s="19">
        <v>0.18</v>
      </c>
      <c r="P53" s="18">
        <f t="shared" si="4"/>
        <v>0</v>
      </c>
      <c r="Q53" s="12">
        <v>0</v>
      </c>
      <c r="R53" s="18">
        <f t="shared" si="5"/>
        <v>2754.12</v>
      </c>
      <c r="S53" s="22">
        <f t="shared" si="6"/>
        <v>2749</v>
      </c>
      <c r="T53" s="18">
        <f t="shared" si="7"/>
        <v>-5.1199999999998909</v>
      </c>
      <c r="U53" s="18">
        <f t="shared" si="8"/>
        <v>538.86000000000013</v>
      </c>
      <c r="V53" s="18">
        <f t="shared" si="9"/>
        <v>456.66101694915267</v>
      </c>
      <c r="W53" s="24">
        <f t="shared" si="10"/>
        <v>0.24381260915598113</v>
      </c>
      <c r="X53" s="22"/>
    </row>
    <row r="54" spans="1:24" x14ac:dyDescent="0.25">
      <c r="A54" s="9" t="s">
        <v>24</v>
      </c>
      <c r="B54" s="9" t="s">
        <v>25</v>
      </c>
      <c r="C54" s="10"/>
      <c r="D54" s="9" t="s">
        <v>160</v>
      </c>
      <c r="E54" s="9" t="s">
        <v>161</v>
      </c>
      <c r="F54" s="12">
        <v>1</v>
      </c>
      <c r="G54" s="14">
        <v>1391</v>
      </c>
      <c r="H54" s="18">
        <f t="shared" si="0"/>
        <v>1391</v>
      </c>
      <c r="I54" s="19">
        <v>0.18</v>
      </c>
      <c r="J54" s="18">
        <f t="shared" si="1"/>
        <v>1641.3799999999999</v>
      </c>
      <c r="K54" s="18">
        <v>2008</v>
      </c>
      <c r="L54" s="18">
        <f t="shared" si="2"/>
        <v>2008</v>
      </c>
      <c r="M54" s="18">
        <f t="shared" si="3"/>
        <v>2369.44</v>
      </c>
      <c r="N54" s="12">
        <v>0</v>
      </c>
      <c r="O54" s="19">
        <v>0.18</v>
      </c>
      <c r="P54" s="18">
        <f t="shared" si="4"/>
        <v>0</v>
      </c>
      <c r="Q54" s="12">
        <v>0</v>
      </c>
      <c r="R54" s="18">
        <f t="shared" si="5"/>
        <v>2369.44</v>
      </c>
      <c r="S54" s="22">
        <f t="shared" si="6"/>
        <v>2349</v>
      </c>
      <c r="T54" s="18">
        <f t="shared" si="7"/>
        <v>-20.440000000000055</v>
      </c>
      <c r="U54" s="18">
        <f t="shared" si="8"/>
        <v>707.62000000000012</v>
      </c>
      <c r="V54" s="18">
        <f t="shared" si="9"/>
        <v>599.67796610169501</v>
      </c>
      <c r="W54" s="24">
        <f t="shared" si="10"/>
        <v>0.43111284407023365</v>
      </c>
      <c r="X54" s="22"/>
    </row>
    <row r="55" spans="1:24" x14ac:dyDescent="0.25">
      <c r="A55" s="9" t="s">
        <v>24</v>
      </c>
      <c r="B55" s="9" t="s">
        <v>81</v>
      </c>
      <c r="C55" s="10"/>
      <c r="D55" s="9" t="s">
        <v>162</v>
      </c>
      <c r="E55" s="9" t="s">
        <v>163</v>
      </c>
      <c r="F55" s="12">
        <v>1</v>
      </c>
      <c r="G55" s="14">
        <v>2590</v>
      </c>
      <c r="H55" s="18">
        <f t="shared" si="0"/>
        <v>2590</v>
      </c>
      <c r="I55" s="19">
        <v>0.18</v>
      </c>
      <c r="J55" s="18">
        <f t="shared" si="1"/>
        <v>3056.2</v>
      </c>
      <c r="K55" s="18">
        <v>2709</v>
      </c>
      <c r="L55" s="18">
        <f t="shared" si="2"/>
        <v>2709</v>
      </c>
      <c r="M55" s="18">
        <f t="shared" si="3"/>
        <v>3196.62</v>
      </c>
      <c r="N55" s="12">
        <v>0</v>
      </c>
      <c r="O55" s="19">
        <v>0.18</v>
      </c>
      <c r="P55" s="18">
        <f t="shared" si="4"/>
        <v>0</v>
      </c>
      <c r="Q55" s="12">
        <v>0</v>
      </c>
      <c r="R55" s="18">
        <f t="shared" si="5"/>
        <v>3196.62</v>
      </c>
      <c r="S55" s="22">
        <f t="shared" si="6"/>
        <v>3199</v>
      </c>
      <c r="T55" s="18">
        <f t="shared" si="7"/>
        <v>2.3800000000001091</v>
      </c>
      <c r="U55" s="18">
        <f t="shared" si="8"/>
        <v>142.80000000000018</v>
      </c>
      <c r="V55" s="18">
        <f t="shared" si="9"/>
        <v>121.01694915254254</v>
      </c>
      <c r="W55" s="24">
        <f t="shared" si="10"/>
        <v>4.6724690792487464E-2</v>
      </c>
      <c r="X55" s="22"/>
    </row>
    <row r="56" spans="1:24" x14ac:dyDescent="0.25">
      <c r="A56" s="9" t="s">
        <v>24</v>
      </c>
      <c r="B56" s="9" t="s">
        <v>81</v>
      </c>
      <c r="C56" s="10"/>
      <c r="D56" s="9" t="s">
        <v>164</v>
      </c>
      <c r="E56" s="9" t="s">
        <v>165</v>
      </c>
      <c r="F56" s="12">
        <v>1</v>
      </c>
      <c r="G56" s="14">
        <v>1561</v>
      </c>
      <c r="H56" s="18">
        <f t="shared" si="0"/>
        <v>1561</v>
      </c>
      <c r="I56" s="19">
        <v>0.18</v>
      </c>
      <c r="J56" s="18">
        <f t="shared" si="1"/>
        <v>1841.9799999999998</v>
      </c>
      <c r="K56" s="18">
        <v>1633</v>
      </c>
      <c r="L56" s="18">
        <f t="shared" si="2"/>
        <v>1633</v>
      </c>
      <c r="M56" s="18">
        <f t="shared" si="3"/>
        <v>1926.9399999999998</v>
      </c>
      <c r="N56" s="12">
        <v>0</v>
      </c>
      <c r="O56" s="19">
        <v>0.18</v>
      </c>
      <c r="P56" s="18">
        <f t="shared" si="4"/>
        <v>0</v>
      </c>
      <c r="Q56" s="12">
        <v>0</v>
      </c>
      <c r="R56" s="18">
        <f t="shared" si="5"/>
        <v>1926.9399999999998</v>
      </c>
      <c r="S56" s="22">
        <f t="shared" si="6"/>
        <v>1949</v>
      </c>
      <c r="T56" s="18">
        <f t="shared" si="7"/>
        <v>22.060000000000173</v>
      </c>
      <c r="U56" s="18">
        <f t="shared" si="8"/>
        <v>107.02000000000021</v>
      </c>
      <c r="V56" s="18">
        <f t="shared" si="9"/>
        <v>90.694915254237472</v>
      </c>
      <c r="W56" s="24">
        <f t="shared" si="10"/>
        <v>5.8100522264085505E-2</v>
      </c>
      <c r="X56" s="22"/>
    </row>
    <row r="57" spans="1:24" x14ac:dyDescent="0.25">
      <c r="A57" s="9" t="s">
        <v>24</v>
      </c>
      <c r="B57" s="9" t="s">
        <v>692</v>
      </c>
      <c r="C57" s="10"/>
      <c r="D57" s="9" t="s">
        <v>166</v>
      </c>
      <c r="E57" s="9" t="s">
        <v>167</v>
      </c>
      <c r="F57" s="12">
        <v>1</v>
      </c>
      <c r="G57" s="14">
        <v>1353</v>
      </c>
      <c r="H57" s="18">
        <f t="shared" si="0"/>
        <v>1353</v>
      </c>
      <c r="I57" s="19">
        <v>0.18</v>
      </c>
      <c r="J57" s="18">
        <f t="shared" si="1"/>
        <v>1596.54</v>
      </c>
      <c r="K57" s="18">
        <v>1686</v>
      </c>
      <c r="L57" s="18">
        <f t="shared" si="2"/>
        <v>1686</v>
      </c>
      <c r="M57" s="18">
        <f t="shared" si="3"/>
        <v>1989.4799999999998</v>
      </c>
      <c r="N57" s="12">
        <v>0</v>
      </c>
      <c r="O57" s="19">
        <v>0.18</v>
      </c>
      <c r="P57" s="18">
        <f t="shared" si="4"/>
        <v>0</v>
      </c>
      <c r="Q57" s="12">
        <v>0</v>
      </c>
      <c r="R57" s="18">
        <f t="shared" si="5"/>
        <v>1989.4799999999998</v>
      </c>
      <c r="S57" s="22">
        <f t="shared" si="6"/>
        <v>1999</v>
      </c>
      <c r="T57" s="18">
        <f t="shared" si="7"/>
        <v>9.5200000000002092</v>
      </c>
      <c r="U57" s="18">
        <f t="shared" si="8"/>
        <v>402.46000000000004</v>
      </c>
      <c r="V57" s="18">
        <f t="shared" si="9"/>
        <v>341.06779661016952</v>
      </c>
      <c r="W57" s="24">
        <f t="shared" si="10"/>
        <v>0.2520826286845303</v>
      </c>
      <c r="X57" s="22"/>
    </row>
    <row r="58" spans="1:24" x14ac:dyDescent="0.25">
      <c r="A58" s="9" t="s">
        <v>24</v>
      </c>
      <c r="B58" s="9" t="s">
        <v>58</v>
      </c>
      <c r="C58" s="10"/>
      <c r="D58" s="9" t="s">
        <v>168</v>
      </c>
      <c r="E58" s="9" t="s">
        <v>169</v>
      </c>
      <c r="F58" s="12">
        <v>1</v>
      </c>
      <c r="G58" s="14">
        <v>1623</v>
      </c>
      <c r="H58" s="18">
        <f t="shared" si="0"/>
        <v>1623</v>
      </c>
      <c r="I58" s="19">
        <v>0.18</v>
      </c>
      <c r="J58" s="18">
        <f t="shared" si="1"/>
        <v>1915.1399999999999</v>
      </c>
      <c r="K58" s="18">
        <v>2023</v>
      </c>
      <c r="L58" s="18">
        <f t="shared" si="2"/>
        <v>2023</v>
      </c>
      <c r="M58" s="18">
        <f t="shared" si="3"/>
        <v>2387.14</v>
      </c>
      <c r="N58" s="12">
        <v>500</v>
      </c>
      <c r="O58" s="19">
        <v>0.18</v>
      </c>
      <c r="P58" s="18">
        <f t="shared" si="4"/>
        <v>590</v>
      </c>
      <c r="Q58" s="12">
        <v>0</v>
      </c>
      <c r="R58" s="18">
        <f t="shared" si="5"/>
        <v>2977.14</v>
      </c>
      <c r="S58" s="22">
        <f t="shared" si="6"/>
        <v>2999</v>
      </c>
      <c r="T58" s="18">
        <f t="shared" si="7"/>
        <v>21.860000000000127</v>
      </c>
      <c r="U58" s="18">
        <f t="shared" si="8"/>
        <v>1083.8600000000001</v>
      </c>
      <c r="V58" s="18">
        <f t="shared" si="9"/>
        <v>918.52542372881373</v>
      </c>
      <c r="W58" s="24">
        <f t="shared" si="10"/>
        <v>0.56594295978361908</v>
      </c>
      <c r="X58" s="22"/>
    </row>
    <row r="59" spans="1:24" x14ac:dyDescent="0.25">
      <c r="A59" s="9" t="s">
        <v>24</v>
      </c>
      <c r="B59" s="9" t="s">
        <v>692</v>
      </c>
      <c r="C59" s="10"/>
      <c r="D59" s="9" t="s">
        <v>170</v>
      </c>
      <c r="E59" s="9" t="s">
        <v>171</v>
      </c>
      <c r="F59" s="12">
        <v>1</v>
      </c>
      <c r="G59" s="14">
        <v>1688</v>
      </c>
      <c r="H59" s="18">
        <f t="shared" si="0"/>
        <v>1688</v>
      </c>
      <c r="I59" s="19">
        <v>0.18</v>
      </c>
      <c r="J59" s="18">
        <f t="shared" si="1"/>
        <v>1991.84</v>
      </c>
      <c r="K59" s="18">
        <v>2201</v>
      </c>
      <c r="L59" s="18">
        <f t="shared" si="2"/>
        <v>2201</v>
      </c>
      <c r="M59" s="18">
        <f t="shared" si="3"/>
        <v>2597.1799999999998</v>
      </c>
      <c r="N59" s="12">
        <v>300</v>
      </c>
      <c r="O59" s="19">
        <v>0.18</v>
      </c>
      <c r="P59" s="18">
        <f t="shared" si="4"/>
        <v>354</v>
      </c>
      <c r="Q59" s="12">
        <v>20</v>
      </c>
      <c r="R59" s="18">
        <f t="shared" si="5"/>
        <v>2951.18</v>
      </c>
      <c r="S59" s="22">
        <f t="shared" si="6"/>
        <v>2949</v>
      </c>
      <c r="T59" s="18">
        <f t="shared" si="7"/>
        <v>-2.1799999999998363</v>
      </c>
      <c r="U59" s="18">
        <f t="shared" si="8"/>
        <v>937.16000000000008</v>
      </c>
      <c r="V59" s="18">
        <f t="shared" si="9"/>
        <v>794.20338983050863</v>
      </c>
      <c r="W59" s="24">
        <f t="shared" si="10"/>
        <v>0.47049963852518284</v>
      </c>
      <c r="X59" s="22"/>
    </row>
    <row r="60" spans="1:24" x14ac:dyDescent="0.25">
      <c r="A60" s="9" t="s">
        <v>24</v>
      </c>
      <c r="B60" s="9" t="s">
        <v>692</v>
      </c>
      <c r="C60" s="10"/>
      <c r="D60" s="9" t="s">
        <v>172</v>
      </c>
      <c r="E60" s="9" t="s">
        <v>173</v>
      </c>
      <c r="F60" s="12">
        <v>1</v>
      </c>
      <c r="G60" s="14">
        <v>3340</v>
      </c>
      <c r="H60" s="18">
        <f t="shared" si="0"/>
        <v>3340</v>
      </c>
      <c r="I60" s="19">
        <v>0.18</v>
      </c>
      <c r="J60" s="18">
        <f t="shared" si="1"/>
        <v>3941.2</v>
      </c>
      <c r="K60" s="18">
        <v>4208</v>
      </c>
      <c r="L60" s="18">
        <f t="shared" si="2"/>
        <v>4208</v>
      </c>
      <c r="M60" s="18">
        <f t="shared" si="3"/>
        <v>4965.4399999999996</v>
      </c>
      <c r="N60" s="12">
        <v>600</v>
      </c>
      <c r="O60" s="19">
        <v>0.18</v>
      </c>
      <c r="P60" s="18">
        <f t="shared" si="4"/>
        <v>708</v>
      </c>
      <c r="Q60" s="12">
        <v>50</v>
      </c>
      <c r="R60" s="18">
        <f t="shared" si="5"/>
        <v>5673.44</v>
      </c>
      <c r="S60" s="22">
        <f t="shared" si="6"/>
        <v>5649</v>
      </c>
      <c r="T60" s="18">
        <f t="shared" si="7"/>
        <v>-24.4399999999996</v>
      </c>
      <c r="U60" s="18">
        <f t="shared" si="8"/>
        <v>1657.8000000000002</v>
      </c>
      <c r="V60" s="18">
        <f t="shared" si="9"/>
        <v>1404.9152542372883</v>
      </c>
      <c r="W60" s="24">
        <f t="shared" si="10"/>
        <v>0.42063330965188273</v>
      </c>
      <c r="X60" s="22"/>
    </row>
    <row r="61" spans="1:24" x14ac:dyDescent="0.25">
      <c r="A61" s="9" t="s">
        <v>24</v>
      </c>
      <c r="B61" s="9" t="s">
        <v>40</v>
      </c>
      <c r="C61" s="10"/>
      <c r="D61" s="9" t="s">
        <v>174</v>
      </c>
      <c r="E61" s="9" t="s">
        <v>175</v>
      </c>
      <c r="F61" s="12">
        <v>1</v>
      </c>
      <c r="G61" s="14">
        <v>3306</v>
      </c>
      <c r="H61" s="18">
        <f t="shared" si="0"/>
        <v>3306</v>
      </c>
      <c r="I61" s="19">
        <v>0.18</v>
      </c>
      <c r="J61" s="18">
        <f t="shared" si="1"/>
        <v>3901.08</v>
      </c>
      <c r="K61" s="18">
        <v>3891</v>
      </c>
      <c r="L61" s="18">
        <f t="shared" si="2"/>
        <v>3891</v>
      </c>
      <c r="M61" s="18">
        <f t="shared" si="3"/>
        <v>4591.38</v>
      </c>
      <c r="N61" s="12">
        <v>100</v>
      </c>
      <c r="O61" s="19">
        <v>0.18</v>
      </c>
      <c r="P61" s="18">
        <f t="shared" si="4"/>
        <v>118</v>
      </c>
      <c r="Q61" s="12">
        <v>0</v>
      </c>
      <c r="R61" s="18">
        <f t="shared" si="5"/>
        <v>4709.38</v>
      </c>
      <c r="S61" s="22">
        <f t="shared" si="6"/>
        <v>4699</v>
      </c>
      <c r="T61" s="18">
        <f t="shared" si="7"/>
        <v>-10.380000000000109</v>
      </c>
      <c r="U61" s="18">
        <f t="shared" si="8"/>
        <v>797.92000000000007</v>
      </c>
      <c r="V61" s="18">
        <f t="shared" si="9"/>
        <v>676.20338983050863</v>
      </c>
      <c r="W61" s="24">
        <f t="shared" si="10"/>
        <v>0.20453823043875033</v>
      </c>
      <c r="X61" s="22"/>
    </row>
    <row r="62" spans="1:24" x14ac:dyDescent="0.25">
      <c r="A62" s="9" t="s">
        <v>24</v>
      </c>
      <c r="B62" s="9" t="s">
        <v>40</v>
      </c>
      <c r="C62" s="10"/>
      <c r="D62" s="9" t="s">
        <v>176</v>
      </c>
      <c r="E62" s="9" t="s">
        <v>177</v>
      </c>
      <c r="F62" s="12">
        <v>1</v>
      </c>
      <c r="G62" s="14">
        <v>1752</v>
      </c>
      <c r="H62" s="18">
        <f t="shared" si="0"/>
        <v>1752</v>
      </c>
      <c r="I62" s="19">
        <v>0.18</v>
      </c>
      <c r="J62" s="18">
        <f t="shared" si="1"/>
        <v>2067.3599999999997</v>
      </c>
      <c r="K62" s="18">
        <v>2063</v>
      </c>
      <c r="L62" s="18">
        <f t="shared" si="2"/>
        <v>2063</v>
      </c>
      <c r="M62" s="18">
        <f t="shared" si="3"/>
        <v>2434.3399999999997</v>
      </c>
      <c r="N62" s="12">
        <v>0</v>
      </c>
      <c r="O62" s="19">
        <v>0.18</v>
      </c>
      <c r="P62" s="18">
        <f t="shared" si="4"/>
        <v>0</v>
      </c>
      <c r="Q62" s="12">
        <v>0</v>
      </c>
      <c r="R62" s="18">
        <f t="shared" si="5"/>
        <v>2434.3399999999997</v>
      </c>
      <c r="S62" s="22">
        <f t="shared" si="6"/>
        <v>2449</v>
      </c>
      <c r="T62" s="18">
        <f t="shared" si="7"/>
        <v>14.660000000000309</v>
      </c>
      <c r="U62" s="18">
        <f t="shared" si="8"/>
        <v>381.64000000000033</v>
      </c>
      <c r="V62" s="18">
        <f t="shared" si="9"/>
        <v>323.42372881355959</v>
      </c>
      <c r="W62" s="24">
        <f t="shared" si="10"/>
        <v>0.18460258493924633</v>
      </c>
      <c r="X62" s="22"/>
    </row>
    <row r="63" spans="1:24" x14ac:dyDescent="0.25">
      <c r="A63" s="9" t="s">
        <v>24</v>
      </c>
      <c r="B63" s="9" t="s">
        <v>52</v>
      </c>
      <c r="C63" s="10"/>
      <c r="D63" s="9" t="s">
        <v>178</v>
      </c>
      <c r="E63" s="9" t="s">
        <v>179</v>
      </c>
      <c r="F63" s="12">
        <v>1</v>
      </c>
      <c r="G63" s="14">
        <v>16145</v>
      </c>
      <c r="H63" s="18">
        <f t="shared" si="0"/>
        <v>16145</v>
      </c>
      <c r="I63" s="19">
        <v>0.18</v>
      </c>
      <c r="J63" s="18">
        <f t="shared" si="1"/>
        <v>19051.099999999999</v>
      </c>
      <c r="K63" s="18">
        <v>20345</v>
      </c>
      <c r="L63" s="18">
        <f t="shared" si="2"/>
        <v>20345</v>
      </c>
      <c r="M63" s="18">
        <f t="shared" si="3"/>
        <v>24007.1</v>
      </c>
      <c r="N63" s="12">
        <v>1500</v>
      </c>
      <c r="O63" s="19">
        <v>0.18</v>
      </c>
      <c r="P63" s="18">
        <f t="shared" si="4"/>
        <v>1770</v>
      </c>
      <c r="Q63" s="12">
        <v>300</v>
      </c>
      <c r="R63" s="18">
        <f t="shared" si="5"/>
        <v>25777.1</v>
      </c>
      <c r="S63" s="22">
        <f t="shared" si="6"/>
        <v>25799</v>
      </c>
      <c r="T63" s="18">
        <f t="shared" si="7"/>
        <v>21.900000000001455</v>
      </c>
      <c r="U63" s="18">
        <f t="shared" si="8"/>
        <v>6447.9000000000015</v>
      </c>
      <c r="V63" s="18">
        <f t="shared" si="9"/>
        <v>5464.3220338983065</v>
      </c>
      <c r="W63" s="24">
        <f t="shared" si="10"/>
        <v>0.33845289773293941</v>
      </c>
      <c r="X63" s="22"/>
    </row>
    <row r="64" spans="1:24" x14ac:dyDescent="0.25">
      <c r="A64" s="9" t="s">
        <v>24</v>
      </c>
      <c r="B64" s="9" t="s">
        <v>52</v>
      </c>
      <c r="C64" s="10"/>
      <c r="D64" s="9" t="s">
        <v>180</v>
      </c>
      <c r="E64" s="9" t="s">
        <v>181</v>
      </c>
      <c r="F64" s="12">
        <v>1</v>
      </c>
      <c r="G64" s="14">
        <v>32548</v>
      </c>
      <c r="H64" s="18">
        <f t="shared" si="0"/>
        <v>32548</v>
      </c>
      <c r="I64" s="19">
        <v>0.18</v>
      </c>
      <c r="J64" s="18">
        <f t="shared" si="1"/>
        <v>38406.639999999999</v>
      </c>
      <c r="K64" s="18">
        <v>41015</v>
      </c>
      <c r="L64" s="18">
        <f t="shared" si="2"/>
        <v>41015</v>
      </c>
      <c r="M64" s="18">
        <f t="shared" si="3"/>
        <v>48397.7</v>
      </c>
      <c r="N64" s="12">
        <v>3500</v>
      </c>
      <c r="O64" s="19">
        <v>0.18</v>
      </c>
      <c r="P64" s="18">
        <f t="shared" si="4"/>
        <v>4130</v>
      </c>
      <c r="Q64" s="12">
        <v>150</v>
      </c>
      <c r="R64" s="18">
        <f t="shared" si="5"/>
        <v>52527.7</v>
      </c>
      <c r="S64" s="22">
        <f t="shared" si="6"/>
        <v>52549</v>
      </c>
      <c r="T64" s="18">
        <f t="shared" si="7"/>
        <v>21.30000000000291</v>
      </c>
      <c r="U64" s="18">
        <f t="shared" si="8"/>
        <v>13992.36</v>
      </c>
      <c r="V64" s="18">
        <f t="shared" si="9"/>
        <v>11857.932203389832</v>
      </c>
      <c r="W64" s="24">
        <f t="shared" si="10"/>
        <v>0.36432137776176204</v>
      </c>
      <c r="X64" s="22"/>
    </row>
    <row r="65" spans="1:24" x14ac:dyDescent="0.25">
      <c r="A65" s="9" t="s">
        <v>24</v>
      </c>
      <c r="B65" s="9" t="s">
        <v>52</v>
      </c>
      <c r="C65" s="10"/>
      <c r="D65" s="9" t="s">
        <v>182</v>
      </c>
      <c r="E65" s="9" t="s">
        <v>183</v>
      </c>
      <c r="F65" s="12">
        <v>1</v>
      </c>
      <c r="G65" s="14">
        <v>32548</v>
      </c>
      <c r="H65" s="18">
        <f t="shared" si="0"/>
        <v>32548</v>
      </c>
      <c r="I65" s="19">
        <v>0.18</v>
      </c>
      <c r="J65" s="18">
        <f t="shared" si="1"/>
        <v>38406.639999999999</v>
      </c>
      <c r="K65" s="18">
        <v>41015</v>
      </c>
      <c r="L65" s="18">
        <f t="shared" si="2"/>
        <v>41015</v>
      </c>
      <c r="M65" s="18">
        <f t="shared" si="3"/>
        <v>48397.7</v>
      </c>
      <c r="N65" s="12">
        <v>3500</v>
      </c>
      <c r="O65" s="19">
        <v>0.18</v>
      </c>
      <c r="P65" s="18">
        <f t="shared" si="4"/>
        <v>4130</v>
      </c>
      <c r="Q65" s="12">
        <v>150</v>
      </c>
      <c r="R65" s="18">
        <f t="shared" si="5"/>
        <v>52527.7</v>
      </c>
      <c r="S65" s="22">
        <f t="shared" si="6"/>
        <v>52549</v>
      </c>
      <c r="T65" s="18">
        <f t="shared" si="7"/>
        <v>21.30000000000291</v>
      </c>
      <c r="U65" s="18">
        <f t="shared" si="8"/>
        <v>13992.36</v>
      </c>
      <c r="V65" s="18">
        <f t="shared" si="9"/>
        <v>11857.932203389832</v>
      </c>
      <c r="W65" s="24">
        <f t="shared" si="10"/>
        <v>0.36432137776176204</v>
      </c>
      <c r="X65" s="22"/>
    </row>
    <row r="66" spans="1:24" x14ac:dyDescent="0.25">
      <c r="A66" s="9" t="s">
        <v>24</v>
      </c>
      <c r="B66" s="9" t="s">
        <v>77</v>
      </c>
      <c r="C66" s="10"/>
      <c r="D66" s="9" t="s">
        <v>184</v>
      </c>
      <c r="E66" s="9" t="s">
        <v>185</v>
      </c>
      <c r="F66" s="12">
        <v>1</v>
      </c>
      <c r="G66" s="14">
        <v>1373</v>
      </c>
      <c r="H66" s="18">
        <f t="shared" si="0"/>
        <v>1373</v>
      </c>
      <c r="I66" s="19">
        <v>0.18</v>
      </c>
      <c r="J66" s="18">
        <f t="shared" si="1"/>
        <v>1620.1399999999999</v>
      </c>
      <c r="K66" s="18">
        <v>1730</v>
      </c>
      <c r="L66" s="18">
        <f t="shared" si="2"/>
        <v>1730</v>
      </c>
      <c r="M66" s="18">
        <f t="shared" si="3"/>
        <v>2041.3999999999999</v>
      </c>
      <c r="N66" s="12">
        <v>300</v>
      </c>
      <c r="O66" s="19">
        <v>0.18</v>
      </c>
      <c r="P66" s="18">
        <f t="shared" si="4"/>
        <v>354</v>
      </c>
      <c r="Q66" s="12">
        <v>20</v>
      </c>
      <c r="R66" s="18">
        <f t="shared" si="5"/>
        <v>2395.3999999999996</v>
      </c>
      <c r="S66" s="22">
        <f t="shared" si="6"/>
        <v>2399</v>
      </c>
      <c r="T66" s="18">
        <f t="shared" si="7"/>
        <v>3.6000000000003638</v>
      </c>
      <c r="U66" s="18">
        <f t="shared" si="8"/>
        <v>758.86000000000013</v>
      </c>
      <c r="V66" s="18">
        <f t="shared" si="9"/>
        <v>643.10169491525437</v>
      </c>
      <c r="W66" s="24">
        <f t="shared" si="10"/>
        <v>0.46839162047724281</v>
      </c>
      <c r="X66" s="22"/>
    </row>
    <row r="67" spans="1:24" x14ac:dyDescent="0.25">
      <c r="A67" s="9" t="s">
        <v>24</v>
      </c>
      <c r="B67" s="9" t="s">
        <v>58</v>
      </c>
      <c r="C67" s="10"/>
      <c r="D67" s="9" t="s">
        <v>186</v>
      </c>
      <c r="E67" s="9" t="s">
        <v>187</v>
      </c>
      <c r="F67" s="12">
        <v>1</v>
      </c>
      <c r="G67" s="14">
        <v>1360</v>
      </c>
      <c r="H67" s="18">
        <f t="shared" si="0"/>
        <v>1360</v>
      </c>
      <c r="I67" s="19">
        <v>0.18</v>
      </c>
      <c r="J67" s="18">
        <f t="shared" si="1"/>
        <v>1604.8</v>
      </c>
      <c r="K67" s="18">
        <v>1801</v>
      </c>
      <c r="L67" s="18">
        <f t="shared" si="2"/>
        <v>1801</v>
      </c>
      <c r="M67" s="18">
        <f t="shared" si="3"/>
        <v>2125.1799999999998</v>
      </c>
      <c r="N67" s="12">
        <v>100</v>
      </c>
      <c r="O67" s="19">
        <v>0.18</v>
      </c>
      <c r="P67" s="18">
        <f t="shared" si="4"/>
        <v>118</v>
      </c>
      <c r="Q67" s="12">
        <v>0</v>
      </c>
      <c r="R67" s="18">
        <f t="shared" si="5"/>
        <v>2243.1799999999998</v>
      </c>
      <c r="S67" s="22">
        <f t="shared" si="6"/>
        <v>2249</v>
      </c>
      <c r="T67" s="18">
        <f t="shared" si="7"/>
        <v>5.8200000000001637</v>
      </c>
      <c r="U67" s="18">
        <f t="shared" si="8"/>
        <v>644.20000000000005</v>
      </c>
      <c r="V67" s="18">
        <f t="shared" si="9"/>
        <v>545.93220338983053</v>
      </c>
      <c r="W67" s="24">
        <f t="shared" si="10"/>
        <v>0.40142073778664011</v>
      </c>
      <c r="X67" s="22"/>
    </row>
    <row r="68" spans="1:24" x14ac:dyDescent="0.25">
      <c r="A68" s="9" t="s">
        <v>24</v>
      </c>
      <c r="B68" s="9" t="s">
        <v>81</v>
      </c>
      <c r="C68" s="10"/>
      <c r="D68" s="9" t="s">
        <v>188</v>
      </c>
      <c r="E68" s="9" t="s">
        <v>189</v>
      </c>
      <c r="F68" s="12">
        <v>1</v>
      </c>
      <c r="G68" s="14">
        <v>557</v>
      </c>
      <c r="H68" s="18">
        <f t="shared" si="0"/>
        <v>557</v>
      </c>
      <c r="I68" s="19">
        <v>0.18</v>
      </c>
      <c r="J68" s="18">
        <f t="shared" si="1"/>
        <v>657.26</v>
      </c>
      <c r="K68" s="18">
        <v>737</v>
      </c>
      <c r="L68" s="18">
        <f t="shared" si="2"/>
        <v>737</v>
      </c>
      <c r="M68" s="18">
        <f t="shared" si="3"/>
        <v>869.66</v>
      </c>
      <c r="N68" s="12">
        <v>100</v>
      </c>
      <c r="O68" s="19">
        <v>0.18</v>
      </c>
      <c r="P68" s="18">
        <f t="shared" si="4"/>
        <v>118</v>
      </c>
      <c r="Q68" s="12">
        <v>10</v>
      </c>
      <c r="R68" s="18">
        <f t="shared" si="5"/>
        <v>987.66</v>
      </c>
      <c r="S68" s="22">
        <f t="shared" si="6"/>
        <v>999</v>
      </c>
      <c r="T68" s="18">
        <f t="shared" si="7"/>
        <v>11.340000000000032</v>
      </c>
      <c r="U68" s="18">
        <f t="shared" si="8"/>
        <v>331.74</v>
      </c>
      <c r="V68" s="18">
        <f t="shared" si="9"/>
        <v>281.13559322033899</v>
      </c>
      <c r="W68" s="24">
        <f t="shared" si="10"/>
        <v>0.50473176520707175</v>
      </c>
      <c r="X68" s="22"/>
    </row>
    <row r="69" spans="1:24" x14ac:dyDescent="0.25">
      <c r="A69" s="9" t="s">
        <v>24</v>
      </c>
      <c r="B69" s="9" t="s">
        <v>58</v>
      </c>
      <c r="C69" s="10"/>
      <c r="D69" s="9" t="s">
        <v>188</v>
      </c>
      <c r="E69" s="9" t="s">
        <v>190</v>
      </c>
      <c r="F69" s="12">
        <v>1</v>
      </c>
      <c r="G69" s="14">
        <v>558</v>
      </c>
      <c r="H69" s="18">
        <f t="shared" si="0"/>
        <v>558</v>
      </c>
      <c r="I69" s="19">
        <v>0.18</v>
      </c>
      <c r="J69" s="18">
        <f t="shared" si="1"/>
        <v>658.43999999999994</v>
      </c>
      <c r="K69" s="18">
        <v>739</v>
      </c>
      <c r="L69" s="18">
        <f t="shared" si="2"/>
        <v>739</v>
      </c>
      <c r="M69" s="18">
        <f t="shared" si="3"/>
        <v>872.02</v>
      </c>
      <c r="N69" s="12">
        <v>100</v>
      </c>
      <c r="O69" s="19">
        <v>0.18</v>
      </c>
      <c r="P69" s="18">
        <f t="shared" si="4"/>
        <v>118</v>
      </c>
      <c r="Q69" s="12">
        <v>0</v>
      </c>
      <c r="R69" s="18">
        <f t="shared" si="5"/>
        <v>990.02</v>
      </c>
      <c r="S69" s="22">
        <f t="shared" si="6"/>
        <v>999</v>
      </c>
      <c r="T69" s="18">
        <f t="shared" si="7"/>
        <v>8.9800000000000182</v>
      </c>
      <c r="U69" s="18">
        <f t="shared" si="8"/>
        <v>340.56000000000006</v>
      </c>
      <c r="V69" s="18">
        <f t="shared" si="9"/>
        <v>288.61016949152548</v>
      </c>
      <c r="W69" s="24">
        <f t="shared" si="10"/>
        <v>0.5172225259704758</v>
      </c>
      <c r="X69" s="22"/>
    </row>
    <row r="70" spans="1:24" x14ac:dyDescent="0.25">
      <c r="A70" s="9" t="s">
        <v>24</v>
      </c>
      <c r="B70" s="9" t="s">
        <v>40</v>
      </c>
      <c r="C70" s="10"/>
      <c r="D70" s="9" t="s">
        <v>191</v>
      </c>
      <c r="E70" s="9" t="s">
        <v>192</v>
      </c>
      <c r="F70" s="12">
        <v>1</v>
      </c>
      <c r="G70" s="14">
        <v>3271</v>
      </c>
      <c r="H70" s="18">
        <f t="shared" si="0"/>
        <v>3271</v>
      </c>
      <c r="I70" s="19">
        <v>0.18</v>
      </c>
      <c r="J70" s="18">
        <f t="shared" si="1"/>
        <v>3859.7799999999997</v>
      </c>
      <c r="K70" s="18">
        <v>4125</v>
      </c>
      <c r="L70" s="18">
        <f t="shared" si="2"/>
        <v>4125</v>
      </c>
      <c r="M70" s="18">
        <f t="shared" si="3"/>
        <v>4867.5</v>
      </c>
      <c r="N70" s="12">
        <v>0</v>
      </c>
      <c r="O70" s="19">
        <v>0.18</v>
      </c>
      <c r="P70" s="18">
        <f t="shared" si="4"/>
        <v>0</v>
      </c>
      <c r="Q70" s="12">
        <v>0</v>
      </c>
      <c r="R70" s="18">
        <f t="shared" si="5"/>
        <v>4867.5</v>
      </c>
      <c r="S70" s="22">
        <f t="shared" si="6"/>
        <v>4849</v>
      </c>
      <c r="T70" s="18">
        <f t="shared" si="7"/>
        <v>-18.5</v>
      </c>
      <c r="U70" s="18">
        <f t="shared" si="8"/>
        <v>989.22000000000025</v>
      </c>
      <c r="V70" s="18">
        <f t="shared" si="9"/>
        <v>838.32203389830534</v>
      </c>
      <c r="W70" s="24">
        <f t="shared" si="10"/>
        <v>0.25628921855649811</v>
      </c>
      <c r="X70" s="22"/>
    </row>
    <row r="71" spans="1:24" x14ac:dyDescent="0.25">
      <c r="A71" s="9" t="s">
        <v>24</v>
      </c>
      <c r="B71" s="9" t="s">
        <v>77</v>
      </c>
      <c r="C71" s="10"/>
      <c r="D71" s="9" t="s">
        <v>193</v>
      </c>
      <c r="E71" s="9" t="s">
        <v>194</v>
      </c>
      <c r="F71" s="12">
        <v>1</v>
      </c>
      <c r="G71" s="14">
        <v>1703</v>
      </c>
      <c r="H71" s="18">
        <f t="shared" si="0"/>
        <v>1703</v>
      </c>
      <c r="I71" s="19">
        <v>0.12</v>
      </c>
      <c r="J71" s="18">
        <f t="shared" si="1"/>
        <v>1907.3600000000001</v>
      </c>
      <c r="K71" s="18">
        <v>1782</v>
      </c>
      <c r="L71" s="18">
        <f t="shared" si="2"/>
        <v>1782</v>
      </c>
      <c r="M71" s="18">
        <f t="shared" si="3"/>
        <v>1995.8400000000001</v>
      </c>
      <c r="N71" s="12">
        <v>0</v>
      </c>
      <c r="O71" s="19">
        <v>0.18</v>
      </c>
      <c r="P71" s="18">
        <f t="shared" si="4"/>
        <v>0</v>
      </c>
      <c r="Q71" s="12">
        <v>0</v>
      </c>
      <c r="R71" s="18">
        <f t="shared" si="5"/>
        <v>1995.8400000000001</v>
      </c>
      <c r="S71" s="22">
        <f t="shared" si="6"/>
        <v>1999</v>
      </c>
      <c r="T71" s="18">
        <f t="shared" si="7"/>
        <v>3.1599999999998545</v>
      </c>
      <c r="U71" s="18">
        <f t="shared" si="8"/>
        <v>91.639999999999873</v>
      </c>
      <c r="V71" s="18">
        <f t="shared" si="9"/>
        <v>81.821428571428456</v>
      </c>
      <c r="W71" s="24">
        <f t="shared" si="10"/>
        <v>4.8045465984397212E-2</v>
      </c>
      <c r="X71" s="22"/>
    </row>
    <row r="72" spans="1:24" x14ac:dyDescent="0.25">
      <c r="A72" s="9" t="s">
        <v>24</v>
      </c>
      <c r="B72" s="9" t="s">
        <v>81</v>
      </c>
      <c r="C72" s="10"/>
      <c r="D72" s="9" t="s">
        <v>195</v>
      </c>
      <c r="E72" s="9" t="s">
        <v>196</v>
      </c>
      <c r="F72" s="12">
        <v>1</v>
      </c>
      <c r="G72" s="14">
        <v>2849.2</v>
      </c>
      <c r="H72" s="18">
        <f t="shared" si="0"/>
        <v>2849.2</v>
      </c>
      <c r="I72" s="19">
        <v>0.18</v>
      </c>
      <c r="J72" s="18">
        <f t="shared" si="1"/>
        <v>3362.0559999999996</v>
      </c>
      <c r="K72" s="18">
        <v>3551</v>
      </c>
      <c r="L72" s="18">
        <f t="shared" si="2"/>
        <v>3551</v>
      </c>
      <c r="M72" s="18">
        <f t="shared" si="3"/>
        <v>4190.1799999999994</v>
      </c>
      <c r="N72" s="12">
        <v>650</v>
      </c>
      <c r="O72" s="19">
        <v>0.18</v>
      </c>
      <c r="P72" s="18">
        <f t="shared" si="4"/>
        <v>767</v>
      </c>
      <c r="Q72" s="12">
        <v>150</v>
      </c>
      <c r="R72" s="18">
        <f t="shared" si="5"/>
        <v>4957.1799999999994</v>
      </c>
      <c r="S72" s="22">
        <f t="shared" si="6"/>
        <v>4949</v>
      </c>
      <c r="T72" s="18">
        <f t="shared" si="7"/>
        <v>-8.1799999999993815</v>
      </c>
      <c r="U72" s="18">
        <f t="shared" si="8"/>
        <v>1436.9440000000004</v>
      </c>
      <c r="V72" s="18">
        <f t="shared" si="9"/>
        <v>1217.7491525423734</v>
      </c>
      <c r="W72" s="24">
        <f t="shared" si="10"/>
        <v>0.42740037643632367</v>
      </c>
      <c r="X72" s="22"/>
    </row>
    <row r="73" spans="1:24" x14ac:dyDescent="0.25">
      <c r="A73" s="9" t="s">
        <v>94</v>
      </c>
      <c r="B73" s="9" t="s">
        <v>94</v>
      </c>
      <c r="C73" s="10"/>
      <c r="D73" s="9" t="s">
        <v>197</v>
      </c>
      <c r="E73" s="9" t="s">
        <v>198</v>
      </c>
      <c r="F73" s="12">
        <v>1</v>
      </c>
      <c r="G73" s="14">
        <v>401</v>
      </c>
      <c r="H73" s="18">
        <f t="shared" si="0"/>
        <v>401</v>
      </c>
      <c r="I73" s="19">
        <v>0.18</v>
      </c>
      <c r="J73" s="18">
        <f t="shared" si="1"/>
        <v>473.17999999999995</v>
      </c>
      <c r="K73" s="18">
        <v>548</v>
      </c>
      <c r="L73" s="18">
        <f t="shared" si="2"/>
        <v>548</v>
      </c>
      <c r="M73" s="18">
        <f t="shared" si="3"/>
        <v>646.64</v>
      </c>
      <c r="N73" s="12">
        <v>0</v>
      </c>
      <c r="O73" s="19">
        <v>0.18</v>
      </c>
      <c r="P73" s="18">
        <f t="shared" si="4"/>
        <v>0</v>
      </c>
      <c r="Q73" s="12">
        <v>0</v>
      </c>
      <c r="R73" s="18">
        <f t="shared" si="5"/>
        <v>646.64</v>
      </c>
      <c r="S73" s="22">
        <f t="shared" si="6"/>
        <v>649</v>
      </c>
      <c r="T73" s="18">
        <f t="shared" si="7"/>
        <v>2.3600000000000136</v>
      </c>
      <c r="U73" s="18">
        <f t="shared" si="8"/>
        <v>175.82000000000005</v>
      </c>
      <c r="V73" s="18">
        <f t="shared" si="9"/>
        <v>149.00000000000006</v>
      </c>
      <c r="W73" s="24">
        <f t="shared" si="10"/>
        <v>0.37157107231920211</v>
      </c>
      <c r="X73" s="22"/>
    </row>
    <row r="74" spans="1:24" x14ac:dyDescent="0.25">
      <c r="A74" s="9" t="s">
        <v>94</v>
      </c>
      <c r="B74" s="9" t="s">
        <v>94</v>
      </c>
      <c r="C74" s="10"/>
      <c r="D74" s="9" t="s">
        <v>199</v>
      </c>
      <c r="E74" s="9" t="s">
        <v>200</v>
      </c>
      <c r="F74" s="12">
        <v>1</v>
      </c>
      <c r="G74" s="14">
        <v>1491</v>
      </c>
      <c r="H74" s="18">
        <f t="shared" si="0"/>
        <v>1491</v>
      </c>
      <c r="I74" s="19">
        <v>0.18</v>
      </c>
      <c r="J74" s="18">
        <f t="shared" si="1"/>
        <v>1759.3799999999999</v>
      </c>
      <c r="K74" s="18">
        <v>1858</v>
      </c>
      <c r="L74" s="18">
        <f t="shared" si="2"/>
        <v>1858</v>
      </c>
      <c r="M74" s="18">
        <f t="shared" si="3"/>
        <v>2192.44</v>
      </c>
      <c r="N74" s="12">
        <v>0</v>
      </c>
      <c r="O74" s="19">
        <v>0.18</v>
      </c>
      <c r="P74" s="18">
        <f t="shared" si="4"/>
        <v>0</v>
      </c>
      <c r="Q74" s="12">
        <v>0</v>
      </c>
      <c r="R74" s="18">
        <f t="shared" si="5"/>
        <v>2192.44</v>
      </c>
      <c r="S74" s="22">
        <f t="shared" si="6"/>
        <v>2199</v>
      </c>
      <c r="T74" s="18">
        <f t="shared" si="7"/>
        <v>6.5599999999999454</v>
      </c>
      <c r="U74" s="18">
        <f t="shared" si="8"/>
        <v>439.62000000000012</v>
      </c>
      <c r="V74" s="18">
        <f t="shared" si="9"/>
        <v>372.55932203389841</v>
      </c>
      <c r="W74" s="24">
        <f t="shared" si="10"/>
        <v>0.24987211404017332</v>
      </c>
      <c r="X74" s="22"/>
    </row>
    <row r="75" spans="1:24" x14ac:dyDescent="0.25">
      <c r="A75" s="9" t="s">
        <v>99</v>
      </c>
      <c r="B75" s="9" t="s">
        <v>94</v>
      </c>
      <c r="C75" s="10"/>
      <c r="D75" s="9" t="s">
        <v>201</v>
      </c>
      <c r="E75" s="9" t="s">
        <v>202</v>
      </c>
      <c r="F75" s="12">
        <v>1</v>
      </c>
      <c r="G75" s="14">
        <v>0</v>
      </c>
      <c r="H75" s="18">
        <f t="shared" si="0"/>
        <v>0</v>
      </c>
      <c r="I75" s="19">
        <v>0.18</v>
      </c>
      <c r="J75" s="18">
        <f t="shared" si="1"/>
        <v>0</v>
      </c>
      <c r="K75" s="18" t="e">
        <v>#N/A</v>
      </c>
      <c r="L75" s="18" t="e">
        <f t="shared" si="2"/>
        <v>#N/A</v>
      </c>
      <c r="M75" s="18" t="e">
        <f t="shared" si="3"/>
        <v>#N/A</v>
      </c>
      <c r="N75" s="12">
        <v>0</v>
      </c>
      <c r="O75" s="19">
        <v>0.18</v>
      </c>
      <c r="P75" s="18">
        <f t="shared" si="4"/>
        <v>0</v>
      </c>
      <c r="Q75" s="12">
        <v>0</v>
      </c>
      <c r="R75" s="18" t="e">
        <f t="shared" si="5"/>
        <v>#N/A</v>
      </c>
      <c r="S75" s="22" t="e">
        <f t="shared" si="6"/>
        <v>#N/A</v>
      </c>
      <c r="T75" s="18" t="e">
        <f t="shared" si="7"/>
        <v>#N/A</v>
      </c>
      <c r="U75" s="18" t="e">
        <f t="shared" si="8"/>
        <v>#N/A</v>
      </c>
      <c r="V75" s="18" t="e">
        <f t="shared" si="9"/>
        <v>#N/A</v>
      </c>
      <c r="W75" s="24" t="e">
        <f t="shared" si="10"/>
        <v>#N/A</v>
      </c>
      <c r="X75" s="22"/>
    </row>
    <row r="76" spans="1:24" x14ac:dyDescent="0.25">
      <c r="A76" s="9" t="s">
        <v>24</v>
      </c>
      <c r="B76" s="9" t="s">
        <v>94</v>
      </c>
      <c r="C76" s="10"/>
      <c r="D76" s="9" t="s">
        <v>201</v>
      </c>
      <c r="E76" s="9" t="s">
        <v>203</v>
      </c>
      <c r="F76" s="12">
        <v>1</v>
      </c>
      <c r="G76" s="14">
        <v>0</v>
      </c>
      <c r="H76" s="18">
        <f t="shared" si="0"/>
        <v>0</v>
      </c>
      <c r="I76" s="19">
        <v>0.18</v>
      </c>
      <c r="J76" s="18">
        <f t="shared" si="1"/>
        <v>0</v>
      </c>
      <c r="K76" s="18" t="e">
        <v>#N/A</v>
      </c>
      <c r="L76" s="18" t="e">
        <f t="shared" si="2"/>
        <v>#N/A</v>
      </c>
      <c r="M76" s="18" t="e">
        <f t="shared" si="3"/>
        <v>#N/A</v>
      </c>
      <c r="N76" s="12">
        <v>0</v>
      </c>
      <c r="O76" s="19">
        <v>0.18</v>
      </c>
      <c r="P76" s="18">
        <f t="shared" si="4"/>
        <v>0</v>
      </c>
      <c r="Q76" s="12">
        <v>0</v>
      </c>
      <c r="R76" s="18" t="e">
        <f t="shared" si="5"/>
        <v>#N/A</v>
      </c>
      <c r="S76" s="22" t="e">
        <f t="shared" si="6"/>
        <v>#N/A</v>
      </c>
      <c r="T76" s="18" t="e">
        <f t="shared" si="7"/>
        <v>#N/A</v>
      </c>
      <c r="U76" s="18" t="e">
        <f t="shared" si="8"/>
        <v>#N/A</v>
      </c>
      <c r="V76" s="18" t="e">
        <f t="shared" si="9"/>
        <v>#N/A</v>
      </c>
      <c r="W76" s="24" t="e">
        <f t="shared" si="10"/>
        <v>#N/A</v>
      </c>
      <c r="X76" s="22"/>
    </row>
    <row r="77" spans="1:24" x14ac:dyDescent="0.25">
      <c r="A77" s="9" t="s">
        <v>24</v>
      </c>
      <c r="B77" s="9" t="s">
        <v>150</v>
      </c>
      <c r="C77" s="10"/>
      <c r="D77" s="9" t="s">
        <v>204</v>
      </c>
      <c r="E77" s="9" t="s">
        <v>205</v>
      </c>
      <c r="F77" s="12">
        <v>1</v>
      </c>
      <c r="G77" s="14">
        <v>3559</v>
      </c>
      <c r="H77" s="18">
        <f t="shared" si="0"/>
        <v>3559</v>
      </c>
      <c r="I77" s="19">
        <v>0.18</v>
      </c>
      <c r="J77" s="18">
        <f t="shared" si="1"/>
        <v>4199.62</v>
      </c>
      <c r="K77" s="18">
        <v>4277</v>
      </c>
      <c r="L77" s="18">
        <f t="shared" si="2"/>
        <v>4277</v>
      </c>
      <c r="M77" s="18">
        <f t="shared" si="3"/>
        <v>5046.8599999999997</v>
      </c>
      <c r="N77" s="12">
        <v>525</v>
      </c>
      <c r="O77" s="19">
        <v>0.18</v>
      </c>
      <c r="P77" s="18">
        <f t="shared" si="4"/>
        <v>619.5</v>
      </c>
      <c r="Q77" s="12">
        <v>100</v>
      </c>
      <c r="R77" s="18">
        <f t="shared" si="5"/>
        <v>5666.36</v>
      </c>
      <c r="S77" s="22">
        <f t="shared" si="6"/>
        <v>5649</v>
      </c>
      <c r="T77" s="18">
        <f t="shared" si="7"/>
        <v>-17.359999999999673</v>
      </c>
      <c r="U77" s="18">
        <f t="shared" si="8"/>
        <v>1349.38</v>
      </c>
      <c r="V77" s="18">
        <f t="shared" si="9"/>
        <v>1143.5423728813562</v>
      </c>
      <c r="W77" s="24">
        <f t="shared" si="10"/>
        <v>0.32131002328782138</v>
      </c>
      <c r="X77" s="22"/>
    </row>
    <row r="78" spans="1:24" x14ac:dyDescent="0.25">
      <c r="A78" s="9" t="s">
        <v>24</v>
      </c>
      <c r="B78" s="9" t="s">
        <v>134</v>
      </c>
      <c r="C78" s="10"/>
      <c r="D78" s="9" t="s">
        <v>204</v>
      </c>
      <c r="E78" s="9" t="s">
        <v>206</v>
      </c>
      <c r="F78" s="12">
        <v>1</v>
      </c>
      <c r="G78" s="14">
        <v>7268</v>
      </c>
      <c r="H78" s="18">
        <f t="shared" si="0"/>
        <v>7268</v>
      </c>
      <c r="I78" s="19">
        <v>0.18</v>
      </c>
      <c r="J78" s="18">
        <f t="shared" si="1"/>
        <v>8576.24</v>
      </c>
      <c r="K78" s="18">
        <v>9159</v>
      </c>
      <c r="L78" s="18">
        <f t="shared" si="2"/>
        <v>9159</v>
      </c>
      <c r="M78" s="18">
        <f t="shared" si="3"/>
        <v>10807.619999999999</v>
      </c>
      <c r="N78" s="12">
        <v>525</v>
      </c>
      <c r="O78" s="19">
        <v>0.18</v>
      </c>
      <c r="P78" s="18">
        <f t="shared" si="4"/>
        <v>619.5</v>
      </c>
      <c r="Q78" s="12">
        <v>100</v>
      </c>
      <c r="R78" s="18">
        <f t="shared" si="5"/>
        <v>11427.119999999999</v>
      </c>
      <c r="S78" s="22">
        <f t="shared" si="6"/>
        <v>11449</v>
      </c>
      <c r="T78" s="18">
        <f t="shared" si="7"/>
        <v>21.880000000001019</v>
      </c>
      <c r="U78" s="18">
        <f t="shared" si="8"/>
        <v>2772.76</v>
      </c>
      <c r="V78" s="18">
        <f t="shared" si="9"/>
        <v>2349.7966101694919</v>
      </c>
      <c r="W78" s="24">
        <f t="shared" si="10"/>
        <v>0.32330718356762411</v>
      </c>
      <c r="X78" s="22"/>
    </row>
    <row r="79" spans="1:24" x14ac:dyDescent="0.25">
      <c r="A79" s="9" t="s">
        <v>24</v>
      </c>
      <c r="B79" s="9" t="s">
        <v>44</v>
      </c>
      <c r="C79" s="10"/>
      <c r="D79" s="9" t="s">
        <v>204</v>
      </c>
      <c r="E79" s="9" t="s">
        <v>207</v>
      </c>
      <c r="F79" s="12">
        <v>1</v>
      </c>
      <c r="G79" s="14">
        <v>5000</v>
      </c>
      <c r="H79" s="18">
        <f t="shared" si="0"/>
        <v>5000</v>
      </c>
      <c r="I79" s="19">
        <v>0.18</v>
      </c>
      <c r="J79" s="18">
        <f t="shared" si="1"/>
        <v>5900</v>
      </c>
      <c r="K79" s="18">
        <v>6621</v>
      </c>
      <c r="L79" s="18">
        <f t="shared" si="2"/>
        <v>6621</v>
      </c>
      <c r="M79" s="18">
        <f t="shared" si="3"/>
        <v>7812.78</v>
      </c>
      <c r="N79" s="12">
        <v>700</v>
      </c>
      <c r="O79" s="19">
        <v>0.18</v>
      </c>
      <c r="P79" s="18">
        <f t="shared" si="4"/>
        <v>826</v>
      </c>
      <c r="Q79" s="12">
        <v>100</v>
      </c>
      <c r="R79" s="18">
        <f t="shared" si="5"/>
        <v>8638.7799999999988</v>
      </c>
      <c r="S79" s="22">
        <f t="shared" si="6"/>
        <v>8649</v>
      </c>
      <c r="T79" s="18">
        <f t="shared" si="7"/>
        <v>10.220000000001164</v>
      </c>
      <c r="U79" s="18">
        <f t="shared" si="8"/>
        <v>2649</v>
      </c>
      <c r="V79" s="18">
        <f t="shared" si="9"/>
        <v>2244.9152542372881</v>
      </c>
      <c r="W79" s="24">
        <f t="shared" si="10"/>
        <v>0.4489830508474576</v>
      </c>
      <c r="X79" s="22"/>
    </row>
    <row r="80" spans="1:24" x14ac:dyDescent="0.25">
      <c r="A80" s="9" t="s">
        <v>24</v>
      </c>
      <c r="B80" s="9" t="s">
        <v>52</v>
      </c>
      <c r="C80" s="10"/>
      <c r="D80" s="9" t="s">
        <v>204</v>
      </c>
      <c r="E80" s="9" t="s">
        <v>208</v>
      </c>
      <c r="F80" s="12">
        <v>1</v>
      </c>
      <c r="G80" s="14">
        <v>6831</v>
      </c>
      <c r="H80" s="18">
        <f t="shared" si="0"/>
        <v>6831</v>
      </c>
      <c r="I80" s="19">
        <v>0.18</v>
      </c>
      <c r="J80" s="18">
        <f t="shared" si="1"/>
        <v>8060.58</v>
      </c>
      <c r="K80" s="18">
        <v>8608</v>
      </c>
      <c r="L80" s="18">
        <f t="shared" si="2"/>
        <v>8608</v>
      </c>
      <c r="M80" s="18">
        <f t="shared" si="3"/>
        <v>10157.439999999999</v>
      </c>
      <c r="N80" s="12">
        <v>1000</v>
      </c>
      <c r="O80" s="19">
        <v>0.18</v>
      </c>
      <c r="P80" s="18">
        <f t="shared" si="4"/>
        <v>1180</v>
      </c>
      <c r="Q80" s="12">
        <v>100</v>
      </c>
      <c r="R80" s="18">
        <f t="shared" si="5"/>
        <v>11337.439999999999</v>
      </c>
      <c r="S80" s="22">
        <f t="shared" si="6"/>
        <v>11349</v>
      </c>
      <c r="T80" s="18">
        <f t="shared" si="7"/>
        <v>11.56000000000131</v>
      </c>
      <c r="U80" s="18">
        <f t="shared" si="8"/>
        <v>3188.42</v>
      </c>
      <c r="V80" s="18">
        <f t="shared" si="9"/>
        <v>2702.0508474576272</v>
      </c>
      <c r="W80" s="24">
        <f t="shared" si="10"/>
        <v>0.39555714353061444</v>
      </c>
      <c r="X80" s="22"/>
    </row>
    <row r="81" spans="1:24" x14ac:dyDescent="0.25">
      <c r="A81" s="9" t="s">
        <v>24</v>
      </c>
      <c r="B81" s="9" t="s">
        <v>58</v>
      </c>
      <c r="C81" s="10"/>
      <c r="D81" s="9" t="s">
        <v>204</v>
      </c>
      <c r="E81" s="9" t="s">
        <v>209</v>
      </c>
      <c r="F81" s="12">
        <v>1</v>
      </c>
      <c r="G81" s="14">
        <v>10841</v>
      </c>
      <c r="H81" s="18">
        <f t="shared" si="0"/>
        <v>10841</v>
      </c>
      <c r="I81" s="19">
        <v>0.18</v>
      </c>
      <c r="J81" s="18">
        <f t="shared" si="1"/>
        <v>12792.38</v>
      </c>
      <c r="K81" s="18">
        <v>14355</v>
      </c>
      <c r="L81" s="18">
        <f t="shared" si="2"/>
        <v>14355</v>
      </c>
      <c r="M81" s="18">
        <f t="shared" si="3"/>
        <v>16938.899999999998</v>
      </c>
      <c r="N81" s="12">
        <v>900</v>
      </c>
      <c r="O81" s="19">
        <v>0.18</v>
      </c>
      <c r="P81" s="18">
        <f t="shared" si="4"/>
        <v>1062</v>
      </c>
      <c r="Q81" s="12">
        <v>100</v>
      </c>
      <c r="R81" s="18">
        <f t="shared" si="5"/>
        <v>18000.899999999998</v>
      </c>
      <c r="S81" s="22">
        <f t="shared" si="6"/>
        <v>17999</v>
      </c>
      <c r="T81" s="18">
        <f t="shared" si="7"/>
        <v>-1.8999999999978172</v>
      </c>
      <c r="U81" s="18">
        <f t="shared" si="8"/>
        <v>5106.6200000000008</v>
      </c>
      <c r="V81" s="18">
        <f t="shared" si="9"/>
        <v>4327.6440677966111</v>
      </c>
      <c r="W81" s="24">
        <f t="shared" si="10"/>
        <v>0.39919233168495627</v>
      </c>
      <c r="X81" s="22"/>
    </row>
    <row r="82" spans="1:24" x14ac:dyDescent="0.25">
      <c r="A82" s="9" t="s">
        <v>24</v>
      </c>
      <c r="B82" s="9" t="s">
        <v>63</v>
      </c>
      <c r="C82" s="10"/>
      <c r="D82" s="9" t="s">
        <v>204</v>
      </c>
      <c r="E82" s="9" t="s">
        <v>210</v>
      </c>
      <c r="F82" s="12">
        <v>1</v>
      </c>
      <c r="G82" s="14">
        <v>11046</v>
      </c>
      <c r="H82" s="18">
        <f t="shared" si="0"/>
        <v>11046</v>
      </c>
      <c r="I82" s="19">
        <v>0.18</v>
      </c>
      <c r="J82" s="18">
        <f t="shared" si="1"/>
        <v>13034.279999999999</v>
      </c>
      <c r="K82" s="18">
        <v>13920</v>
      </c>
      <c r="L82" s="18">
        <f t="shared" si="2"/>
        <v>13920</v>
      </c>
      <c r="M82" s="18">
        <f t="shared" si="3"/>
        <v>16425.599999999999</v>
      </c>
      <c r="N82" s="12">
        <v>1000</v>
      </c>
      <c r="O82" s="19">
        <v>0.18</v>
      </c>
      <c r="P82" s="18">
        <f t="shared" si="4"/>
        <v>1180</v>
      </c>
      <c r="Q82" s="12">
        <v>100</v>
      </c>
      <c r="R82" s="18">
        <f t="shared" si="5"/>
        <v>17605.599999999999</v>
      </c>
      <c r="S82" s="22">
        <f t="shared" si="6"/>
        <v>17599</v>
      </c>
      <c r="T82" s="18">
        <f t="shared" si="7"/>
        <v>-6.5999999999985448</v>
      </c>
      <c r="U82" s="18">
        <f t="shared" si="8"/>
        <v>4464.7200000000012</v>
      </c>
      <c r="V82" s="18">
        <f t="shared" si="9"/>
        <v>3783.6610169491537</v>
      </c>
      <c r="W82" s="24">
        <f t="shared" si="10"/>
        <v>0.34253675692098079</v>
      </c>
      <c r="X82" s="22"/>
    </row>
    <row r="83" spans="1:24" x14ac:dyDescent="0.25">
      <c r="A83" s="9" t="s">
        <v>24</v>
      </c>
      <c r="B83" s="9" t="s">
        <v>58</v>
      </c>
      <c r="C83" s="10"/>
      <c r="D83" s="9" t="s">
        <v>211</v>
      </c>
      <c r="E83" s="9" t="s">
        <v>212</v>
      </c>
      <c r="F83" s="12">
        <v>1</v>
      </c>
      <c r="G83" s="14">
        <v>1003</v>
      </c>
      <c r="H83" s="18">
        <f t="shared" si="0"/>
        <v>1003</v>
      </c>
      <c r="I83" s="19">
        <v>0.18</v>
      </c>
      <c r="J83" s="18">
        <f t="shared" si="1"/>
        <v>1183.54</v>
      </c>
      <c r="K83" s="18">
        <v>1328</v>
      </c>
      <c r="L83" s="18">
        <f t="shared" si="2"/>
        <v>1328</v>
      </c>
      <c r="M83" s="18">
        <f t="shared" si="3"/>
        <v>1567.04</v>
      </c>
      <c r="N83" s="12">
        <v>300</v>
      </c>
      <c r="O83" s="19">
        <v>0.18</v>
      </c>
      <c r="P83" s="18">
        <f t="shared" si="4"/>
        <v>354</v>
      </c>
      <c r="Q83" s="12">
        <v>50</v>
      </c>
      <c r="R83" s="18">
        <f t="shared" si="5"/>
        <v>1921.04</v>
      </c>
      <c r="S83" s="22">
        <f t="shared" si="6"/>
        <v>1899</v>
      </c>
      <c r="T83" s="18">
        <f t="shared" si="7"/>
        <v>-22.039999999999964</v>
      </c>
      <c r="U83" s="18">
        <f t="shared" si="8"/>
        <v>665.46</v>
      </c>
      <c r="V83" s="18">
        <f t="shared" si="9"/>
        <v>563.94915254237299</v>
      </c>
      <c r="W83" s="24">
        <f t="shared" si="10"/>
        <v>0.56226236544603492</v>
      </c>
      <c r="X83" s="22"/>
    </row>
    <row r="84" spans="1:24" x14ac:dyDescent="0.25">
      <c r="A84" s="9" t="s">
        <v>24</v>
      </c>
      <c r="B84" s="9" t="s">
        <v>58</v>
      </c>
      <c r="C84" s="10"/>
      <c r="D84" s="9" t="s">
        <v>211</v>
      </c>
      <c r="E84" s="9" t="s">
        <v>213</v>
      </c>
      <c r="F84" s="12">
        <v>1</v>
      </c>
      <c r="G84" s="14">
        <v>1108</v>
      </c>
      <c r="H84" s="18">
        <f t="shared" si="0"/>
        <v>1108</v>
      </c>
      <c r="I84" s="19">
        <v>0.18</v>
      </c>
      <c r="J84" s="18">
        <f t="shared" si="1"/>
        <v>1307.4399999999998</v>
      </c>
      <c r="K84" s="18">
        <v>1396</v>
      </c>
      <c r="L84" s="18">
        <f t="shared" si="2"/>
        <v>1396</v>
      </c>
      <c r="M84" s="18">
        <f t="shared" si="3"/>
        <v>1647.28</v>
      </c>
      <c r="N84" s="12">
        <v>300</v>
      </c>
      <c r="O84" s="19">
        <v>0.18</v>
      </c>
      <c r="P84" s="18">
        <f t="shared" si="4"/>
        <v>354</v>
      </c>
      <c r="Q84" s="12">
        <v>0</v>
      </c>
      <c r="R84" s="18">
        <f t="shared" si="5"/>
        <v>2001.28</v>
      </c>
      <c r="S84" s="22">
        <f t="shared" si="6"/>
        <v>1999</v>
      </c>
      <c r="T84" s="18">
        <f t="shared" si="7"/>
        <v>-2.2799999999999727</v>
      </c>
      <c r="U84" s="18">
        <f t="shared" si="8"/>
        <v>691.56000000000017</v>
      </c>
      <c r="V84" s="18">
        <f t="shared" si="9"/>
        <v>586.06779661016969</v>
      </c>
      <c r="W84" s="24">
        <f t="shared" si="10"/>
        <v>0.52894205470231925</v>
      </c>
      <c r="X84" s="22"/>
    </row>
    <row r="85" spans="1:24" x14ac:dyDescent="0.25">
      <c r="A85" s="9" t="s">
        <v>24</v>
      </c>
      <c r="B85" s="9" t="s">
        <v>58</v>
      </c>
      <c r="C85" s="10"/>
      <c r="D85" s="9" t="s">
        <v>211</v>
      </c>
      <c r="E85" s="9" t="s">
        <v>214</v>
      </c>
      <c r="F85" s="12">
        <v>1</v>
      </c>
      <c r="G85" s="14">
        <v>2744</v>
      </c>
      <c r="H85" s="18">
        <f t="shared" si="0"/>
        <v>2744</v>
      </c>
      <c r="I85" s="19">
        <v>0.18</v>
      </c>
      <c r="J85" s="18">
        <f t="shared" si="1"/>
        <v>3237.9199999999996</v>
      </c>
      <c r="K85" s="18">
        <v>3633</v>
      </c>
      <c r="L85" s="18">
        <f t="shared" si="2"/>
        <v>3633</v>
      </c>
      <c r="M85" s="18">
        <f t="shared" si="3"/>
        <v>4286.9399999999996</v>
      </c>
      <c r="N85" s="12">
        <v>300</v>
      </c>
      <c r="O85" s="19">
        <v>0.18</v>
      </c>
      <c r="P85" s="18">
        <f t="shared" si="4"/>
        <v>354</v>
      </c>
      <c r="Q85" s="12">
        <v>50</v>
      </c>
      <c r="R85" s="18">
        <f t="shared" si="5"/>
        <v>4640.9399999999996</v>
      </c>
      <c r="S85" s="22">
        <f t="shared" si="6"/>
        <v>4649</v>
      </c>
      <c r="T85" s="18">
        <f t="shared" si="7"/>
        <v>8.0600000000004002</v>
      </c>
      <c r="U85" s="18">
        <f t="shared" si="8"/>
        <v>1361.0800000000004</v>
      </c>
      <c r="V85" s="18">
        <f t="shared" si="9"/>
        <v>1153.4576271186445</v>
      </c>
      <c r="W85" s="24">
        <f t="shared" si="10"/>
        <v>0.4203562781044623</v>
      </c>
      <c r="X85" s="22"/>
    </row>
    <row r="86" spans="1:24" x14ac:dyDescent="0.25">
      <c r="A86" s="9" t="s">
        <v>24</v>
      </c>
      <c r="B86" s="9" t="s">
        <v>58</v>
      </c>
      <c r="C86" s="10"/>
      <c r="D86" s="9" t="s">
        <v>211</v>
      </c>
      <c r="E86" s="9" t="s">
        <v>215</v>
      </c>
      <c r="F86" s="12">
        <v>1</v>
      </c>
      <c r="G86" s="14">
        <v>1505</v>
      </c>
      <c r="H86" s="18">
        <f t="shared" si="0"/>
        <v>1505</v>
      </c>
      <c r="I86" s="19">
        <v>0.18</v>
      </c>
      <c r="J86" s="18">
        <f t="shared" si="1"/>
        <v>1775.8999999999999</v>
      </c>
      <c r="K86" s="18">
        <v>1992</v>
      </c>
      <c r="L86" s="18">
        <f t="shared" si="2"/>
        <v>1992</v>
      </c>
      <c r="M86" s="18">
        <f t="shared" si="3"/>
        <v>2350.56</v>
      </c>
      <c r="N86" s="12">
        <v>300</v>
      </c>
      <c r="O86" s="19">
        <v>0.18</v>
      </c>
      <c r="P86" s="18">
        <f t="shared" si="4"/>
        <v>354</v>
      </c>
      <c r="Q86" s="12">
        <v>0</v>
      </c>
      <c r="R86" s="18">
        <f t="shared" si="5"/>
        <v>2704.56</v>
      </c>
      <c r="S86" s="22">
        <f t="shared" si="6"/>
        <v>2699</v>
      </c>
      <c r="T86" s="18">
        <f t="shared" si="7"/>
        <v>-5.5599999999999454</v>
      </c>
      <c r="U86" s="18">
        <f t="shared" si="8"/>
        <v>923.10000000000014</v>
      </c>
      <c r="V86" s="18">
        <f t="shared" si="9"/>
        <v>782.28813559322055</v>
      </c>
      <c r="W86" s="24">
        <f t="shared" si="10"/>
        <v>0.51979278112506344</v>
      </c>
      <c r="X86" s="22"/>
    </row>
    <row r="87" spans="1:24" x14ac:dyDescent="0.25">
      <c r="A87" s="9" t="s">
        <v>24</v>
      </c>
      <c r="B87" s="9" t="s">
        <v>44</v>
      </c>
      <c r="C87" s="10"/>
      <c r="D87" s="9" t="s">
        <v>216</v>
      </c>
      <c r="E87" s="9" t="s">
        <v>217</v>
      </c>
      <c r="F87" s="12">
        <v>1</v>
      </c>
      <c r="G87" s="14">
        <v>1135</v>
      </c>
      <c r="H87" s="18">
        <f t="shared" si="0"/>
        <v>1135</v>
      </c>
      <c r="I87" s="19">
        <v>0.18</v>
      </c>
      <c r="J87" s="18">
        <f t="shared" si="1"/>
        <v>1339.3</v>
      </c>
      <c r="K87" s="18">
        <v>1503</v>
      </c>
      <c r="L87" s="18">
        <f t="shared" si="2"/>
        <v>1503</v>
      </c>
      <c r="M87" s="18">
        <f t="shared" si="3"/>
        <v>1773.54</v>
      </c>
      <c r="N87" s="12">
        <v>100</v>
      </c>
      <c r="O87" s="19">
        <v>0.18</v>
      </c>
      <c r="P87" s="18">
        <f t="shared" si="4"/>
        <v>118</v>
      </c>
      <c r="Q87" s="12">
        <v>0</v>
      </c>
      <c r="R87" s="18">
        <f t="shared" si="5"/>
        <v>1891.54</v>
      </c>
      <c r="S87" s="22">
        <f t="shared" si="6"/>
        <v>1899</v>
      </c>
      <c r="T87" s="18">
        <f t="shared" si="7"/>
        <v>7.4600000000000364</v>
      </c>
      <c r="U87" s="18">
        <f t="shared" si="8"/>
        <v>559.70000000000005</v>
      </c>
      <c r="V87" s="18">
        <f t="shared" si="9"/>
        <v>474.32203389830516</v>
      </c>
      <c r="W87" s="24">
        <f t="shared" si="10"/>
        <v>0.41790487568132612</v>
      </c>
      <c r="X87" s="22"/>
    </row>
    <row r="88" spans="1:24" x14ac:dyDescent="0.25">
      <c r="A88" s="9" t="s">
        <v>24</v>
      </c>
      <c r="B88" s="9" t="s">
        <v>44</v>
      </c>
      <c r="C88" s="10"/>
      <c r="D88" s="9" t="s">
        <v>216</v>
      </c>
      <c r="E88" s="9" t="s">
        <v>218</v>
      </c>
      <c r="F88" s="12">
        <v>1</v>
      </c>
      <c r="G88" s="14">
        <v>1364</v>
      </c>
      <c r="H88" s="18">
        <f t="shared" si="0"/>
        <v>1364</v>
      </c>
      <c r="I88" s="19">
        <v>0.18</v>
      </c>
      <c r="J88" s="18">
        <f t="shared" si="1"/>
        <v>1609.52</v>
      </c>
      <c r="K88" s="18">
        <v>1806</v>
      </c>
      <c r="L88" s="18">
        <f t="shared" si="2"/>
        <v>1806</v>
      </c>
      <c r="M88" s="18">
        <f t="shared" si="3"/>
        <v>2131.08</v>
      </c>
      <c r="N88" s="12">
        <v>100</v>
      </c>
      <c r="O88" s="19">
        <v>0.18</v>
      </c>
      <c r="P88" s="18">
        <f t="shared" si="4"/>
        <v>118</v>
      </c>
      <c r="Q88" s="12">
        <v>0</v>
      </c>
      <c r="R88" s="18">
        <f t="shared" si="5"/>
        <v>2249.08</v>
      </c>
      <c r="S88" s="22">
        <f t="shared" si="6"/>
        <v>2249</v>
      </c>
      <c r="T88" s="18">
        <f t="shared" si="7"/>
        <v>-7.999999999992724E-2</v>
      </c>
      <c r="U88" s="18">
        <f t="shared" si="8"/>
        <v>639.48</v>
      </c>
      <c r="V88" s="18">
        <f t="shared" si="9"/>
        <v>541.93220338983053</v>
      </c>
      <c r="W88" s="24">
        <f t="shared" si="10"/>
        <v>0.39731099955266169</v>
      </c>
      <c r="X88" s="22"/>
    </row>
    <row r="89" spans="1:24" x14ac:dyDescent="0.25">
      <c r="A89" s="9" t="s">
        <v>24</v>
      </c>
      <c r="B89" s="9" t="s">
        <v>44</v>
      </c>
      <c r="C89" s="10"/>
      <c r="D89" s="9" t="s">
        <v>216</v>
      </c>
      <c r="E89" s="9" t="s">
        <v>219</v>
      </c>
      <c r="F89" s="12">
        <v>1</v>
      </c>
      <c r="G89" s="14">
        <v>730</v>
      </c>
      <c r="H89" s="18">
        <f t="shared" si="0"/>
        <v>730</v>
      </c>
      <c r="I89" s="19">
        <v>0.18</v>
      </c>
      <c r="J89" s="18">
        <f t="shared" si="1"/>
        <v>861.4</v>
      </c>
      <c r="K89" s="18">
        <v>966</v>
      </c>
      <c r="L89" s="18">
        <f t="shared" si="2"/>
        <v>966</v>
      </c>
      <c r="M89" s="18">
        <f t="shared" si="3"/>
        <v>1139.8799999999999</v>
      </c>
      <c r="N89" s="12">
        <v>100</v>
      </c>
      <c r="O89" s="19">
        <v>0.18</v>
      </c>
      <c r="P89" s="18">
        <f t="shared" si="4"/>
        <v>118</v>
      </c>
      <c r="Q89" s="12">
        <v>0</v>
      </c>
      <c r="R89" s="18">
        <f t="shared" si="5"/>
        <v>1257.8799999999999</v>
      </c>
      <c r="S89" s="22">
        <f t="shared" si="6"/>
        <v>1249</v>
      </c>
      <c r="T89" s="18">
        <f t="shared" si="7"/>
        <v>-8.8799999999998818</v>
      </c>
      <c r="U89" s="18">
        <f t="shared" si="8"/>
        <v>387.6</v>
      </c>
      <c r="V89" s="18">
        <f t="shared" si="9"/>
        <v>328.47457627118649</v>
      </c>
      <c r="W89" s="24">
        <f t="shared" si="10"/>
        <v>0.44996517297422806</v>
      </c>
      <c r="X89" s="22"/>
    </row>
    <row r="90" spans="1:24" x14ac:dyDescent="0.25">
      <c r="A90" s="9" t="s">
        <v>24</v>
      </c>
      <c r="B90" s="9" t="s">
        <v>81</v>
      </c>
      <c r="C90" s="10"/>
      <c r="D90" s="9" t="s">
        <v>220</v>
      </c>
      <c r="E90" s="9" t="s">
        <v>221</v>
      </c>
      <c r="F90" s="12">
        <v>1</v>
      </c>
      <c r="G90" s="14">
        <v>1900</v>
      </c>
      <c r="H90" s="18">
        <f t="shared" si="0"/>
        <v>1900</v>
      </c>
      <c r="I90" s="19">
        <v>0.18</v>
      </c>
      <c r="J90" s="18">
        <f t="shared" si="1"/>
        <v>2242</v>
      </c>
      <c r="K90" s="18">
        <v>2394</v>
      </c>
      <c r="L90" s="18">
        <f t="shared" si="2"/>
        <v>2394</v>
      </c>
      <c r="M90" s="18">
        <f t="shared" si="3"/>
        <v>2824.92</v>
      </c>
      <c r="N90" s="12">
        <v>150</v>
      </c>
      <c r="O90" s="19">
        <v>0.18</v>
      </c>
      <c r="P90" s="18">
        <f t="shared" si="4"/>
        <v>177</v>
      </c>
      <c r="Q90" s="12">
        <v>0</v>
      </c>
      <c r="R90" s="18">
        <f t="shared" si="5"/>
        <v>3001.92</v>
      </c>
      <c r="S90" s="22">
        <f t="shared" si="6"/>
        <v>2999</v>
      </c>
      <c r="T90" s="18">
        <f t="shared" si="7"/>
        <v>-2.9200000000000728</v>
      </c>
      <c r="U90" s="18">
        <f t="shared" si="8"/>
        <v>757</v>
      </c>
      <c r="V90" s="18">
        <f t="shared" si="9"/>
        <v>641.52542372881362</v>
      </c>
      <c r="W90" s="24">
        <f t="shared" si="10"/>
        <v>0.33764495985727033</v>
      </c>
      <c r="X90" s="22"/>
    </row>
    <row r="91" spans="1:24" x14ac:dyDescent="0.25">
      <c r="A91" s="9" t="s">
        <v>24</v>
      </c>
      <c r="B91" s="9" t="s">
        <v>81</v>
      </c>
      <c r="C91" s="10"/>
      <c r="D91" s="9" t="s">
        <v>222</v>
      </c>
      <c r="E91" s="9" t="s">
        <v>223</v>
      </c>
      <c r="F91" s="12">
        <v>1</v>
      </c>
      <c r="G91" s="14">
        <v>1899.81</v>
      </c>
      <c r="H91" s="18">
        <f t="shared" si="0"/>
        <v>1899.81</v>
      </c>
      <c r="I91" s="19">
        <v>0.18</v>
      </c>
      <c r="J91" s="18">
        <f t="shared" si="1"/>
        <v>2241.7757999999999</v>
      </c>
      <c r="K91" s="18">
        <v>2394</v>
      </c>
      <c r="L91" s="18">
        <f t="shared" si="2"/>
        <v>2394</v>
      </c>
      <c r="M91" s="18">
        <f t="shared" si="3"/>
        <v>2824.92</v>
      </c>
      <c r="N91" s="12">
        <v>0</v>
      </c>
      <c r="O91" s="19">
        <v>0.18</v>
      </c>
      <c r="P91" s="18">
        <f t="shared" si="4"/>
        <v>0</v>
      </c>
      <c r="Q91" s="12">
        <v>0</v>
      </c>
      <c r="R91" s="18">
        <f t="shared" si="5"/>
        <v>2824.92</v>
      </c>
      <c r="S91" s="22">
        <f t="shared" si="6"/>
        <v>2799</v>
      </c>
      <c r="T91" s="18">
        <f t="shared" si="7"/>
        <v>-25.920000000000073</v>
      </c>
      <c r="U91" s="18">
        <f t="shared" si="8"/>
        <v>557.22420000000011</v>
      </c>
      <c r="V91" s="18">
        <f t="shared" si="9"/>
        <v>472.22389830508484</v>
      </c>
      <c r="W91" s="24">
        <f t="shared" si="10"/>
        <v>0.24856375021980348</v>
      </c>
      <c r="X91" s="22"/>
    </row>
    <row r="92" spans="1:24" x14ac:dyDescent="0.25">
      <c r="A92" s="9" t="s">
        <v>24</v>
      </c>
      <c r="B92" s="9" t="s">
        <v>43</v>
      </c>
      <c r="C92" s="10"/>
      <c r="D92" s="9" t="s">
        <v>222</v>
      </c>
      <c r="E92" s="9" t="s">
        <v>224</v>
      </c>
      <c r="F92" s="12">
        <v>1</v>
      </c>
      <c r="G92" s="14">
        <v>1972</v>
      </c>
      <c r="H92" s="18">
        <f t="shared" si="0"/>
        <v>1972</v>
      </c>
      <c r="I92" s="19">
        <v>0.18</v>
      </c>
      <c r="J92" s="18">
        <f t="shared" si="1"/>
        <v>2326.96</v>
      </c>
      <c r="K92" s="18">
        <v>2458</v>
      </c>
      <c r="L92" s="18">
        <f t="shared" si="2"/>
        <v>2458</v>
      </c>
      <c r="M92" s="18">
        <f t="shared" si="3"/>
        <v>2900.44</v>
      </c>
      <c r="N92" s="12">
        <v>0</v>
      </c>
      <c r="O92" s="19">
        <v>0.18</v>
      </c>
      <c r="P92" s="18">
        <f t="shared" si="4"/>
        <v>0</v>
      </c>
      <c r="Q92" s="12">
        <v>0</v>
      </c>
      <c r="R92" s="18">
        <f t="shared" si="5"/>
        <v>2900.44</v>
      </c>
      <c r="S92" s="22">
        <f t="shared" si="6"/>
        <v>2899</v>
      </c>
      <c r="T92" s="18">
        <f t="shared" si="7"/>
        <v>-1.4400000000000546</v>
      </c>
      <c r="U92" s="18">
        <f t="shared" si="8"/>
        <v>572.04</v>
      </c>
      <c r="V92" s="18">
        <f t="shared" si="9"/>
        <v>484.77966101694915</v>
      </c>
      <c r="W92" s="24">
        <f t="shared" si="10"/>
        <v>0.24583147110392958</v>
      </c>
      <c r="X92" s="22"/>
    </row>
    <row r="93" spans="1:24" x14ac:dyDescent="0.25">
      <c r="A93" s="9" t="s">
        <v>24</v>
      </c>
      <c r="B93" s="9" t="s">
        <v>58</v>
      </c>
      <c r="C93" s="10"/>
      <c r="D93" s="9" t="s">
        <v>222</v>
      </c>
      <c r="E93" s="9" t="s">
        <v>225</v>
      </c>
      <c r="F93" s="12">
        <v>1</v>
      </c>
      <c r="G93" s="14">
        <v>2093.4899999999998</v>
      </c>
      <c r="H93" s="18">
        <f t="shared" si="0"/>
        <v>2093.4899999999998</v>
      </c>
      <c r="I93" s="19">
        <v>0.18</v>
      </c>
      <c r="J93" s="18">
        <f t="shared" si="1"/>
        <v>2470.3181999999997</v>
      </c>
      <c r="K93" s="18">
        <v>2638</v>
      </c>
      <c r="L93" s="18">
        <f t="shared" si="2"/>
        <v>2638</v>
      </c>
      <c r="M93" s="18">
        <f t="shared" si="3"/>
        <v>3112.8399999999997</v>
      </c>
      <c r="N93" s="12">
        <v>100</v>
      </c>
      <c r="O93" s="19">
        <v>0.18</v>
      </c>
      <c r="P93" s="18">
        <f t="shared" si="4"/>
        <v>118</v>
      </c>
      <c r="Q93" s="12">
        <v>0</v>
      </c>
      <c r="R93" s="18">
        <f t="shared" si="5"/>
        <v>3230.8399999999997</v>
      </c>
      <c r="S93" s="22">
        <f t="shared" si="6"/>
        <v>3249</v>
      </c>
      <c r="T93" s="18">
        <f t="shared" si="7"/>
        <v>18.160000000000309</v>
      </c>
      <c r="U93" s="18">
        <f t="shared" si="8"/>
        <v>778.68180000000029</v>
      </c>
      <c r="V93" s="18">
        <f t="shared" si="9"/>
        <v>659.89983050847491</v>
      </c>
      <c r="W93" s="24">
        <f t="shared" si="10"/>
        <v>0.31521518159077666</v>
      </c>
      <c r="X93" s="22"/>
    </row>
    <row r="94" spans="1:24" x14ac:dyDescent="0.25">
      <c r="A94" s="9" t="s">
        <v>24</v>
      </c>
      <c r="B94" s="9" t="s">
        <v>692</v>
      </c>
      <c r="C94" s="10"/>
      <c r="D94" s="9" t="s">
        <v>222</v>
      </c>
      <c r="E94" s="9" t="s">
        <v>226</v>
      </c>
      <c r="F94" s="12">
        <v>1</v>
      </c>
      <c r="G94" s="14">
        <v>1964</v>
      </c>
      <c r="H94" s="18">
        <f t="shared" si="0"/>
        <v>1964</v>
      </c>
      <c r="I94" s="19">
        <v>0.18</v>
      </c>
      <c r="J94" s="18">
        <f t="shared" si="1"/>
        <v>2317.52</v>
      </c>
      <c r="K94" s="18">
        <v>2447</v>
      </c>
      <c r="L94" s="18">
        <f t="shared" si="2"/>
        <v>2447</v>
      </c>
      <c r="M94" s="18">
        <f t="shared" si="3"/>
        <v>2887.46</v>
      </c>
      <c r="N94" s="12">
        <v>0</v>
      </c>
      <c r="O94" s="19">
        <v>0.18</v>
      </c>
      <c r="P94" s="18">
        <f t="shared" si="4"/>
        <v>0</v>
      </c>
      <c r="Q94" s="12">
        <v>0</v>
      </c>
      <c r="R94" s="18">
        <f t="shared" si="5"/>
        <v>2887.46</v>
      </c>
      <c r="S94" s="22">
        <f t="shared" si="6"/>
        <v>2899</v>
      </c>
      <c r="T94" s="18">
        <f t="shared" si="7"/>
        <v>11.539999999999964</v>
      </c>
      <c r="U94" s="18">
        <f t="shared" si="8"/>
        <v>581.48</v>
      </c>
      <c r="V94" s="18">
        <f t="shared" si="9"/>
        <v>492.77966101694921</v>
      </c>
      <c r="W94" s="24">
        <f t="shared" si="10"/>
        <v>0.2509061410473265</v>
      </c>
      <c r="X94" s="22"/>
    </row>
    <row r="95" spans="1:24" x14ac:dyDescent="0.25">
      <c r="A95" s="9" t="s">
        <v>94</v>
      </c>
      <c r="B95" s="9" t="s">
        <v>94</v>
      </c>
      <c r="C95" s="10"/>
      <c r="D95" s="9" t="s">
        <v>227</v>
      </c>
      <c r="E95" s="9" t="s">
        <v>228</v>
      </c>
      <c r="F95" s="12">
        <v>1</v>
      </c>
      <c r="G95" s="14">
        <v>744</v>
      </c>
      <c r="H95" s="18">
        <f t="shared" si="0"/>
        <v>744</v>
      </c>
      <c r="I95" s="19">
        <v>0.18</v>
      </c>
      <c r="J95" s="18">
        <f t="shared" si="1"/>
        <v>877.92</v>
      </c>
      <c r="K95" s="18">
        <v>1017</v>
      </c>
      <c r="L95" s="18">
        <f t="shared" si="2"/>
        <v>1017</v>
      </c>
      <c r="M95" s="18">
        <f t="shared" si="3"/>
        <v>1200.06</v>
      </c>
      <c r="N95" s="12">
        <v>0</v>
      </c>
      <c r="O95" s="19">
        <v>0.18</v>
      </c>
      <c r="P95" s="18">
        <f t="shared" si="4"/>
        <v>0</v>
      </c>
      <c r="Q95" s="12">
        <v>0</v>
      </c>
      <c r="R95" s="18">
        <f t="shared" si="5"/>
        <v>1200.06</v>
      </c>
      <c r="S95" s="22">
        <f t="shared" si="6"/>
        <v>1199</v>
      </c>
      <c r="T95" s="18">
        <f t="shared" si="7"/>
        <v>-1.0599999999999454</v>
      </c>
      <c r="U95" s="18">
        <f t="shared" si="8"/>
        <v>321.08000000000004</v>
      </c>
      <c r="V95" s="18">
        <f t="shared" si="9"/>
        <v>272.10169491525431</v>
      </c>
      <c r="W95" s="24">
        <f t="shared" si="10"/>
        <v>0.36572808456351386</v>
      </c>
      <c r="X95" s="22"/>
    </row>
    <row r="96" spans="1:24" x14ac:dyDescent="0.25">
      <c r="A96" s="9" t="s">
        <v>24</v>
      </c>
      <c r="B96" s="9" t="s">
        <v>81</v>
      </c>
      <c r="C96" s="10"/>
      <c r="D96" s="9" t="s">
        <v>229</v>
      </c>
      <c r="E96" s="9" t="s">
        <v>230</v>
      </c>
      <c r="F96" s="12">
        <v>1</v>
      </c>
      <c r="G96" s="14">
        <v>840.86</v>
      </c>
      <c r="H96" s="18">
        <f t="shared" si="0"/>
        <v>840.86</v>
      </c>
      <c r="I96" s="19">
        <v>0.18</v>
      </c>
      <c r="J96" s="18">
        <f t="shared" si="1"/>
        <v>992.21479999999997</v>
      </c>
      <c r="K96" s="18">
        <v>1118</v>
      </c>
      <c r="L96" s="18">
        <f t="shared" si="2"/>
        <v>1118</v>
      </c>
      <c r="M96" s="18">
        <f t="shared" si="3"/>
        <v>1319.24</v>
      </c>
      <c r="N96" s="12">
        <v>0</v>
      </c>
      <c r="O96" s="19">
        <v>0.18</v>
      </c>
      <c r="P96" s="18">
        <f t="shared" si="4"/>
        <v>0</v>
      </c>
      <c r="Q96" s="12">
        <v>0</v>
      </c>
      <c r="R96" s="18">
        <f t="shared" si="5"/>
        <v>1319.24</v>
      </c>
      <c r="S96" s="22">
        <f t="shared" si="6"/>
        <v>1299</v>
      </c>
      <c r="T96" s="18">
        <f t="shared" si="7"/>
        <v>-20.240000000000009</v>
      </c>
      <c r="U96" s="18">
        <f t="shared" si="8"/>
        <v>306.78520000000003</v>
      </c>
      <c r="V96" s="18">
        <f t="shared" si="9"/>
        <v>259.98745762711866</v>
      </c>
      <c r="W96" s="24">
        <f t="shared" si="10"/>
        <v>0.30919232408143882</v>
      </c>
      <c r="X96" s="22"/>
    </row>
    <row r="97" spans="1:24" x14ac:dyDescent="0.25">
      <c r="A97" s="9" t="s">
        <v>24</v>
      </c>
      <c r="B97" s="9" t="s">
        <v>81</v>
      </c>
      <c r="C97" s="10"/>
      <c r="D97" s="9" t="s">
        <v>231</v>
      </c>
      <c r="E97" s="9" t="s">
        <v>232</v>
      </c>
      <c r="F97" s="12">
        <v>1</v>
      </c>
      <c r="G97" s="14">
        <v>840.86</v>
      </c>
      <c r="H97" s="18">
        <f t="shared" si="0"/>
        <v>840.86</v>
      </c>
      <c r="I97" s="19">
        <v>0.18</v>
      </c>
      <c r="J97" s="18">
        <f t="shared" si="1"/>
        <v>992.21479999999997</v>
      </c>
      <c r="K97" s="18">
        <v>1118</v>
      </c>
      <c r="L97" s="18">
        <f t="shared" si="2"/>
        <v>1118</v>
      </c>
      <c r="M97" s="18">
        <f t="shared" si="3"/>
        <v>1319.24</v>
      </c>
      <c r="N97" s="12">
        <v>0</v>
      </c>
      <c r="O97" s="19">
        <v>0.18</v>
      </c>
      <c r="P97" s="18">
        <f t="shared" si="4"/>
        <v>0</v>
      </c>
      <c r="Q97" s="12">
        <v>0</v>
      </c>
      <c r="R97" s="18">
        <f t="shared" si="5"/>
        <v>1319.24</v>
      </c>
      <c r="S97" s="22">
        <f t="shared" si="6"/>
        <v>1299</v>
      </c>
      <c r="T97" s="18">
        <f t="shared" si="7"/>
        <v>-20.240000000000009</v>
      </c>
      <c r="U97" s="18">
        <f t="shared" si="8"/>
        <v>306.78520000000003</v>
      </c>
      <c r="V97" s="18">
        <f t="shared" si="9"/>
        <v>259.98745762711866</v>
      </c>
      <c r="W97" s="24">
        <f t="shared" si="10"/>
        <v>0.30919232408143882</v>
      </c>
      <c r="X97" s="22"/>
    </row>
    <row r="98" spans="1:24" x14ac:dyDescent="0.25">
      <c r="A98" s="9" t="s">
        <v>24</v>
      </c>
      <c r="B98" s="9" t="s">
        <v>58</v>
      </c>
      <c r="C98" s="10"/>
      <c r="D98" s="9" t="s">
        <v>233</v>
      </c>
      <c r="E98" s="9" t="s">
        <v>234</v>
      </c>
      <c r="F98" s="12">
        <v>1</v>
      </c>
      <c r="G98" s="14">
        <v>9555</v>
      </c>
      <c r="H98" s="18">
        <f t="shared" si="0"/>
        <v>9555</v>
      </c>
      <c r="I98" s="19">
        <v>0.18</v>
      </c>
      <c r="J98" s="18">
        <f t="shared" si="1"/>
        <v>11274.9</v>
      </c>
      <c r="K98" s="18">
        <v>11484</v>
      </c>
      <c r="L98" s="18">
        <f t="shared" si="2"/>
        <v>11484</v>
      </c>
      <c r="M98" s="18">
        <f t="shared" si="3"/>
        <v>13551.119999999999</v>
      </c>
      <c r="N98" s="12">
        <v>1000</v>
      </c>
      <c r="O98" s="19">
        <v>0.18</v>
      </c>
      <c r="P98" s="18">
        <f t="shared" si="4"/>
        <v>1180</v>
      </c>
      <c r="Q98" s="12">
        <v>200</v>
      </c>
      <c r="R98" s="18">
        <f t="shared" si="5"/>
        <v>14731.119999999999</v>
      </c>
      <c r="S98" s="22">
        <f t="shared" si="6"/>
        <v>14749</v>
      </c>
      <c r="T98" s="18">
        <f t="shared" si="7"/>
        <v>17.880000000001019</v>
      </c>
      <c r="U98" s="18">
        <f t="shared" si="8"/>
        <v>3274.1000000000004</v>
      </c>
      <c r="V98" s="18">
        <f t="shared" si="9"/>
        <v>2774.6610169491528</v>
      </c>
      <c r="W98" s="24">
        <f t="shared" si="10"/>
        <v>0.29038838481937757</v>
      </c>
      <c r="X98" s="22"/>
    </row>
    <row r="99" spans="1:24" x14ac:dyDescent="0.25">
      <c r="A99" s="9" t="s">
        <v>94</v>
      </c>
      <c r="B99" s="9" t="s">
        <v>94</v>
      </c>
      <c r="C99" s="10"/>
      <c r="D99" s="9" t="s">
        <v>235</v>
      </c>
      <c r="E99" s="9" t="s">
        <v>236</v>
      </c>
      <c r="F99" s="12">
        <v>1</v>
      </c>
      <c r="G99" s="14">
        <v>6303</v>
      </c>
      <c r="H99" s="18">
        <f t="shared" si="0"/>
        <v>6303</v>
      </c>
      <c r="I99" s="19">
        <v>0.18</v>
      </c>
      <c r="J99" s="18">
        <f t="shared" si="1"/>
        <v>7437.54</v>
      </c>
      <c r="K99" s="18">
        <v>7855</v>
      </c>
      <c r="L99" s="18">
        <f t="shared" si="2"/>
        <v>7855</v>
      </c>
      <c r="M99" s="18">
        <f t="shared" si="3"/>
        <v>9268.9</v>
      </c>
      <c r="N99" s="12">
        <v>0</v>
      </c>
      <c r="O99" s="19">
        <v>0.18</v>
      </c>
      <c r="P99" s="18">
        <f t="shared" si="4"/>
        <v>0</v>
      </c>
      <c r="Q99" s="12">
        <v>0</v>
      </c>
      <c r="R99" s="18">
        <f t="shared" si="5"/>
        <v>9268.9</v>
      </c>
      <c r="S99" s="22">
        <f t="shared" si="6"/>
        <v>9249</v>
      </c>
      <c r="T99" s="18">
        <f t="shared" si="7"/>
        <v>-19.899999999999636</v>
      </c>
      <c r="U99" s="18">
        <f t="shared" si="8"/>
        <v>1811.46</v>
      </c>
      <c r="V99" s="18">
        <f t="shared" si="9"/>
        <v>1535.1355932203392</v>
      </c>
      <c r="W99" s="24">
        <f t="shared" si="10"/>
        <v>0.24355633717600178</v>
      </c>
      <c r="X99" s="22"/>
    </row>
    <row r="100" spans="1:24" x14ac:dyDescent="0.25">
      <c r="A100" s="9" t="s">
        <v>24</v>
      </c>
      <c r="B100" s="9" t="s">
        <v>58</v>
      </c>
      <c r="C100" s="10"/>
      <c r="D100" s="9" t="s">
        <v>237</v>
      </c>
      <c r="E100" s="9" t="s">
        <v>238</v>
      </c>
      <c r="F100" s="12">
        <v>1</v>
      </c>
      <c r="G100" s="14">
        <v>410.23</v>
      </c>
      <c r="H100" s="18">
        <f t="shared" si="0"/>
        <v>410.23</v>
      </c>
      <c r="I100" s="19">
        <v>0.18</v>
      </c>
      <c r="J100" s="18">
        <f t="shared" si="1"/>
        <v>484.07139999999998</v>
      </c>
      <c r="K100" s="18">
        <v>517</v>
      </c>
      <c r="L100" s="18">
        <f t="shared" si="2"/>
        <v>517</v>
      </c>
      <c r="M100" s="18">
        <f t="shared" si="3"/>
        <v>610.05999999999995</v>
      </c>
      <c r="N100" s="12">
        <v>0</v>
      </c>
      <c r="O100" s="19">
        <v>0.18</v>
      </c>
      <c r="P100" s="18">
        <f t="shared" si="4"/>
        <v>0</v>
      </c>
      <c r="Q100" s="12">
        <v>0</v>
      </c>
      <c r="R100" s="18">
        <f t="shared" si="5"/>
        <v>610.05999999999995</v>
      </c>
      <c r="S100" s="22">
        <f t="shared" si="6"/>
        <v>599</v>
      </c>
      <c r="T100" s="18">
        <f t="shared" si="7"/>
        <v>-11.059999999999945</v>
      </c>
      <c r="U100" s="18">
        <f t="shared" si="8"/>
        <v>114.92860000000002</v>
      </c>
      <c r="V100" s="18">
        <f t="shared" si="9"/>
        <v>97.397118644067817</v>
      </c>
      <c r="W100" s="24">
        <f t="shared" si="10"/>
        <v>0.23742076065638254</v>
      </c>
      <c r="X100" s="22"/>
    </row>
    <row r="101" spans="1:24" x14ac:dyDescent="0.25">
      <c r="A101" s="9" t="s">
        <v>94</v>
      </c>
      <c r="B101" s="9" t="s">
        <v>94</v>
      </c>
      <c r="C101" s="10"/>
      <c r="D101" s="9" t="s">
        <v>239</v>
      </c>
      <c r="E101" s="9" t="s">
        <v>240</v>
      </c>
      <c r="F101" s="12">
        <v>1</v>
      </c>
      <c r="G101" s="14">
        <v>4202</v>
      </c>
      <c r="H101" s="18">
        <f t="shared" si="0"/>
        <v>4202</v>
      </c>
      <c r="I101" s="19">
        <v>0.18</v>
      </c>
      <c r="J101" s="18">
        <f t="shared" si="1"/>
        <v>4958.3599999999997</v>
      </c>
      <c r="K101" s="18">
        <v>5236</v>
      </c>
      <c r="L101" s="18">
        <f t="shared" si="2"/>
        <v>5236</v>
      </c>
      <c r="M101" s="18">
        <f t="shared" si="3"/>
        <v>6178.48</v>
      </c>
      <c r="N101" s="12">
        <v>0</v>
      </c>
      <c r="O101" s="19">
        <v>0.18</v>
      </c>
      <c r="P101" s="18">
        <f t="shared" si="4"/>
        <v>0</v>
      </c>
      <c r="Q101" s="12">
        <v>0</v>
      </c>
      <c r="R101" s="18">
        <f t="shared" si="5"/>
        <v>6178.48</v>
      </c>
      <c r="S101" s="22">
        <f t="shared" si="6"/>
        <v>6199</v>
      </c>
      <c r="T101" s="18">
        <f t="shared" si="7"/>
        <v>20.520000000000437</v>
      </c>
      <c r="U101" s="18">
        <f t="shared" si="8"/>
        <v>1240.6400000000003</v>
      </c>
      <c r="V101" s="18">
        <f t="shared" si="9"/>
        <v>1051.3898305084749</v>
      </c>
      <c r="W101" s="24">
        <f t="shared" si="10"/>
        <v>0.25021176356698593</v>
      </c>
      <c r="X101" s="22"/>
    </row>
    <row r="102" spans="1:24" x14ac:dyDescent="0.25">
      <c r="A102" s="9" t="s">
        <v>24</v>
      </c>
      <c r="B102" s="9" t="s">
        <v>25</v>
      </c>
      <c r="C102" s="10"/>
      <c r="D102" s="9" t="s">
        <v>241</v>
      </c>
      <c r="E102" s="9" t="s">
        <v>242</v>
      </c>
      <c r="F102" s="12">
        <v>1</v>
      </c>
      <c r="G102" s="14">
        <v>2628</v>
      </c>
      <c r="H102" s="18">
        <f t="shared" si="0"/>
        <v>2628</v>
      </c>
      <c r="I102" s="19">
        <v>0.18</v>
      </c>
      <c r="J102" s="18">
        <f t="shared" si="1"/>
        <v>3101.04</v>
      </c>
      <c r="K102" s="18">
        <v>3093</v>
      </c>
      <c r="L102" s="18">
        <f t="shared" si="2"/>
        <v>3093</v>
      </c>
      <c r="M102" s="18">
        <f t="shared" si="3"/>
        <v>3649.74</v>
      </c>
      <c r="N102" s="12">
        <v>0</v>
      </c>
      <c r="O102" s="19">
        <v>0.18</v>
      </c>
      <c r="P102" s="18">
        <f t="shared" si="4"/>
        <v>0</v>
      </c>
      <c r="Q102" s="12">
        <v>0</v>
      </c>
      <c r="R102" s="18">
        <f t="shared" si="5"/>
        <v>3649.74</v>
      </c>
      <c r="S102" s="22">
        <f t="shared" si="6"/>
        <v>3649</v>
      </c>
      <c r="T102" s="18">
        <f t="shared" si="7"/>
        <v>-0.73999999999978172</v>
      </c>
      <c r="U102" s="18">
        <f t="shared" si="8"/>
        <v>547.96</v>
      </c>
      <c r="V102" s="18">
        <f t="shared" si="9"/>
        <v>464.37288135593224</v>
      </c>
      <c r="W102" s="24">
        <f t="shared" si="10"/>
        <v>0.17670200964837604</v>
      </c>
      <c r="X102" s="22"/>
    </row>
    <row r="103" spans="1:24" x14ac:dyDescent="0.25">
      <c r="A103" s="9" t="s">
        <v>24</v>
      </c>
      <c r="B103" s="9" t="s">
        <v>81</v>
      </c>
      <c r="C103" s="10"/>
      <c r="D103" s="9" t="s">
        <v>243</v>
      </c>
      <c r="E103" s="9" t="s">
        <v>244</v>
      </c>
      <c r="F103" s="12">
        <v>1</v>
      </c>
      <c r="G103" s="14">
        <v>2206</v>
      </c>
      <c r="H103" s="18">
        <f t="shared" si="0"/>
        <v>2206</v>
      </c>
      <c r="I103" s="19">
        <v>0.18</v>
      </c>
      <c r="J103" s="18">
        <f t="shared" si="1"/>
        <v>2603.08</v>
      </c>
      <c r="K103" s="18">
        <v>2780</v>
      </c>
      <c r="L103" s="18">
        <f t="shared" si="2"/>
        <v>2780</v>
      </c>
      <c r="M103" s="18">
        <f t="shared" si="3"/>
        <v>3280.3999999999996</v>
      </c>
      <c r="N103" s="12">
        <v>0</v>
      </c>
      <c r="O103" s="19">
        <v>0.18</v>
      </c>
      <c r="P103" s="18">
        <f t="shared" si="4"/>
        <v>0</v>
      </c>
      <c r="Q103" s="12">
        <v>0</v>
      </c>
      <c r="R103" s="18">
        <f t="shared" si="5"/>
        <v>3280.3999999999996</v>
      </c>
      <c r="S103" s="22">
        <f t="shared" si="6"/>
        <v>3299</v>
      </c>
      <c r="T103" s="18">
        <f t="shared" si="7"/>
        <v>18.600000000000364</v>
      </c>
      <c r="U103" s="18">
        <f t="shared" si="8"/>
        <v>695.92000000000007</v>
      </c>
      <c r="V103" s="18">
        <f t="shared" si="9"/>
        <v>589.76271186440692</v>
      </c>
      <c r="W103" s="24">
        <f t="shared" si="10"/>
        <v>0.26734483765385625</v>
      </c>
      <c r="X103" s="22"/>
    </row>
    <row r="104" spans="1:24" x14ac:dyDescent="0.25">
      <c r="A104" s="9" t="s">
        <v>24</v>
      </c>
      <c r="B104" s="9" t="s">
        <v>44</v>
      </c>
      <c r="C104" s="10"/>
      <c r="D104" s="9" t="s">
        <v>245</v>
      </c>
      <c r="E104" s="9" t="s">
        <v>246</v>
      </c>
      <c r="F104" s="12">
        <v>1</v>
      </c>
      <c r="G104" s="14">
        <v>3749</v>
      </c>
      <c r="H104" s="18">
        <f t="shared" si="0"/>
        <v>3749</v>
      </c>
      <c r="I104" s="19">
        <v>0.18</v>
      </c>
      <c r="J104" s="18">
        <f t="shared" si="1"/>
        <v>4423.82</v>
      </c>
      <c r="K104" s="18">
        <v>4724</v>
      </c>
      <c r="L104" s="18">
        <f t="shared" si="2"/>
        <v>4724</v>
      </c>
      <c r="M104" s="18">
        <f t="shared" si="3"/>
        <v>5574.32</v>
      </c>
      <c r="N104" s="12">
        <v>0</v>
      </c>
      <c r="O104" s="19">
        <v>0.18</v>
      </c>
      <c r="P104" s="18">
        <f t="shared" si="4"/>
        <v>0</v>
      </c>
      <c r="Q104" s="12">
        <v>150</v>
      </c>
      <c r="R104" s="18">
        <f t="shared" si="5"/>
        <v>5574.32</v>
      </c>
      <c r="S104" s="22">
        <f t="shared" si="6"/>
        <v>5549</v>
      </c>
      <c r="T104" s="18">
        <f t="shared" si="7"/>
        <v>-25.319999999999709</v>
      </c>
      <c r="U104" s="18">
        <f t="shared" si="8"/>
        <v>975.18000000000029</v>
      </c>
      <c r="V104" s="18">
        <f t="shared" si="9"/>
        <v>826.42372881355959</v>
      </c>
      <c r="W104" s="24">
        <f t="shared" si="10"/>
        <v>0.22043844460217646</v>
      </c>
      <c r="X104" s="22"/>
    </row>
    <row r="105" spans="1:24" x14ac:dyDescent="0.25">
      <c r="A105" s="9" t="s">
        <v>24</v>
      </c>
      <c r="B105" s="9" t="s">
        <v>44</v>
      </c>
      <c r="C105" s="10"/>
      <c r="D105" s="9" t="s">
        <v>243</v>
      </c>
      <c r="E105" s="9" t="s">
        <v>247</v>
      </c>
      <c r="F105" s="12">
        <v>1</v>
      </c>
      <c r="G105" s="14">
        <v>3749</v>
      </c>
      <c r="H105" s="18">
        <f t="shared" si="0"/>
        <v>3749</v>
      </c>
      <c r="I105" s="19">
        <v>0.18</v>
      </c>
      <c r="J105" s="18">
        <f t="shared" si="1"/>
        <v>4423.82</v>
      </c>
      <c r="K105" s="18">
        <v>4724</v>
      </c>
      <c r="L105" s="18">
        <f t="shared" si="2"/>
        <v>4724</v>
      </c>
      <c r="M105" s="18">
        <f t="shared" si="3"/>
        <v>5574.32</v>
      </c>
      <c r="N105" s="12">
        <v>0</v>
      </c>
      <c r="O105" s="19">
        <v>0.18</v>
      </c>
      <c r="P105" s="18">
        <f t="shared" si="4"/>
        <v>0</v>
      </c>
      <c r="Q105" s="12">
        <v>150</v>
      </c>
      <c r="R105" s="18">
        <f t="shared" si="5"/>
        <v>5574.32</v>
      </c>
      <c r="S105" s="22">
        <f t="shared" si="6"/>
        <v>5549</v>
      </c>
      <c r="T105" s="18">
        <f t="shared" si="7"/>
        <v>-25.319999999999709</v>
      </c>
      <c r="U105" s="18">
        <f t="shared" si="8"/>
        <v>975.18000000000029</v>
      </c>
      <c r="V105" s="18">
        <f t="shared" si="9"/>
        <v>826.42372881355959</v>
      </c>
      <c r="W105" s="24">
        <f t="shared" si="10"/>
        <v>0.22043844460217646</v>
      </c>
      <c r="X105" s="22"/>
    </row>
    <row r="106" spans="1:24" x14ac:dyDescent="0.25">
      <c r="A106" s="9" t="s">
        <v>24</v>
      </c>
      <c r="B106" s="9" t="s">
        <v>40</v>
      </c>
      <c r="C106" s="10"/>
      <c r="D106" s="9" t="s">
        <v>248</v>
      </c>
      <c r="E106" s="9" t="s">
        <v>249</v>
      </c>
      <c r="F106" s="12">
        <v>1</v>
      </c>
      <c r="G106" s="14">
        <v>3176</v>
      </c>
      <c r="H106" s="18">
        <f t="shared" si="0"/>
        <v>3176</v>
      </c>
      <c r="I106" s="19">
        <v>0.18</v>
      </c>
      <c r="J106" s="18">
        <f t="shared" si="1"/>
        <v>3747.68</v>
      </c>
      <c r="K106" s="18">
        <v>3738</v>
      </c>
      <c r="L106" s="18">
        <f t="shared" si="2"/>
        <v>3738</v>
      </c>
      <c r="M106" s="18">
        <f t="shared" si="3"/>
        <v>4410.84</v>
      </c>
      <c r="N106" s="12">
        <v>0</v>
      </c>
      <c r="O106" s="19">
        <v>0.18</v>
      </c>
      <c r="P106" s="18">
        <f t="shared" si="4"/>
        <v>0</v>
      </c>
      <c r="Q106" s="12">
        <v>0</v>
      </c>
      <c r="R106" s="18">
        <f t="shared" si="5"/>
        <v>4410.84</v>
      </c>
      <c r="S106" s="22">
        <f t="shared" si="6"/>
        <v>4399</v>
      </c>
      <c r="T106" s="18">
        <f t="shared" si="7"/>
        <v>-11.840000000000146</v>
      </c>
      <c r="U106" s="18">
        <f t="shared" si="8"/>
        <v>651.32000000000016</v>
      </c>
      <c r="V106" s="18">
        <f t="shared" si="9"/>
        <v>551.96610169491544</v>
      </c>
      <c r="W106" s="24">
        <f t="shared" si="10"/>
        <v>0.17379285317849982</v>
      </c>
      <c r="X106" s="22"/>
    </row>
    <row r="107" spans="1:24" x14ac:dyDescent="0.25">
      <c r="A107" s="9" t="s">
        <v>94</v>
      </c>
      <c r="B107" s="9" t="s">
        <v>94</v>
      </c>
      <c r="C107" s="10"/>
      <c r="D107" s="9" t="s">
        <v>250</v>
      </c>
      <c r="E107" s="9" t="s">
        <v>251</v>
      </c>
      <c r="F107" s="12">
        <v>1</v>
      </c>
      <c r="G107" s="14">
        <v>2276</v>
      </c>
      <c r="H107" s="18">
        <f t="shared" si="0"/>
        <v>2276</v>
      </c>
      <c r="I107" s="19">
        <v>0.18</v>
      </c>
      <c r="J107" s="18">
        <f t="shared" si="1"/>
        <v>2685.68</v>
      </c>
      <c r="K107" s="18">
        <v>2538</v>
      </c>
      <c r="L107" s="18">
        <f t="shared" si="2"/>
        <v>2538</v>
      </c>
      <c r="M107" s="18">
        <f t="shared" si="3"/>
        <v>2994.8399999999997</v>
      </c>
      <c r="N107" s="12">
        <v>0</v>
      </c>
      <c r="O107" s="19">
        <v>0.18</v>
      </c>
      <c r="P107" s="18">
        <f t="shared" si="4"/>
        <v>0</v>
      </c>
      <c r="Q107" s="12">
        <v>0</v>
      </c>
      <c r="R107" s="18">
        <f t="shared" si="5"/>
        <v>2994.8399999999997</v>
      </c>
      <c r="S107" s="22">
        <f t="shared" si="6"/>
        <v>2999</v>
      </c>
      <c r="T107" s="18">
        <f t="shared" si="7"/>
        <v>4.1600000000003092</v>
      </c>
      <c r="U107" s="18">
        <f t="shared" si="8"/>
        <v>313.32000000000016</v>
      </c>
      <c r="V107" s="18">
        <f t="shared" si="9"/>
        <v>265.52542372881373</v>
      </c>
      <c r="W107" s="24">
        <f t="shared" si="10"/>
        <v>0.11666319144499725</v>
      </c>
      <c r="X107" s="22"/>
    </row>
    <row r="108" spans="1:24" x14ac:dyDescent="0.25">
      <c r="A108" s="9" t="s">
        <v>94</v>
      </c>
      <c r="B108" s="9" t="s">
        <v>94</v>
      </c>
      <c r="C108" s="10"/>
      <c r="D108" s="9" t="s">
        <v>252</v>
      </c>
      <c r="E108" s="9" t="s">
        <v>253</v>
      </c>
      <c r="F108" s="12">
        <v>1</v>
      </c>
      <c r="G108" s="14">
        <v>525</v>
      </c>
      <c r="H108" s="18">
        <f t="shared" si="0"/>
        <v>525</v>
      </c>
      <c r="I108" s="19">
        <v>0.18</v>
      </c>
      <c r="J108" s="18">
        <f t="shared" si="1"/>
        <v>619.5</v>
      </c>
      <c r="K108" s="18">
        <v>718</v>
      </c>
      <c r="L108" s="18">
        <f t="shared" si="2"/>
        <v>718</v>
      </c>
      <c r="M108" s="18">
        <f t="shared" si="3"/>
        <v>847.24</v>
      </c>
      <c r="N108" s="12">
        <v>0</v>
      </c>
      <c r="O108" s="19">
        <v>0.18</v>
      </c>
      <c r="P108" s="18">
        <f t="shared" si="4"/>
        <v>0</v>
      </c>
      <c r="Q108" s="12">
        <v>0</v>
      </c>
      <c r="R108" s="18">
        <f t="shared" si="5"/>
        <v>847.24</v>
      </c>
      <c r="S108" s="22">
        <f t="shared" si="6"/>
        <v>849</v>
      </c>
      <c r="T108" s="18">
        <f t="shared" si="7"/>
        <v>1.7599999999999909</v>
      </c>
      <c r="U108" s="18">
        <f t="shared" si="8"/>
        <v>229.5</v>
      </c>
      <c r="V108" s="18">
        <f t="shared" si="9"/>
        <v>194.49152542372883</v>
      </c>
      <c r="W108" s="24">
        <f t="shared" si="10"/>
        <v>0.37046004842615016</v>
      </c>
      <c r="X108" s="22"/>
    </row>
    <row r="109" spans="1:24" x14ac:dyDescent="0.25">
      <c r="A109" s="9" t="s">
        <v>24</v>
      </c>
      <c r="B109" s="9" t="s">
        <v>81</v>
      </c>
      <c r="C109" s="10"/>
      <c r="D109" s="9" t="s">
        <v>254</v>
      </c>
      <c r="E109" s="9" t="s">
        <v>255</v>
      </c>
      <c r="F109" s="12">
        <v>1</v>
      </c>
      <c r="G109" s="14">
        <v>1557.12</v>
      </c>
      <c r="H109" s="18">
        <f t="shared" si="0"/>
        <v>1557.12</v>
      </c>
      <c r="I109" s="19">
        <v>0.18</v>
      </c>
      <c r="J109" s="18">
        <f t="shared" si="1"/>
        <v>1837.4015999999997</v>
      </c>
      <c r="K109" s="18">
        <v>2062</v>
      </c>
      <c r="L109" s="18">
        <f t="shared" si="2"/>
        <v>2062</v>
      </c>
      <c r="M109" s="18">
        <f t="shared" si="3"/>
        <v>2433.16</v>
      </c>
      <c r="N109" s="12">
        <v>100</v>
      </c>
      <c r="O109" s="19">
        <v>0.18</v>
      </c>
      <c r="P109" s="18">
        <f t="shared" si="4"/>
        <v>118</v>
      </c>
      <c r="Q109" s="12">
        <v>20</v>
      </c>
      <c r="R109" s="18">
        <f t="shared" si="5"/>
        <v>2551.16</v>
      </c>
      <c r="S109" s="22">
        <f t="shared" si="6"/>
        <v>2549</v>
      </c>
      <c r="T109" s="18">
        <f t="shared" si="7"/>
        <v>-2.1599999999998545</v>
      </c>
      <c r="U109" s="18">
        <f t="shared" si="8"/>
        <v>691.59840000000031</v>
      </c>
      <c r="V109" s="18">
        <f t="shared" si="9"/>
        <v>586.10033898305119</v>
      </c>
      <c r="W109" s="24">
        <f t="shared" si="10"/>
        <v>0.37640023824949342</v>
      </c>
      <c r="X109" s="22"/>
    </row>
    <row r="110" spans="1:24" x14ac:dyDescent="0.25">
      <c r="A110" s="9" t="s">
        <v>24</v>
      </c>
      <c r="B110" s="9" t="s">
        <v>77</v>
      </c>
      <c r="C110" s="10"/>
      <c r="D110" s="9" t="s">
        <v>256</v>
      </c>
      <c r="E110" s="9" t="s">
        <v>257</v>
      </c>
      <c r="F110" s="12">
        <v>1</v>
      </c>
      <c r="G110" s="14">
        <v>1242</v>
      </c>
      <c r="H110" s="18">
        <f t="shared" si="0"/>
        <v>1242</v>
      </c>
      <c r="I110" s="19">
        <v>0.18</v>
      </c>
      <c r="J110" s="18">
        <f t="shared" si="1"/>
        <v>1465.56</v>
      </c>
      <c r="K110" s="18">
        <v>1565</v>
      </c>
      <c r="L110" s="18">
        <f t="shared" si="2"/>
        <v>1565</v>
      </c>
      <c r="M110" s="18">
        <f t="shared" si="3"/>
        <v>1846.6999999999998</v>
      </c>
      <c r="N110" s="12">
        <v>50</v>
      </c>
      <c r="O110" s="19">
        <v>0.18</v>
      </c>
      <c r="P110" s="18">
        <f t="shared" si="4"/>
        <v>59</v>
      </c>
      <c r="Q110" s="12">
        <v>0</v>
      </c>
      <c r="R110" s="18">
        <f t="shared" si="5"/>
        <v>1905.6999999999998</v>
      </c>
      <c r="S110" s="22">
        <f t="shared" si="6"/>
        <v>1899</v>
      </c>
      <c r="T110" s="18">
        <f t="shared" si="7"/>
        <v>-6.6999999999998181</v>
      </c>
      <c r="U110" s="18">
        <f t="shared" si="8"/>
        <v>433.44000000000005</v>
      </c>
      <c r="V110" s="18">
        <f t="shared" si="9"/>
        <v>367.32203389830516</v>
      </c>
      <c r="W110" s="24">
        <f t="shared" si="10"/>
        <v>0.29575042986981093</v>
      </c>
      <c r="X110" s="22"/>
    </row>
    <row r="111" spans="1:24" x14ac:dyDescent="0.25">
      <c r="A111" s="9" t="s">
        <v>24</v>
      </c>
      <c r="B111" s="9" t="s">
        <v>77</v>
      </c>
      <c r="C111" s="10"/>
      <c r="D111" s="9" t="s">
        <v>258</v>
      </c>
      <c r="E111" s="9" t="s">
        <v>259</v>
      </c>
      <c r="F111" s="12">
        <v>1</v>
      </c>
      <c r="G111" s="14">
        <v>1549</v>
      </c>
      <c r="H111" s="18">
        <f t="shared" si="0"/>
        <v>1549</v>
      </c>
      <c r="I111" s="19">
        <v>0.12</v>
      </c>
      <c r="J111" s="18">
        <f t="shared" si="1"/>
        <v>1734.88</v>
      </c>
      <c r="K111" s="18">
        <v>1620</v>
      </c>
      <c r="L111" s="18">
        <f t="shared" si="2"/>
        <v>1620</v>
      </c>
      <c r="M111" s="18">
        <f t="shared" si="3"/>
        <v>1814.4</v>
      </c>
      <c r="N111" s="12">
        <v>0</v>
      </c>
      <c r="O111" s="19">
        <v>0.18</v>
      </c>
      <c r="P111" s="18">
        <f t="shared" si="4"/>
        <v>0</v>
      </c>
      <c r="Q111" s="12">
        <v>0</v>
      </c>
      <c r="R111" s="18">
        <f t="shared" si="5"/>
        <v>1814.4</v>
      </c>
      <c r="S111" s="22">
        <f t="shared" si="6"/>
        <v>1799</v>
      </c>
      <c r="T111" s="18">
        <f t="shared" si="7"/>
        <v>-15.400000000000091</v>
      </c>
      <c r="U111" s="18">
        <f t="shared" si="8"/>
        <v>64.119999999999891</v>
      </c>
      <c r="V111" s="18">
        <f t="shared" si="9"/>
        <v>57.249999999999901</v>
      </c>
      <c r="W111" s="24">
        <f t="shared" si="10"/>
        <v>3.6959328599096126E-2</v>
      </c>
      <c r="X111" s="22"/>
    </row>
    <row r="112" spans="1:24" x14ac:dyDescent="0.25">
      <c r="A112" s="9" t="s">
        <v>24</v>
      </c>
      <c r="B112" s="9" t="s">
        <v>77</v>
      </c>
      <c r="C112" s="10"/>
      <c r="D112" s="9" t="s">
        <v>260</v>
      </c>
      <c r="E112" s="9" t="s">
        <v>261</v>
      </c>
      <c r="F112" s="12">
        <v>1</v>
      </c>
      <c r="G112" s="14">
        <v>2299</v>
      </c>
      <c r="H112" s="18">
        <f t="shared" si="0"/>
        <v>2299</v>
      </c>
      <c r="I112" s="19">
        <v>0.18</v>
      </c>
      <c r="J112" s="18">
        <f t="shared" si="1"/>
        <v>2712.8199999999997</v>
      </c>
      <c r="K112" s="18">
        <v>2897</v>
      </c>
      <c r="L112" s="18">
        <f t="shared" si="2"/>
        <v>2897</v>
      </c>
      <c r="M112" s="18">
        <f t="shared" si="3"/>
        <v>3418.46</v>
      </c>
      <c r="N112" s="12">
        <v>500</v>
      </c>
      <c r="O112" s="19">
        <v>0.18</v>
      </c>
      <c r="P112" s="18">
        <f t="shared" si="4"/>
        <v>590</v>
      </c>
      <c r="Q112" s="12">
        <v>50</v>
      </c>
      <c r="R112" s="18">
        <f t="shared" si="5"/>
        <v>4008.46</v>
      </c>
      <c r="S112" s="22">
        <f t="shared" si="6"/>
        <v>3999</v>
      </c>
      <c r="T112" s="18">
        <f t="shared" si="7"/>
        <v>-9.4600000000000364</v>
      </c>
      <c r="U112" s="18">
        <f t="shared" si="8"/>
        <v>1236.1800000000003</v>
      </c>
      <c r="V112" s="18">
        <f t="shared" si="9"/>
        <v>1047.6101694915258</v>
      </c>
      <c r="W112" s="24">
        <f t="shared" si="10"/>
        <v>0.45568080447652276</v>
      </c>
      <c r="X112" s="22"/>
    </row>
    <row r="113" spans="1:24" x14ac:dyDescent="0.25">
      <c r="A113" s="9" t="s">
        <v>99</v>
      </c>
      <c r="B113" s="9" t="s">
        <v>262</v>
      </c>
      <c r="C113" s="10"/>
      <c r="D113" s="9" t="s">
        <v>263</v>
      </c>
      <c r="E113" s="9" t="s">
        <v>264</v>
      </c>
      <c r="F113" s="12">
        <v>1</v>
      </c>
      <c r="G113" s="14">
        <v>1186</v>
      </c>
      <c r="H113" s="18">
        <f t="shared" si="0"/>
        <v>1186</v>
      </c>
      <c r="I113" s="19">
        <v>0.18</v>
      </c>
      <c r="J113" s="18">
        <f t="shared" si="1"/>
        <v>1399.48</v>
      </c>
      <c r="K113" s="18">
        <v>1621</v>
      </c>
      <c r="L113" s="18">
        <f t="shared" si="2"/>
        <v>1621</v>
      </c>
      <c r="M113" s="18">
        <f t="shared" si="3"/>
        <v>1912.78</v>
      </c>
      <c r="N113" s="12">
        <v>750</v>
      </c>
      <c r="O113" s="19">
        <v>0.18</v>
      </c>
      <c r="P113" s="18">
        <f t="shared" si="4"/>
        <v>885</v>
      </c>
      <c r="Q113" s="12">
        <v>100</v>
      </c>
      <c r="R113" s="18">
        <f t="shared" si="5"/>
        <v>2797.7799999999997</v>
      </c>
      <c r="S113" s="22">
        <f t="shared" si="6"/>
        <v>2799</v>
      </c>
      <c r="T113" s="18">
        <f t="shared" si="7"/>
        <v>1.2200000000002547</v>
      </c>
      <c r="U113" s="18">
        <f t="shared" si="8"/>
        <v>1299.52</v>
      </c>
      <c r="V113" s="18">
        <f t="shared" si="9"/>
        <v>1101.2881355932204</v>
      </c>
      <c r="W113" s="24">
        <f t="shared" si="10"/>
        <v>0.92857347014605429</v>
      </c>
      <c r="X113" s="22"/>
    </row>
    <row r="114" spans="1:24" x14ac:dyDescent="0.25">
      <c r="A114" s="9" t="s">
        <v>24</v>
      </c>
      <c r="B114" s="9" t="s">
        <v>150</v>
      </c>
      <c r="C114" s="10"/>
      <c r="D114" s="9" t="s">
        <v>263</v>
      </c>
      <c r="E114" s="9" t="s">
        <v>265</v>
      </c>
      <c r="F114" s="12">
        <v>1</v>
      </c>
      <c r="G114" s="14">
        <v>2575</v>
      </c>
      <c r="H114" s="18">
        <f t="shared" si="0"/>
        <v>2575</v>
      </c>
      <c r="I114" s="19">
        <v>0.18</v>
      </c>
      <c r="J114" s="18">
        <f t="shared" si="1"/>
        <v>3038.5</v>
      </c>
      <c r="K114" s="18">
        <v>3360</v>
      </c>
      <c r="L114" s="18">
        <f t="shared" si="2"/>
        <v>3360</v>
      </c>
      <c r="M114" s="18">
        <f t="shared" si="3"/>
        <v>3964.7999999999997</v>
      </c>
      <c r="N114" s="12">
        <v>750</v>
      </c>
      <c r="O114" s="19">
        <v>0.18</v>
      </c>
      <c r="P114" s="18">
        <f t="shared" si="4"/>
        <v>885</v>
      </c>
      <c r="Q114" s="12">
        <v>100</v>
      </c>
      <c r="R114" s="18">
        <f t="shared" si="5"/>
        <v>4849.7999999999993</v>
      </c>
      <c r="S114" s="22">
        <f t="shared" si="6"/>
        <v>4849</v>
      </c>
      <c r="T114" s="18">
        <f t="shared" si="7"/>
        <v>-0.7999999999992724</v>
      </c>
      <c r="U114" s="18">
        <f t="shared" si="8"/>
        <v>1710.5</v>
      </c>
      <c r="V114" s="18">
        <f t="shared" si="9"/>
        <v>1449.5762711864409</v>
      </c>
      <c r="W114" s="24">
        <f t="shared" si="10"/>
        <v>0.56294224123745273</v>
      </c>
      <c r="X114" s="22"/>
    </row>
    <row r="115" spans="1:24" x14ac:dyDescent="0.25">
      <c r="A115" s="9" t="s">
        <v>24</v>
      </c>
      <c r="B115" s="9" t="s">
        <v>81</v>
      </c>
      <c r="C115" s="10"/>
      <c r="D115" s="9" t="s">
        <v>263</v>
      </c>
      <c r="E115" s="9" t="s">
        <v>266</v>
      </c>
      <c r="F115" s="12">
        <v>1</v>
      </c>
      <c r="G115" s="14">
        <v>4685.96</v>
      </c>
      <c r="H115" s="18">
        <f t="shared" si="0"/>
        <v>4685.96</v>
      </c>
      <c r="I115" s="19">
        <v>0.18</v>
      </c>
      <c r="J115" s="18">
        <f t="shared" si="1"/>
        <v>5529.4327999999996</v>
      </c>
      <c r="K115" s="18">
        <v>5980</v>
      </c>
      <c r="L115" s="18">
        <f t="shared" si="2"/>
        <v>5980</v>
      </c>
      <c r="M115" s="18">
        <f t="shared" si="3"/>
        <v>7056.4</v>
      </c>
      <c r="N115" s="12">
        <v>1500</v>
      </c>
      <c r="O115" s="19">
        <v>0.18</v>
      </c>
      <c r="P115" s="18">
        <f t="shared" si="4"/>
        <v>1770</v>
      </c>
      <c r="Q115" s="12">
        <v>350</v>
      </c>
      <c r="R115" s="18">
        <f t="shared" si="5"/>
        <v>8826.4</v>
      </c>
      <c r="S115" s="22">
        <f t="shared" si="6"/>
        <v>8849</v>
      </c>
      <c r="T115" s="18">
        <f t="shared" si="7"/>
        <v>22.600000000000364</v>
      </c>
      <c r="U115" s="18">
        <f t="shared" si="8"/>
        <v>2969.5672000000004</v>
      </c>
      <c r="V115" s="18">
        <f t="shared" si="9"/>
        <v>2516.5823728813566</v>
      </c>
      <c r="W115" s="24">
        <f t="shared" si="10"/>
        <v>0.53704734416882705</v>
      </c>
      <c r="X115" s="22"/>
    </row>
    <row r="116" spans="1:24" x14ac:dyDescent="0.25">
      <c r="A116" s="9" t="s">
        <v>24</v>
      </c>
      <c r="B116" s="9" t="s">
        <v>134</v>
      </c>
      <c r="C116" s="10"/>
      <c r="D116" s="9" t="s">
        <v>267</v>
      </c>
      <c r="E116" s="9" t="s">
        <v>268</v>
      </c>
      <c r="F116" s="12">
        <v>1</v>
      </c>
      <c r="G116" s="14">
        <v>198</v>
      </c>
      <c r="H116" s="18">
        <f t="shared" si="0"/>
        <v>198</v>
      </c>
      <c r="I116" s="19">
        <v>0.18</v>
      </c>
      <c r="J116" s="18">
        <f t="shared" si="1"/>
        <v>233.64</v>
      </c>
      <c r="K116" s="18">
        <v>249</v>
      </c>
      <c r="L116" s="18">
        <f t="shared" si="2"/>
        <v>249</v>
      </c>
      <c r="M116" s="18">
        <f t="shared" si="3"/>
        <v>293.82</v>
      </c>
      <c r="N116" s="12">
        <v>0</v>
      </c>
      <c r="O116" s="19">
        <v>0.18</v>
      </c>
      <c r="P116" s="18">
        <f t="shared" si="4"/>
        <v>0</v>
      </c>
      <c r="Q116" s="12">
        <v>0</v>
      </c>
      <c r="R116" s="18">
        <f t="shared" si="5"/>
        <v>293.82</v>
      </c>
      <c r="S116" s="22">
        <f t="shared" si="6"/>
        <v>299</v>
      </c>
      <c r="T116" s="18">
        <f t="shared" si="7"/>
        <v>5.1800000000000068</v>
      </c>
      <c r="U116" s="18">
        <f t="shared" si="8"/>
        <v>65.360000000000014</v>
      </c>
      <c r="V116" s="18">
        <f t="shared" si="9"/>
        <v>55.389830508474589</v>
      </c>
      <c r="W116" s="24">
        <f t="shared" si="10"/>
        <v>0.27974661872966966</v>
      </c>
      <c r="X116" s="22"/>
    </row>
    <row r="117" spans="1:24" x14ac:dyDescent="0.25">
      <c r="A117" s="9" t="s">
        <v>24</v>
      </c>
      <c r="B117" s="9" t="s">
        <v>134</v>
      </c>
      <c r="C117" s="10"/>
      <c r="D117" s="9" t="s">
        <v>269</v>
      </c>
      <c r="E117" s="9" t="s">
        <v>270</v>
      </c>
      <c r="F117" s="12">
        <v>1</v>
      </c>
      <c r="G117" s="14">
        <v>8034</v>
      </c>
      <c r="H117" s="18">
        <f t="shared" si="0"/>
        <v>8034</v>
      </c>
      <c r="I117" s="19">
        <v>0.18</v>
      </c>
      <c r="J117" s="18">
        <f t="shared" si="1"/>
        <v>9480.119999999999</v>
      </c>
      <c r="K117" s="18">
        <v>10125</v>
      </c>
      <c r="L117" s="18">
        <f t="shared" si="2"/>
        <v>10125</v>
      </c>
      <c r="M117" s="18">
        <f t="shared" si="3"/>
        <v>11947.5</v>
      </c>
      <c r="N117" s="12">
        <v>600</v>
      </c>
      <c r="O117" s="19">
        <v>0.18</v>
      </c>
      <c r="P117" s="18">
        <f t="shared" si="4"/>
        <v>708</v>
      </c>
      <c r="Q117" s="12">
        <v>100</v>
      </c>
      <c r="R117" s="18">
        <f t="shared" si="5"/>
        <v>12655.5</v>
      </c>
      <c r="S117" s="22">
        <f t="shared" si="6"/>
        <v>12649</v>
      </c>
      <c r="T117" s="18">
        <f t="shared" si="7"/>
        <v>-6.5</v>
      </c>
      <c r="U117" s="18">
        <f t="shared" si="8"/>
        <v>3068.880000000001</v>
      </c>
      <c r="V117" s="18">
        <f t="shared" si="9"/>
        <v>2600.7457627118656</v>
      </c>
      <c r="W117" s="24">
        <f t="shared" si="10"/>
        <v>0.3237174212984647</v>
      </c>
      <c r="X117" s="22"/>
    </row>
    <row r="118" spans="1:24" x14ac:dyDescent="0.25">
      <c r="A118" s="9" t="s">
        <v>24</v>
      </c>
      <c r="B118" s="9" t="s">
        <v>52</v>
      </c>
      <c r="C118" s="10"/>
      <c r="D118" s="9" t="s">
        <v>269</v>
      </c>
      <c r="E118" s="9" t="s">
        <v>271</v>
      </c>
      <c r="F118" s="12">
        <v>1</v>
      </c>
      <c r="G118" s="14">
        <v>6077</v>
      </c>
      <c r="H118" s="18">
        <f t="shared" si="0"/>
        <v>6077</v>
      </c>
      <c r="I118" s="19">
        <v>0.18</v>
      </c>
      <c r="J118" s="18">
        <f t="shared" si="1"/>
        <v>7170.86</v>
      </c>
      <c r="K118" s="18">
        <v>8047</v>
      </c>
      <c r="L118" s="18">
        <f t="shared" si="2"/>
        <v>8047</v>
      </c>
      <c r="M118" s="18">
        <f t="shared" si="3"/>
        <v>9495.4599999999991</v>
      </c>
      <c r="N118" s="12">
        <v>750</v>
      </c>
      <c r="O118" s="19">
        <v>0.18</v>
      </c>
      <c r="P118" s="18">
        <f t="shared" si="4"/>
        <v>885</v>
      </c>
      <c r="Q118" s="12">
        <v>50</v>
      </c>
      <c r="R118" s="18">
        <f t="shared" si="5"/>
        <v>10380.459999999999</v>
      </c>
      <c r="S118" s="22">
        <f t="shared" si="6"/>
        <v>10399</v>
      </c>
      <c r="T118" s="18">
        <f t="shared" si="7"/>
        <v>18.540000000000873</v>
      </c>
      <c r="U118" s="18">
        <f t="shared" si="8"/>
        <v>3178.1400000000003</v>
      </c>
      <c r="V118" s="18">
        <f t="shared" si="9"/>
        <v>2693.3389830508477</v>
      </c>
      <c r="W118" s="24">
        <f t="shared" si="10"/>
        <v>0.44320207060241035</v>
      </c>
      <c r="X118" s="22"/>
    </row>
    <row r="119" spans="1:24" x14ac:dyDescent="0.25">
      <c r="A119" s="9" t="s">
        <v>24</v>
      </c>
      <c r="B119" s="9" t="s">
        <v>58</v>
      </c>
      <c r="C119" s="10"/>
      <c r="D119" s="9" t="s">
        <v>269</v>
      </c>
      <c r="E119" s="9" t="s">
        <v>272</v>
      </c>
      <c r="F119" s="12">
        <v>1</v>
      </c>
      <c r="G119" s="14">
        <v>5358.66</v>
      </c>
      <c r="H119" s="18">
        <f t="shared" si="0"/>
        <v>5358.66</v>
      </c>
      <c r="I119" s="19">
        <v>0.18</v>
      </c>
      <c r="J119" s="18">
        <f t="shared" si="1"/>
        <v>6323.2187999999996</v>
      </c>
      <c r="K119" s="18">
        <v>7325</v>
      </c>
      <c r="L119" s="18">
        <f t="shared" si="2"/>
        <v>7325</v>
      </c>
      <c r="M119" s="18">
        <f t="shared" si="3"/>
        <v>8643.5</v>
      </c>
      <c r="N119" s="12">
        <v>650</v>
      </c>
      <c r="O119" s="19">
        <v>0.18</v>
      </c>
      <c r="P119" s="18">
        <f t="shared" si="4"/>
        <v>767</v>
      </c>
      <c r="Q119" s="12">
        <v>50</v>
      </c>
      <c r="R119" s="18">
        <f t="shared" si="5"/>
        <v>9410.5</v>
      </c>
      <c r="S119" s="22">
        <f t="shared" si="6"/>
        <v>9399</v>
      </c>
      <c r="T119" s="18">
        <f t="shared" si="7"/>
        <v>-11.5</v>
      </c>
      <c r="U119" s="18">
        <f t="shared" si="8"/>
        <v>3025.7812000000004</v>
      </c>
      <c r="V119" s="18">
        <f t="shared" si="9"/>
        <v>2564.221355932204</v>
      </c>
      <c r="W119" s="24">
        <f t="shared" si="10"/>
        <v>0.47851913648789141</v>
      </c>
      <c r="X119" s="22"/>
    </row>
    <row r="120" spans="1:24" x14ac:dyDescent="0.25">
      <c r="A120" s="9" t="s">
        <v>24</v>
      </c>
      <c r="B120" s="9" t="s">
        <v>63</v>
      </c>
      <c r="C120" s="10"/>
      <c r="D120" s="9" t="s">
        <v>269</v>
      </c>
      <c r="E120" s="9" t="s">
        <v>273</v>
      </c>
      <c r="F120" s="12">
        <v>1</v>
      </c>
      <c r="G120" s="14">
        <v>15426</v>
      </c>
      <c r="H120" s="18">
        <f t="shared" si="0"/>
        <v>15426</v>
      </c>
      <c r="I120" s="19">
        <v>0.18</v>
      </c>
      <c r="J120" s="18">
        <f t="shared" si="1"/>
        <v>18202.68</v>
      </c>
      <c r="K120" s="18">
        <v>19439</v>
      </c>
      <c r="L120" s="18">
        <f t="shared" si="2"/>
        <v>19439</v>
      </c>
      <c r="M120" s="18">
        <f t="shared" si="3"/>
        <v>22938.02</v>
      </c>
      <c r="N120" s="12">
        <v>650</v>
      </c>
      <c r="O120" s="19">
        <v>0.18</v>
      </c>
      <c r="P120" s="18">
        <f t="shared" si="4"/>
        <v>767</v>
      </c>
      <c r="Q120" s="12">
        <v>100</v>
      </c>
      <c r="R120" s="18">
        <f t="shared" si="5"/>
        <v>23705.02</v>
      </c>
      <c r="S120" s="22">
        <f t="shared" si="6"/>
        <v>23699</v>
      </c>
      <c r="T120" s="18">
        <f t="shared" si="7"/>
        <v>-6.0200000000004366</v>
      </c>
      <c r="U120" s="18">
        <f t="shared" si="8"/>
        <v>5396.32</v>
      </c>
      <c r="V120" s="18">
        <f t="shared" si="9"/>
        <v>4573.1525423728817</v>
      </c>
      <c r="W120" s="24">
        <f t="shared" si="10"/>
        <v>0.29645744472791918</v>
      </c>
      <c r="X120" s="22"/>
    </row>
    <row r="121" spans="1:24" x14ac:dyDescent="0.25">
      <c r="A121" s="9" t="s">
        <v>24</v>
      </c>
      <c r="B121" s="9" t="s">
        <v>44</v>
      </c>
      <c r="C121" s="10"/>
      <c r="D121" s="9" t="s">
        <v>274</v>
      </c>
      <c r="E121" s="9" t="s">
        <v>275</v>
      </c>
      <c r="F121" s="12">
        <v>1</v>
      </c>
      <c r="G121" s="14">
        <v>4193</v>
      </c>
      <c r="H121" s="18">
        <f t="shared" si="0"/>
        <v>4193</v>
      </c>
      <c r="I121" s="19">
        <v>0.18</v>
      </c>
      <c r="J121" s="18">
        <f t="shared" si="1"/>
        <v>4947.74</v>
      </c>
      <c r="K121" s="18">
        <v>5076</v>
      </c>
      <c r="L121" s="18">
        <f t="shared" si="2"/>
        <v>5076</v>
      </c>
      <c r="M121" s="18">
        <f t="shared" si="3"/>
        <v>5989.6799999999994</v>
      </c>
      <c r="N121" s="12">
        <v>0</v>
      </c>
      <c r="O121" s="19">
        <v>0.18</v>
      </c>
      <c r="P121" s="18">
        <f t="shared" si="4"/>
        <v>0</v>
      </c>
      <c r="Q121" s="12">
        <v>0</v>
      </c>
      <c r="R121" s="18">
        <f t="shared" si="5"/>
        <v>5989.6799999999994</v>
      </c>
      <c r="S121" s="22">
        <f t="shared" si="6"/>
        <v>5999</v>
      </c>
      <c r="T121" s="18">
        <f t="shared" si="7"/>
        <v>9.3200000000006185</v>
      </c>
      <c r="U121" s="18">
        <f t="shared" si="8"/>
        <v>1051.2600000000002</v>
      </c>
      <c r="V121" s="18">
        <f t="shared" si="9"/>
        <v>890.89830508474597</v>
      </c>
      <c r="W121" s="24">
        <f t="shared" si="10"/>
        <v>0.21247276534336895</v>
      </c>
      <c r="X121" s="22"/>
    </row>
    <row r="122" spans="1:24" x14ac:dyDescent="0.25">
      <c r="A122" s="9" t="s">
        <v>24</v>
      </c>
      <c r="B122" s="9" t="s">
        <v>81</v>
      </c>
      <c r="C122" s="10"/>
      <c r="D122" s="9" t="s">
        <v>276</v>
      </c>
      <c r="E122" s="9" t="s">
        <v>277</v>
      </c>
      <c r="F122" s="12">
        <v>1</v>
      </c>
      <c r="G122" s="14">
        <v>1094.8</v>
      </c>
      <c r="H122" s="18">
        <f t="shared" si="0"/>
        <v>1094.8</v>
      </c>
      <c r="I122" s="19">
        <v>0.18</v>
      </c>
      <c r="J122" s="18">
        <f t="shared" si="1"/>
        <v>1291.8639999999998</v>
      </c>
      <c r="K122" s="18">
        <v>1325</v>
      </c>
      <c r="L122" s="18">
        <f t="shared" si="2"/>
        <v>1325</v>
      </c>
      <c r="M122" s="18">
        <f t="shared" si="3"/>
        <v>1563.5</v>
      </c>
      <c r="N122" s="12">
        <v>0</v>
      </c>
      <c r="O122" s="19">
        <v>0.18</v>
      </c>
      <c r="P122" s="18">
        <f t="shared" si="4"/>
        <v>0</v>
      </c>
      <c r="Q122" s="12">
        <v>0</v>
      </c>
      <c r="R122" s="18">
        <f t="shared" si="5"/>
        <v>1563.5</v>
      </c>
      <c r="S122" s="22">
        <f t="shared" si="6"/>
        <v>1549</v>
      </c>
      <c r="T122" s="18">
        <f t="shared" si="7"/>
        <v>-14.5</v>
      </c>
      <c r="U122" s="18">
        <f t="shared" si="8"/>
        <v>257.13600000000019</v>
      </c>
      <c r="V122" s="18">
        <f t="shared" si="9"/>
        <v>217.91186440677984</v>
      </c>
      <c r="W122" s="24">
        <f t="shared" si="10"/>
        <v>0.19904262368174996</v>
      </c>
      <c r="X122" s="22"/>
    </row>
    <row r="123" spans="1:24" x14ac:dyDescent="0.25">
      <c r="A123" s="9" t="s">
        <v>24</v>
      </c>
      <c r="B123" s="9" t="s">
        <v>81</v>
      </c>
      <c r="C123" s="10"/>
      <c r="D123" s="9" t="s">
        <v>278</v>
      </c>
      <c r="E123" s="9" t="s">
        <v>279</v>
      </c>
      <c r="F123" s="12">
        <v>1</v>
      </c>
      <c r="G123" s="14">
        <v>633</v>
      </c>
      <c r="H123" s="18">
        <f t="shared" si="0"/>
        <v>633</v>
      </c>
      <c r="I123" s="19">
        <v>0.18</v>
      </c>
      <c r="J123" s="18">
        <f t="shared" si="1"/>
        <v>746.93999999999994</v>
      </c>
      <c r="K123" s="18">
        <v>838</v>
      </c>
      <c r="L123" s="18">
        <f t="shared" si="2"/>
        <v>838</v>
      </c>
      <c r="M123" s="18">
        <f t="shared" si="3"/>
        <v>988.83999999999992</v>
      </c>
      <c r="N123" s="12">
        <v>300</v>
      </c>
      <c r="O123" s="19">
        <v>0.18</v>
      </c>
      <c r="P123" s="18">
        <f t="shared" si="4"/>
        <v>354</v>
      </c>
      <c r="Q123" s="12">
        <v>150</v>
      </c>
      <c r="R123" s="18">
        <f t="shared" si="5"/>
        <v>1342.84</v>
      </c>
      <c r="S123" s="22">
        <f t="shared" si="6"/>
        <v>1349</v>
      </c>
      <c r="T123" s="18">
        <f t="shared" si="7"/>
        <v>6.1600000000000819</v>
      </c>
      <c r="U123" s="18">
        <f t="shared" si="8"/>
        <v>452.06000000000006</v>
      </c>
      <c r="V123" s="18">
        <f t="shared" si="9"/>
        <v>383.10169491525431</v>
      </c>
      <c r="W123" s="24">
        <f t="shared" si="10"/>
        <v>0.60521594773341914</v>
      </c>
      <c r="X123" s="22"/>
    </row>
    <row r="124" spans="1:24" x14ac:dyDescent="0.25">
      <c r="A124" s="9" t="s">
        <v>24</v>
      </c>
      <c r="B124" s="9" t="s">
        <v>58</v>
      </c>
      <c r="C124" s="10"/>
      <c r="D124" s="9" t="s">
        <v>280</v>
      </c>
      <c r="E124" s="9" t="s">
        <v>281</v>
      </c>
      <c r="F124" s="12">
        <v>1</v>
      </c>
      <c r="G124" s="14">
        <v>1958</v>
      </c>
      <c r="H124" s="18">
        <f t="shared" si="0"/>
        <v>1958</v>
      </c>
      <c r="I124" s="19">
        <v>0.18</v>
      </c>
      <c r="J124" s="18">
        <f t="shared" si="1"/>
        <v>2310.44</v>
      </c>
      <c r="K124" s="18">
        <v>2592</v>
      </c>
      <c r="L124" s="18">
        <f t="shared" si="2"/>
        <v>2592</v>
      </c>
      <c r="M124" s="18">
        <f t="shared" si="3"/>
        <v>3058.56</v>
      </c>
      <c r="N124" s="12">
        <v>300</v>
      </c>
      <c r="O124" s="19">
        <v>0.18</v>
      </c>
      <c r="P124" s="18">
        <f t="shared" si="4"/>
        <v>354</v>
      </c>
      <c r="Q124" s="12">
        <v>75</v>
      </c>
      <c r="R124" s="18">
        <f t="shared" si="5"/>
        <v>3412.56</v>
      </c>
      <c r="S124" s="22">
        <f t="shared" si="6"/>
        <v>3399</v>
      </c>
      <c r="T124" s="18">
        <f t="shared" si="7"/>
        <v>-13.559999999999945</v>
      </c>
      <c r="U124" s="18">
        <f t="shared" si="8"/>
        <v>1013.56</v>
      </c>
      <c r="V124" s="18">
        <f t="shared" si="9"/>
        <v>858.94915254237287</v>
      </c>
      <c r="W124" s="24">
        <f t="shared" si="10"/>
        <v>0.43868700334135491</v>
      </c>
      <c r="X124" s="22"/>
    </row>
    <row r="125" spans="1:24" x14ac:dyDescent="0.25">
      <c r="A125" s="9" t="s">
        <v>24</v>
      </c>
      <c r="B125" s="9" t="s">
        <v>58</v>
      </c>
      <c r="C125" s="10"/>
      <c r="D125" s="9" t="s">
        <v>280</v>
      </c>
      <c r="E125" s="9" t="s">
        <v>282</v>
      </c>
      <c r="F125" s="12">
        <v>1</v>
      </c>
      <c r="G125" s="14">
        <v>1282</v>
      </c>
      <c r="H125" s="18">
        <f t="shared" si="0"/>
        <v>1282</v>
      </c>
      <c r="I125" s="19">
        <v>0.18</v>
      </c>
      <c r="J125" s="18">
        <f t="shared" si="1"/>
        <v>1512.76</v>
      </c>
      <c r="K125" s="18">
        <v>1697</v>
      </c>
      <c r="L125" s="18">
        <f t="shared" si="2"/>
        <v>1697</v>
      </c>
      <c r="M125" s="18">
        <f t="shared" si="3"/>
        <v>2002.4599999999998</v>
      </c>
      <c r="N125" s="12">
        <v>300</v>
      </c>
      <c r="O125" s="19">
        <v>0.18</v>
      </c>
      <c r="P125" s="18">
        <f t="shared" si="4"/>
        <v>354</v>
      </c>
      <c r="Q125" s="12">
        <v>0</v>
      </c>
      <c r="R125" s="18">
        <f t="shared" si="5"/>
        <v>2356.46</v>
      </c>
      <c r="S125" s="22">
        <f t="shared" si="6"/>
        <v>2349</v>
      </c>
      <c r="T125" s="18">
        <f t="shared" si="7"/>
        <v>-7.4600000000000364</v>
      </c>
      <c r="U125" s="18">
        <f t="shared" si="8"/>
        <v>836.24</v>
      </c>
      <c r="V125" s="18">
        <f t="shared" si="9"/>
        <v>708.67796610169501</v>
      </c>
      <c r="W125" s="24">
        <f t="shared" si="10"/>
        <v>0.55279092519633</v>
      </c>
      <c r="X125" s="22"/>
    </row>
    <row r="126" spans="1:24" x14ac:dyDescent="0.25">
      <c r="A126" s="9" t="s">
        <v>24</v>
      </c>
      <c r="B126" s="9" t="s">
        <v>44</v>
      </c>
      <c r="C126" s="10"/>
      <c r="D126" s="9" t="s">
        <v>283</v>
      </c>
      <c r="E126" s="9" t="s">
        <v>284</v>
      </c>
      <c r="F126" s="12">
        <v>1</v>
      </c>
      <c r="G126" s="14">
        <v>2628</v>
      </c>
      <c r="H126" s="18">
        <f t="shared" si="0"/>
        <v>2628</v>
      </c>
      <c r="I126" s="19">
        <v>0.18</v>
      </c>
      <c r="J126" s="18">
        <f t="shared" si="1"/>
        <v>3101.04</v>
      </c>
      <c r="K126" s="18">
        <v>3481</v>
      </c>
      <c r="L126" s="18">
        <f t="shared" si="2"/>
        <v>3481</v>
      </c>
      <c r="M126" s="18">
        <f t="shared" si="3"/>
        <v>4107.58</v>
      </c>
      <c r="N126" s="12">
        <v>300</v>
      </c>
      <c r="O126" s="19">
        <v>0.18</v>
      </c>
      <c r="P126" s="18">
        <f t="shared" si="4"/>
        <v>354</v>
      </c>
      <c r="Q126" s="12">
        <v>100</v>
      </c>
      <c r="R126" s="18">
        <f t="shared" si="5"/>
        <v>4461.58</v>
      </c>
      <c r="S126" s="22">
        <f t="shared" si="6"/>
        <v>4449</v>
      </c>
      <c r="T126" s="18">
        <f t="shared" si="7"/>
        <v>-12.579999999999927</v>
      </c>
      <c r="U126" s="18">
        <f t="shared" si="8"/>
        <v>1247.96</v>
      </c>
      <c r="V126" s="18">
        <f t="shared" si="9"/>
        <v>1057.5932203389832</v>
      </c>
      <c r="W126" s="24">
        <f t="shared" si="10"/>
        <v>0.40243273224466636</v>
      </c>
      <c r="X126" s="22"/>
    </row>
    <row r="127" spans="1:24" x14ac:dyDescent="0.25">
      <c r="A127" s="9" t="s">
        <v>24</v>
      </c>
      <c r="B127" s="9" t="s">
        <v>81</v>
      </c>
      <c r="C127" s="10"/>
      <c r="D127" s="9" t="s">
        <v>285</v>
      </c>
      <c r="E127" s="9" t="s">
        <v>286</v>
      </c>
      <c r="F127" s="12">
        <v>1</v>
      </c>
      <c r="G127" s="14">
        <v>3822</v>
      </c>
      <c r="H127" s="18">
        <f t="shared" si="0"/>
        <v>3822</v>
      </c>
      <c r="I127" s="19">
        <v>0.18</v>
      </c>
      <c r="J127" s="18">
        <f t="shared" si="1"/>
        <v>4509.96</v>
      </c>
      <c r="K127" s="18">
        <v>5061</v>
      </c>
      <c r="L127" s="18">
        <f t="shared" si="2"/>
        <v>5061</v>
      </c>
      <c r="M127" s="18">
        <f t="shared" si="3"/>
        <v>5971.98</v>
      </c>
      <c r="N127" s="12">
        <v>600</v>
      </c>
      <c r="O127" s="19">
        <v>0.18</v>
      </c>
      <c r="P127" s="18">
        <f t="shared" si="4"/>
        <v>708</v>
      </c>
      <c r="Q127" s="12">
        <v>75</v>
      </c>
      <c r="R127" s="18">
        <f t="shared" si="5"/>
        <v>6679.98</v>
      </c>
      <c r="S127" s="22">
        <f t="shared" si="6"/>
        <v>6699</v>
      </c>
      <c r="T127" s="18">
        <f t="shared" si="7"/>
        <v>19.020000000000437</v>
      </c>
      <c r="U127" s="18">
        <f t="shared" si="8"/>
        <v>2114.04</v>
      </c>
      <c r="V127" s="18">
        <f t="shared" si="9"/>
        <v>1791.5593220338983</v>
      </c>
      <c r="W127" s="24">
        <f t="shared" si="10"/>
        <v>0.46874916850703774</v>
      </c>
      <c r="X127" s="22"/>
    </row>
    <row r="128" spans="1:24" x14ac:dyDescent="0.25">
      <c r="A128" s="9" t="s">
        <v>24</v>
      </c>
      <c r="B128" s="9" t="s">
        <v>77</v>
      </c>
      <c r="C128" s="10"/>
      <c r="D128" s="9" t="s">
        <v>285</v>
      </c>
      <c r="E128" s="9" t="s">
        <v>287</v>
      </c>
      <c r="F128" s="12">
        <v>1</v>
      </c>
      <c r="G128" s="14">
        <v>1314</v>
      </c>
      <c r="H128" s="18">
        <f t="shared" si="0"/>
        <v>1314</v>
      </c>
      <c r="I128" s="19">
        <v>0.18</v>
      </c>
      <c r="J128" s="18">
        <f t="shared" si="1"/>
        <v>1550.52</v>
      </c>
      <c r="K128" s="18">
        <v>1656</v>
      </c>
      <c r="L128" s="18">
        <f t="shared" si="2"/>
        <v>1656</v>
      </c>
      <c r="M128" s="18">
        <f t="shared" si="3"/>
        <v>1954.08</v>
      </c>
      <c r="N128" s="12">
        <v>600</v>
      </c>
      <c r="O128" s="19">
        <v>0.18</v>
      </c>
      <c r="P128" s="18">
        <f t="shared" si="4"/>
        <v>708</v>
      </c>
      <c r="Q128" s="12">
        <v>100</v>
      </c>
      <c r="R128" s="18">
        <f t="shared" si="5"/>
        <v>2662.08</v>
      </c>
      <c r="S128" s="22">
        <f t="shared" si="6"/>
        <v>2649</v>
      </c>
      <c r="T128" s="18">
        <f t="shared" si="7"/>
        <v>-13.079999999999927</v>
      </c>
      <c r="U128" s="18">
        <f t="shared" si="8"/>
        <v>998.48</v>
      </c>
      <c r="V128" s="18">
        <f t="shared" si="9"/>
        <v>846.16949152542384</v>
      </c>
      <c r="W128" s="24">
        <f t="shared" si="10"/>
        <v>0.64396460542269696</v>
      </c>
      <c r="X128" s="22"/>
    </row>
    <row r="129" spans="1:24" x14ac:dyDescent="0.25">
      <c r="A129" s="9" t="s">
        <v>24</v>
      </c>
      <c r="B129" s="9" t="s">
        <v>25</v>
      </c>
      <c r="C129" s="10"/>
      <c r="D129" s="9" t="s">
        <v>288</v>
      </c>
      <c r="E129" s="9" t="s">
        <v>289</v>
      </c>
      <c r="F129" s="12">
        <v>1</v>
      </c>
      <c r="G129" s="14">
        <v>1899</v>
      </c>
      <c r="H129" s="18">
        <f t="shared" si="0"/>
        <v>1899</v>
      </c>
      <c r="I129" s="19">
        <v>0.18</v>
      </c>
      <c r="J129" s="18">
        <f t="shared" si="1"/>
        <v>2240.8199999999997</v>
      </c>
      <c r="K129" s="18">
        <v>2236</v>
      </c>
      <c r="L129" s="18">
        <f t="shared" si="2"/>
        <v>2236</v>
      </c>
      <c r="M129" s="18">
        <f t="shared" si="3"/>
        <v>2638.48</v>
      </c>
      <c r="N129" s="12">
        <v>100</v>
      </c>
      <c r="O129" s="19">
        <v>0.18</v>
      </c>
      <c r="P129" s="18">
        <f t="shared" si="4"/>
        <v>118</v>
      </c>
      <c r="Q129" s="12">
        <v>0</v>
      </c>
      <c r="R129" s="18">
        <f t="shared" si="5"/>
        <v>2756.48</v>
      </c>
      <c r="S129" s="22">
        <f t="shared" si="6"/>
        <v>2749</v>
      </c>
      <c r="T129" s="18">
        <f t="shared" si="7"/>
        <v>-7.4800000000000182</v>
      </c>
      <c r="U129" s="18">
        <f t="shared" si="8"/>
        <v>508.18000000000029</v>
      </c>
      <c r="V129" s="18">
        <f t="shared" si="9"/>
        <v>430.66101694915284</v>
      </c>
      <c r="W129" s="24">
        <f t="shared" si="10"/>
        <v>0.22678305263251861</v>
      </c>
      <c r="X129" s="22"/>
    </row>
    <row r="130" spans="1:24" x14ac:dyDescent="0.25">
      <c r="A130" s="9" t="s">
        <v>24</v>
      </c>
      <c r="B130" s="9" t="s">
        <v>77</v>
      </c>
      <c r="C130" s="10"/>
      <c r="D130" s="9" t="s">
        <v>290</v>
      </c>
      <c r="E130" s="9" t="s">
        <v>291</v>
      </c>
      <c r="F130" s="12">
        <v>1</v>
      </c>
      <c r="G130" s="14">
        <v>558</v>
      </c>
      <c r="H130" s="18">
        <f t="shared" si="0"/>
        <v>558</v>
      </c>
      <c r="I130" s="19">
        <v>0.18</v>
      </c>
      <c r="J130" s="18">
        <f t="shared" si="1"/>
        <v>658.43999999999994</v>
      </c>
      <c r="K130" s="18">
        <v>703</v>
      </c>
      <c r="L130" s="18">
        <f t="shared" si="2"/>
        <v>703</v>
      </c>
      <c r="M130" s="18">
        <f t="shared" si="3"/>
        <v>829.54</v>
      </c>
      <c r="N130" s="12">
        <v>100</v>
      </c>
      <c r="O130" s="19">
        <v>0.18</v>
      </c>
      <c r="P130" s="18">
        <f t="shared" si="4"/>
        <v>118</v>
      </c>
      <c r="Q130" s="12">
        <v>10</v>
      </c>
      <c r="R130" s="18">
        <f t="shared" si="5"/>
        <v>947.54</v>
      </c>
      <c r="S130" s="22">
        <f t="shared" si="6"/>
        <v>949</v>
      </c>
      <c r="T130" s="18">
        <f t="shared" si="7"/>
        <v>1.4600000000000364</v>
      </c>
      <c r="U130" s="18">
        <f t="shared" si="8"/>
        <v>280.56000000000006</v>
      </c>
      <c r="V130" s="18">
        <f t="shared" si="9"/>
        <v>237.76271186440684</v>
      </c>
      <c r="W130" s="24">
        <f t="shared" si="10"/>
        <v>0.42609804993621297</v>
      </c>
      <c r="X130" s="22"/>
    </row>
    <row r="131" spans="1:24" x14ac:dyDescent="0.25">
      <c r="A131" s="9" t="s">
        <v>24</v>
      </c>
      <c r="B131" s="9" t="s">
        <v>77</v>
      </c>
      <c r="C131" s="10"/>
      <c r="D131" s="9" t="s">
        <v>292</v>
      </c>
      <c r="E131" s="9" t="s">
        <v>293</v>
      </c>
      <c r="F131" s="12">
        <v>1</v>
      </c>
      <c r="G131" s="14">
        <v>640</v>
      </c>
      <c r="H131" s="18">
        <f t="shared" si="0"/>
        <v>640</v>
      </c>
      <c r="I131" s="19">
        <v>0.18</v>
      </c>
      <c r="J131" s="18">
        <f t="shared" si="1"/>
        <v>755.19999999999993</v>
      </c>
      <c r="K131" s="18">
        <v>797</v>
      </c>
      <c r="L131" s="18">
        <f t="shared" si="2"/>
        <v>797</v>
      </c>
      <c r="M131" s="18">
        <f t="shared" si="3"/>
        <v>940.45999999999992</v>
      </c>
      <c r="N131" s="12">
        <v>1000</v>
      </c>
      <c r="O131" s="19">
        <v>0.18</v>
      </c>
      <c r="P131" s="18">
        <f t="shared" si="4"/>
        <v>1180</v>
      </c>
      <c r="Q131" s="12">
        <v>150</v>
      </c>
      <c r="R131" s="18">
        <f t="shared" si="5"/>
        <v>2120.46</v>
      </c>
      <c r="S131" s="22">
        <f t="shared" si="6"/>
        <v>2099</v>
      </c>
      <c r="T131" s="18">
        <f t="shared" si="7"/>
        <v>-21.460000000000036</v>
      </c>
      <c r="U131" s="18">
        <f t="shared" si="8"/>
        <v>1193.8000000000002</v>
      </c>
      <c r="V131" s="18">
        <f t="shared" si="9"/>
        <v>1011.6949152542375</v>
      </c>
      <c r="W131" s="24">
        <f t="shared" si="10"/>
        <v>1.5807733050847461</v>
      </c>
      <c r="X131" s="22"/>
    </row>
    <row r="132" spans="1:24" x14ac:dyDescent="0.25">
      <c r="A132" s="9" t="s">
        <v>24</v>
      </c>
      <c r="B132" s="9" t="s">
        <v>134</v>
      </c>
      <c r="C132" s="10"/>
      <c r="D132" s="9" t="s">
        <v>292</v>
      </c>
      <c r="E132" s="9" t="s">
        <v>294</v>
      </c>
      <c r="F132" s="12">
        <v>1</v>
      </c>
      <c r="G132" s="14">
        <v>870</v>
      </c>
      <c r="H132" s="18">
        <f t="shared" si="0"/>
        <v>870</v>
      </c>
      <c r="I132" s="19">
        <v>0.18</v>
      </c>
      <c r="J132" s="18">
        <f t="shared" si="1"/>
        <v>1026.5999999999999</v>
      </c>
      <c r="K132" s="18">
        <v>1134</v>
      </c>
      <c r="L132" s="18">
        <f t="shared" si="2"/>
        <v>1134</v>
      </c>
      <c r="M132" s="18">
        <f t="shared" si="3"/>
        <v>1338.12</v>
      </c>
      <c r="N132" s="12">
        <v>0</v>
      </c>
      <c r="O132" s="19">
        <v>0.18</v>
      </c>
      <c r="P132" s="18">
        <f t="shared" si="4"/>
        <v>0</v>
      </c>
      <c r="Q132" s="12">
        <v>0</v>
      </c>
      <c r="R132" s="18">
        <f t="shared" si="5"/>
        <v>1338.12</v>
      </c>
      <c r="S132" s="22">
        <f t="shared" si="6"/>
        <v>1349</v>
      </c>
      <c r="T132" s="18">
        <f t="shared" si="7"/>
        <v>10.880000000000109</v>
      </c>
      <c r="U132" s="18">
        <f t="shared" si="8"/>
        <v>322.40000000000009</v>
      </c>
      <c r="V132" s="18">
        <f t="shared" si="9"/>
        <v>273.22033898305096</v>
      </c>
      <c r="W132" s="24">
        <f t="shared" si="10"/>
        <v>0.31404636664718499</v>
      </c>
      <c r="X132" s="22"/>
    </row>
    <row r="133" spans="1:24" x14ac:dyDescent="0.25">
      <c r="A133" s="9" t="s">
        <v>24</v>
      </c>
      <c r="B133" s="9" t="s">
        <v>25</v>
      </c>
      <c r="C133" s="10"/>
      <c r="D133" s="9" t="s">
        <v>295</v>
      </c>
      <c r="E133" s="9" t="s">
        <v>296</v>
      </c>
      <c r="F133" s="12">
        <v>1</v>
      </c>
      <c r="G133" s="14">
        <v>815</v>
      </c>
      <c r="H133" s="18">
        <f t="shared" si="0"/>
        <v>815</v>
      </c>
      <c r="I133" s="19">
        <v>0.18</v>
      </c>
      <c r="J133" s="18">
        <f t="shared" si="1"/>
        <v>961.69999999999993</v>
      </c>
      <c r="K133" s="18">
        <v>959</v>
      </c>
      <c r="L133" s="18">
        <f t="shared" si="2"/>
        <v>959</v>
      </c>
      <c r="M133" s="18">
        <f t="shared" si="3"/>
        <v>1131.6199999999999</v>
      </c>
      <c r="N133" s="12">
        <v>0</v>
      </c>
      <c r="O133" s="19">
        <v>0.18</v>
      </c>
      <c r="P133" s="18">
        <f t="shared" si="4"/>
        <v>0</v>
      </c>
      <c r="Q133" s="12">
        <v>0</v>
      </c>
      <c r="R133" s="18">
        <f t="shared" si="5"/>
        <v>1131.6199999999999</v>
      </c>
      <c r="S133" s="22">
        <f t="shared" si="6"/>
        <v>1149</v>
      </c>
      <c r="T133" s="18">
        <f t="shared" si="7"/>
        <v>17.380000000000109</v>
      </c>
      <c r="U133" s="18">
        <f t="shared" si="8"/>
        <v>187.30000000000007</v>
      </c>
      <c r="V133" s="18">
        <f t="shared" si="9"/>
        <v>158.72881355932211</v>
      </c>
      <c r="W133" s="24">
        <f t="shared" si="10"/>
        <v>0.19475928044088603</v>
      </c>
      <c r="X133" s="22"/>
    </row>
    <row r="134" spans="1:24" x14ac:dyDescent="0.25">
      <c r="A134" s="9" t="s">
        <v>24</v>
      </c>
      <c r="B134" s="9" t="s">
        <v>77</v>
      </c>
      <c r="C134" s="10"/>
      <c r="D134" s="9" t="s">
        <v>297</v>
      </c>
      <c r="E134" s="9" t="s">
        <v>298</v>
      </c>
      <c r="F134" s="12">
        <v>1</v>
      </c>
      <c r="G134" s="14">
        <v>394</v>
      </c>
      <c r="H134" s="18">
        <f t="shared" si="0"/>
        <v>394</v>
      </c>
      <c r="I134" s="19">
        <v>0.18</v>
      </c>
      <c r="J134" s="18">
        <f t="shared" si="1"/>
        <v>464.91999999999996</v>
      </c>
      <c r="K134" s="18">
        <v>497</v>
      </c>
      <c r="L134" s="18">
        <f t="shared" si="2"/>
        <v>497</v>
      </c>
      <c r="M134" s="18">
        <f t="shared" si="3"/>
        <v>586.45999999999992</v>
      </c>
      <c r="N134" s="12">
        <v>50</v>
      </c>
      <c r="O134" s="19">
        <v>0.18</v>
      </c>
      <c r="P134" s="18">
        <f t="shared" si="4"/>
        <v>59</v>
      </c>
      <c r="Q134" s="12">
        <v>10</v>
      </c>
      <c r="R134" s="18">
        <f t="shared" si="5"/>
        <v>645.45999999999992</v>
      </c>
      <c r="S134" s="22">
        <f t="shared" si="6"/>
        <v>649</v>
      </c>
      <c r="T134" s="18">
        <f t="shared" si="7"/>
        <v>3.5400000000000773</v>
      </c>
      <c r="U134" s="18">
        <f t="shared" si="8"/>
        <v>174.08000000000004</v>
      </c>
      <c r="V134" s="18">
        <f t="shared" si="9"/>
        <v>147.52542372881359</v>
      </c>
      <c r="W134" s="24">
        <f t="shared" si="10"/>
        <v>0.37443000946399391</v>
      </c>
      <c r="X134" s="22"/>
    </row>
    <row r="135" spans="1:24" x14ac:dyDescent="0.25">
      <c r="A135" s="9" t="s">
        <v>24</v>
      </c>
      <c r="B135" s="9" t="s">
        <v>40</v>
      </c>
      <c r="C135" s="10"/>
      <c r="D135" s="9" t="s">
        <v>299</v>
      </c>
      <c r="E135" s="9" t="s">
        <v>300</v>
      </c>
      <c r="F135" s="12">
        <v>1</v>
      </c>
      <c r="G135" s="14">
        <v>877</v>
      </c>
      <c r="H135" s="18">
        <f t="shared" si="0"/>
        <v>877</v>
      </c>
      <c r="I135" s="19">
        <v>0.18</v>
      </c>
      <c r="J135" s="18">
        <f t="shared" si="1"/>
        <v>1034.8599999999999</v>
      </c>
      <c r="K135" s="18">
        <v>1032</v>
      </c>
      <c r="L135" s="18">
        <f t="shared" si="2"/>
        <v>1032</v>
      </c>
      <c r="M135" s="18">
        <f t="shared" si="3"/>
        <v>1217.76</v>
      </c>
      <c r="N135" s="12">
        <v>100</v>
      </c>
      <c r="O135" s="19">
        <v>0.18</v>
      </c>
      <c r="P135" s="18">
        <f t="shared" si="4"/>
        <v>118</v>
      </c>
      <c r="Q135" s="12">
        <v>0</v>
      </c>
      <c r="R135" s="18">
        <f t="shared" si="5"/>
        <v>1335.76</v>
      </c>
      <c r="S135" s="22">
        <f t="shared" si="6"/>
        <v>1349</v>
      </c>
      <c r="T135" s="18">
        <f t="shared" si="7"/>
        <v>13.240000000000009</v>
      </c>
      <c r="U135" s="18">
        <f t="shared" si="8"/>
        <v>314.1400000000001</v>
      </c>
      <c r="V135" s="18">
        <f t="shared" si="9"/>
        <v>266.22033898305096</v>
      </c>
      <c r="W135" s="24">
        <f t="shared" si="10"/>
        <v>0.30355796919390077</v>
      </c>
      <c r="X135" s="22"/>
    </row>
    <row r="136" spans="1:24" x14ac:dyDescent="0.25">
      <c r="A136" s="9" t="s">
        <v>24</v>
      </c>
      <c r="B136" s="9" t="s">
        <v>81</v>
      </c>
      <c r="C136" s="10"/>
      <c r="D136" s="9" t="s">
        <v>301</v>
      </c>
      <c r="E136" s="9" t="s">
        <v>302</v>
      </c>
      <c r="F136" s="12">
        <v>1</v>
      </c>
      <c r="G136" s="14">
        <v>844.16</v>
      </c>
      <c r="H136" s="18">
        <f t="shared" si="0"/>
        <v>844.16</v>
      </c>
      <c r="I136" s="19">
        <v>0.18</v>
      </c>
      <c r="J136" s="18">
        <f t="shared" si="1"/>
        <v>996.10879999999986</v>
      </c>
      <c r="K136" s="18">
        <v>1118</v>
      </c>
      <c r="L136" s="18">
        <f t="shared" si="2"/>
        <v>1118</v>
      </c>
      <c r="M136" s="18">
        <f t="shared" si="3"/>
        <v>1319.24</v>
      </c>
      <c r="N136" s="12">
        <v>100</v>
      </c>
      <c r="O136" s="19">
        <v>0.18</v>
      </c>
      <c r="P136" s="18">
        <f t="shared" si="4"/>
        <v>118</v>
      </c>
      <c r="Q136" s="12">
        <v>20</v>
      </c>
      <c r="R136" s="18">
        <f t="shared" si="5"/>
        <v>1437.24</v>
      </c>
      <c r="S136" s="22">
        <f t="shared" si="6"/>
        <v>1449</v>
      </c>
      <c r="T136" s="18">
        <f t="shared" si="7"/>
        <v>11.759999999999991</v>
      </c>
      <c r="U136" s="18">
        <f t="shared" si="8"/>
        <v>432.89120000000014</v>
      </c>
      <c r="V136" s="18">
        <f t="shared" si="9"/>
        <v>366.85694915254248</v>
      </c>
      <c r="W136" s="24">
        <f t="shared" si="10"/>
        <v>0.43458224643733712</v>
      </c>
      <c r="X136" s="22"/>
    </row>
    <row r="137" spans="1:24" x14ac:dyDescent="0.25">
      <c r="A137" s="9" t="s">
        <v>24</v>
      </c>
      <c r="B137" s="9" t="s">
        <v>77</v>
      </c>
      <c r="C137" s="10"/>
      <c r="D137" s="9" t="s">
        <v>303</v>
      </c>
      <c r="E137" s="9" t="s">
        <v>304</v>
      </c>
      <c r="F137" s="12">
        <v>1</v>
      </c>
      <c r="G137" s="14">
        <v>1084</v>
      </c>
      <c r="H137" s="18">
        <f t="shared" si="0"/>
        <v>1084</v>
      </c>
      <c r="I137" s="19">
        <v>0.18</v>
      </c>
      <c r="J137" s="18">
        <f t="shared" si="1"/>
        <v>1279.1199999999999</v>
      </c>
      <c r="K137" s="18">
        <v>1366</v>
      </c>
      <c r="L137" s="18">
        <f t="shared" si="2"/>
        <v>1366</v>
      </c>
      <c r="M137" s="18">
        <f t="shared" si="3"/>
        <v>1611.8799999999999</v>
      </c>
      <c r="N137" s="12">
        <v>250</v>
      </c>
      <c r="O137" s="19">
        <v>0.18</v>
      </c>
      <c r="P137" s="18">
        <f t="shared" si="4"/>
        <v>295</v>
      </c>
      <c r="Q137" s="12">
        <v>20</v>
      </c>
      <c r="R137" s="18">
        <f t="shared" si="5"/>
        <v>1906.8799999999999</v>
      </c>
      <c r="S137" s="22">
        <f t="shared" si="6"/>
        <v>1899</v>
      </c>
      <c r="T137" s="18">
        <f t="shared" si="7"/>
        <v>-7.8799999999998818</v>
      </c>
      <c r="U137" s="18">
        <f t="shared" si="8"/>
        <v>599.88000000000011</v>
      </c>
      <c r="V137" s="18">
        <f t="shared" si="9"/>
        <v>508.37288135593235</v>
      </c>
      <c r="W137" s="24">
        <f t="shared" si="10"/>
        <v>0.46897867283757599</v>
      </c>
      <c r="X137" s="22"/>
    </row>
    <row r="138" spans="1:24" x14ac:dyDescent="0.25">
      <c r="A138" s="9" t="s">
        <v>24</v>
      </c>
      <c r="B138" s="9" t="s">
        <v>81</v>
      </c>
      <c r="C138" s="10"/>
      <c r="D138" s="9" t="s">
        <v>305</v>
      </c>
      <c r="E138" s="9" t="s">
        <v>306</v>
      </c>
      <c r="F138" s="12">
        <v>1</v>
      </c>
      <c r="G138" s="14">
        <v>944.64</v>
      </c>
      <c r="H138" s="18">
        <f t="shared" si="0"/>
        <v>944.64</v>
      </c>
      <c r="I138" s="19">
        <v>0.18</v>
      </c>
      <c r="J138" s="18">
        <f t="shared" si="1"/>
        <v>1114.6751999999999</v>
      </c>
      <c r="K138" s="18">
        <v>1251</v>
      </c>
      <c r="L138" s="18">
        <f t="shared" si="2"/>
        <v>1251</v>
      </c>
      <c r="M138" s="18">
        <f t="shared" si="3"/>
        <v>1476.1799999999998</v>
      </c>
      <c r="N138" s="12">
        <v>100</v>
      </c>
      <c r="O138" s="19">
        <v>0.18</v>
      </c>
      <c r="P138" s="18">
        <f t="shared" si="4"/>
        <v>118</v>
      </c>
      <c r="Q138" s="12">
        <v>20</v>
      </c>
      <c r="R138" s="18">
        <f t="shared" si="5"/>
        <v>1594.1799999999998</v>
      </c>
      <c r="S138" s="22">
        <f t="shared" si="6"/>
        <v>1599</v>
      </c>
      <c r="T138" s="18">
        <f t="shared" si="7"/>
        <v>4.8200000000001637</v>
      </c>
      <c r="U138" s="18">
        <f t="shared" si="8"/>
        <v>464.3248000000001</v>
      </c>
      <c r="V138" s="18">
        <f t="shared" si="9"/>
        <v>393.49559322033906</v>
      </c>
      <c r="W138" s="24">
        <f t="shared" si="10"/>
        <v>0.41655614119700529</v>
      </c>
      <c r="X138" s="22"/>
    </row>
    <row r="139" spans="1:24" x14ac:dyDescent="0.25">
      <c r="A139" s="9" t="s">
        <v>24</v>
      </c>
      <c r="B139" s="9" t="s">
        <v>150</v>
      </c>
      <c r="C139" s="10"/>
      <c r="D139" s="9" t="s">
        <v>307</v>
      </c>
      <c r="E139" s="9" t="s">
        <v>308</v>
      </c>
      <c r="F139" s="12">
        <v>1</v>
      </c>
      <c r="G139" s="14">
        <v>5053</v>
      </c>
      <c r="H139" s="18">
        <f t="shared" si="0"/>
        <v>5053</v>
      </c>
      <c r="I139" s="19">
        <v>0.18</v>
      </c>
      <c r="J139" s="18">
        <f t="shared" si="1"/>
        <v>5962.54</v>
      </c>
      <c r="K139" s="18">
        <v>6073</v>
      </c>
      <c r="L139" s="18">
        <f t="shared" si="2"/>
        <v>6073</v>
      </c>
      <c r="M139" s="18">
        <f t="shared" si="3"/>
        <v>7166.1399999999994</v>
      </c>
      <c r="N139" s="12">
        <v>600</v>
      </c>
      <c r="O139" s="19">
        <v>0.18</v>
      </c>
      <c r="P139" s="18">
        <f t="shared" si="4"/>
        <v>708</v>
      </c>
      <c r="Q139" s="12">
        <v>75</v>
      </c>
      <c r="R139" s="18">
        <f t="shared" si="5"/>
        <v>7874.1399999999994</v>
      </c>
      <c r="S139" s="22">
        <f t="shared" si="6"/>
        <v>7849</v>
      </c>
      <c r="T139" s="18">
        <f t="shared" si="7"/>
        <v>-25.139999999999418</v>
      </c>
      <c r="U139" s="18">
        <f t="shared" si="8"/>
        <v>1811.46</v>
      </c>
      <c r="V139" s="18">
        <f t="shared" si="9"/>
        <v>1535.1355932203392</v>
      </c>
      <c r="W139" s="24">
        <f t="shared" si="10"/>
        <v>0.30380676691477126</v>
      </c>
      <c r="X139" s="22"/>
    </row>
    <row r="140" spans="1:24" x14ac:dyDescent="0.25">
      <c r="A140" s="9" t="s">
        <v>24</v>
      </c>
      <c r="B140" s="9" t="s">
        <v>134</v>
      </c>
      <c r="C140" s="10"/>
      <c r="D140" s="9" t="s">
        <v>307</v>
      </c>
      <c r="E140" s="9" t="s">
        <v>309</v>
      </c>
      <c r="F140" s="12">
        <v>1</v>
      </c>
      <c r="G140" s="14">
        <v>5247</v>
      </c>
      <c r="H140" s="18">
        <f t="shared" si="0"/>
        <v>5247</v>
      </c>
      <c r="I140" s="19">
        <v>0.18</v>
      </c>
      <c r="J140" s="18">
        <f t="shared" si="1"/>
        <v>6191.46</v>
      </c>
      <c r="K140" s="18">
        <v>6612</v>
      </c>
      <c r="L140" s="18">
        <f t="shared" si="2"/>
        <v>6612</v>
      </c>
      <c r="M140" s="18">
        <f t="shared" si="3"/>
        <v>7802.16</v>
      </c>
      <c r="N140" s="12">
        <v>600</v>
      </c>
      <c r="O140" s="19">
        <v>0.18</v>
      </c>
      <c r="P140" s="18">
        <f t="shared" si="4"/>
        <v>708</v>
      </c>
      <c r="Q140" s="12">
        <v>75</v>
      </c>
      <c r="R140" s="18">
        <f t="shared" si="5"/>
        <v>8510.16</v>
      </c>
      <c r="S140" s="22">
        <f t="shared" si="6"/>
        <v>8499</v>
      </c>
      <c r="T140" s="18">
        <f t="shared" si="7"/>
        <v>-11.159999999999854</v>
      </c>
      <c r="U140" s="18">
        <f t="shared" si="8"/>
        <v>2232.54</v>
      </c>
      <c r="V140" s="18">
        <f t="shared" si="9"/>
        <v>1891.9830508474577</v>
      </c>
      <c r="W140" s="24">
        <f t="shared" si="10"/>
        <v>0.3605837718405675</v>
      </c>
      <c r="X140" s="22"/>
    </row>
    <row r="141" spans="1:24" x14ac:dyDescent="0.25">
      <c r="A141" s="9" t="s">
        <v>24</v>
      </c>
      <c r="B141" s="9" t="s">
        <v>52</v>
      </c>
      <c r="C141" s="10"/>
      <c r="D141" s="9" t="s">
        <v>307</v>
      </c>
      <c r="E141" s="9" t="s">
        <v>310</v>
      </c>
      <c r="F141" s="12">
        <v>1</v>
      </c>
      <c r="G141" s="14">
        <v>5115</v>
      </c>
      <c r="H141" s="18">
        <f t="shared" si="0"/>
        <v>5115</v>
      </c>
      <c r="I141" s="19">
        <v>0.18</v>
      </c>
      <c r="J141" s="18">
        <f t="shared" si="1"/>
        <v>6035.7</v>
      </c>
      <c r="K141" s="18">
        <v>6773</v>
      </c>
      <c r="L141" s="18">
        <f t="shared" si="2"/>
        <v>6773</v>
      </c>
      <c r="M141" s="18">
        <f t="shared" si="3"/>
        <v>7992.1399999999994</v>
      </c>
      <c r="N141" s="12">
        <v>300</v>
      </c>
      <c r="O141" s="19">
        <v>0.18</v>
      </c>
      <c r="P141" s="18">
        <f t="shared" si="4"/>
        <v>354</v>
      </c>
      <c r="Q141" s="12">
        <v>75</v>
      </c>
      <c r="R141" s="18">
        <f t="shared" si="5"/>
        <v>8346.14</v>
      </c>
      <c r="S141" s="22">
        <f t="shared" si="6"/>
        <v>8349</v>
      </c>
      <c r="T141" s="18">
        <f t="shared" si="7"/>
        <v>2.8600000000005821</v>
      </c>
      <c r="U141" s="18">
        <f t="shared" si="8"/>
        <v>2238.3000000000002</v>
      </c>
      <c r="V141" s="18">
        <f t="shared" si="9"/>
        <v>1896.8644067796613</v>
      </c>
      <c r="W141" s="24">
        <f t="shared" si="10"/>
        <v>0.37084348128634631</v>
      </c>
      <c r="X141" s="22"/>
    </row>
    <row r="142" spans="1:24" x14ac:dyDescent="0.25">
      <c r="A142" s="9" t="s">
        <v>24</v>
      </c>
      <c r="B142" s="9" t="s">
        <v>40</v>
      </c>
      <c r="C142" s="10"/>
      <c r="D142" s="9" t="s">
        <v>311</v>
      </c>
      <c r="E142" s="9" t="s">
        <v>312</v>
      </c>
      <c r="F142" s="12">
        <v>1</v>
      </c>
      <c r="G142" s="14">
        <v>662</v>
      </c>
      <c r="H142" s="18">
        <f t="shared" si="0"/>
        <v>662</v>
      </c>
      <c r="I142" s="19">
        <v>0.18</v>
      </c>
      <c r="J142" s="18">
        <f t="shared" si="1"/>
        <v>781.16</v>
      </c>
      <c r="K142" s="18">
        <v>780</v>
      </c>
      <c r="L142" s="18">
        <f t="shared" si="2"/>
        <v>780</v>
      </c>
      <c r="M142" s="18">
        <f t="shared" si="3"/>
        <v>920.4</v>
      </c>
      <c r="N142" s="12">
        <v>0</v>
      </c>
      <c r="O142" s="19">
        <v>0.18</v>
      </c>
      <c r="P142" s="18">
        <f t="shared" si="4"/>
        <v>0</v>
      </c>
      <c r="Q142" s="12">
        <v>0</v>
      </c>
      <c r="R142" s="18">
        <f t="shared" si="5"/>
        <v>920.4</v>
      </c>
      <c r="S142" s="22">
        <f t="shared" si="6"/>
        <v>899</v>
      </c>
      <c r="T142" s="18">
        <f t="shared" si="7"/>
        <v>-21.399999999999977</v>
      </c>
      <c r="U142" s="18">
        <f t="shared" si="8"/>
        <v>117.84000000000003</v>
      </c>
      <c r="V142" s="18">
        <f t="shared" si="9"/>
        <v>99.864406779661053</v>
      </c>
      <c r="W142" s="24">
        <f t="shared" si="10"/>
        <v>0.15085257821701065</v>
      </c>
      <c r="X142" s="22"/>
    </row>
    <row r="143" spans="1:24" x14ac:dyDescent="0.25">
      <c r="A143" s="9" t="s">
        <v>24</v>
      </c>
      <c r="B143" s="9" t="s">
        <v>81</v>
      </c>
      <c r="C143" s="10"/>
      <c r="D143" s="9" t="s">
        <v>313</v>
      </c>
      <c r="E143" s="9" t="s">
        <v>314</v>
      </c>
      <c r="F143" s="12">
        <v>1</v>
      </c>
      <c r="G143" s="14">
        <v>530.55999999999995</v>
      </c>
      <c r="H143" s="18">
        <f t="shared" si="0"/>
        <v>530.55999999999995</v>
      </c>
      <c r="I143" s="19">
        <v>0.18</v>
      </c>
      <c r="J143" s="18">
        <f t="shared" si="1"/>
        <v>626.06079999999986</v>
      </c>
      <c r="K143" s="18">
        <v>703</v>
      </c>
      <c r="L143" s="18">
        <f t="shared" si="2"/>
        <v>703</v>
      </c>
      <c r="M143" s="18">
        <f t="shared" si="3"/>
        <v>829.54</v>
      </c>
      <c r="N143" s="12">
        <v>100</v>
      </c>
      <c r="O143" s="19">
        <v>0.18</v>
      </c>
      <c r="P143" s="18">
        <f t="shared" si="4"/>
        <v>118</v>
      </c>
      <c r="Q143" s="12">
        <v>20</v>
      </c>
      <c r="R143" s="18">
        <f t="shared" si="5"/>
        <v>947.54</v>
      </c>
      <c r="S143" s="22">
        <f t="shared" si="6"/>
        <v>949</v>
      </c>
      <c r="T143" s="18">
        <f t="shared" si="7"/>
        <v>1.4600000000000364</v>
      </c>
      <c r="U143" s="18">
        <f t="shared" si="8"/>
        <v>302.93920000000014</v>
      </c>
      <c r="V143" s="18">
        <f t="shared" si="9"/>
        <v>256.72813559322049</v>
      </c>
      <c r="W143" s="24">
        <f t="shared" si="10"/>
        <v>0.48388143771339814</v>
      </c>
      <c r="X143" s="22"/>
    </row>
    <row r="144" spans="1:24" x14ac:dyDescent="0.25">
      <c r="A144" s="9" t="s">
        <v>24</v>
      </c>
      <c r="B144" s="9" t="s">
        <v>81</v>
      </c>
      <c r="C144" s="10"/>
      <c r="D144" s="9" t="s">
        <v>315</v>
      </c>
      <c r="E144" s="9" t="s">
        <v>316</v>
      </c>
      <c r="F144" s="12">
        <v>1</v>
      </c>
      <c r="G144" s="14">
        <v>448</v>
      </c>
      <c r="H144" s="18">
        <f t="shared" si="0"/>
        <v>448</v>
      </c>
      <c r="I144" s="19">
        <v>0.12</v>
      </c>
      <c r="J144" s="18">
        <f t="shared" si="1"/>
        <v>501.76000000000005</v>
      </c>
      <c r="K144" s="18">
        <v>499</v>
      </c>
      <c r="L144" s="18">
        <f t="shared" si="2"/>
        <v>499</v>
      </c>
      <c r="M144" s="18">
        <f t="shared" si="3"/>
        <v>558.88000000000011</v>
      </c>
      <c r="N144" s="12">
        <v>0</v>
      </c>
      <c r="O144" s="19">
        <v>0.18</v>
      </c>
      <c r="P144" s="18">
        <f t="shared" si="4"/>
        <v>0</v>
      </c>
      <c r="Q144" s="12">
        <v>0</v>
      </c>
      <c r="R144" s="18">
        <f t="shared" si="5"/>
        <v>558.88000000000011</v>
      </c>
      <c r="S144" s="22">
        <f t="shared" si="6"/>
        <v>549</v>
      </c>
      <c r="T144" s="18">
        <f t="shared" si="7"/>
        <v>-9.8800000000001091</v>
      </c>
      <c r="U144" s="18">
        <f t="shared" si="8"/>
        <v>47.239999999999952</v>
      </c>
      <c r="V144" s="18">
        <f t="shared" si="9"/>
        <v>42.178571428571381</v>
      </c>
      <c r="W144" s="24">
        <f t="shared" si="10"/>
        <v>9.4148596938775406E-2</v>
      </c>
      <c r="X144" s="22"/>
    </row>
    <row r="145" spans="1:24" x14ac:dyDescent="0.25">
      <c r="A145" s="9" t="s">
        <v>24</v>
      </c>
      <c r="B145" s="9" t="s">
        <v>77</v>
      </c>
      <c r="C145" s="10"/>
      <c r="D145" s="9" t="s">
        <v>317</v>
      </c>
      <c r="E145" s="9" t="s">
        <v>318</v>
      </c>
      <c r="F145" s="12">
        <v>1</v>
      </c>
      <c r="G145" s="14">
        <v>4217</v>
      </c>
      <c r="H145" s="18">
        <f t="shared" si="0"/>
        <v>4217</v>
      </c>
      <c r="I145" s="19">
        <v>0.18</v>
      </c>
      <c r="J145" s="18">
        <f t="shared" si="1"/>
        <v>4976.0599999999995</v>
      </c>
      <c r="K145" s="18">
        <v>5314</v>
      </c>
      <c r="L145" s="18">
        <f t="shared" si="2"/>
        <v>5314</v>
      </c>
      <c r="M145" s="18">
        <f t="shared" si="3"/>
        <v>6270.5199999999995</v>
      </c>
      <c r="N145" s="12">
        <v>650</v>
      </c>
      <c r="O145" s="19">
        <v>0.18</v>
      </c>
      <c r="P145" s="18">
        <f t="shared" si="4"/>
        <v>767</v>
      </c>
      <c r="Q145" s="12">
        <v>150</v>
      </c>
      <c r="R145" s="18">
        <f t="shared" si="5"/>
        <v>7037.5199999999995</v>
      </c>
      <c r="S145" s="22">
        <f t="shared" si="6"/>
        <v>7049</v>
      </c>
      <c r="T145" s="18">
        <f t="shared" si="7"/>
        <v>11.480000000000473</v>
      </c>
      <c r="U145" s="18">
        <f t="shared" si="8"/>
        <v>1922.9400000000005</v>
      </c>
      <c r="V145" s="18">
        <f t="shared" si="9"/>
        <v>1629.610169491526</v>
      </c>
      <c r="W145" s="24">
        <f t="shared" si="10"/>
        <v>0.38643826641961726</v>
      </c>
      <c r="X145" s="22"/>
    </row>
    <row r="146" spans="1:24" x14ac:dyDescent="0.25">
      <c r="A146" s="9" t="s">
        <v>24</v>
      </c>
      <c r="B146" s="9" t="s">
        <v>81</v>
      </c>
      <c r="C146" s="10"/>
      <c r="D146" s="9" t="s">
        <v>319</v>
      </c>
      <c r="E146" s="9" t="s">
        <v>320</v>
      </c>
      <c r="F146" s="12">
        <v>1</v>
      </c>
      <c r="G146" s="14">
        <v>593.91999999999996</v>
      </c>
      <c r="H146" s="18">
        <f t="shared" si="0"/>
        <v>593.91999999999996</v>
      </c>
      <c r="I146" s="19">
        <v>0.18</v>
      </c>
      <c r="J146" s="18">
        <f t="shared" si="1"/>
        <v>700.82559999999989</v>
      </c>
      <c r="K146" s="18">
        <v>786</v>
      </c>
      <c r="L146" s="18">
        <f t="shared" si="2"/>
        <v>786</v>
      </c>
      <c r="M146" s="18">
        <f t="shared" si="3"/>
        <v>927.4799999999999</v>
      </c>
      <c r="N146" s="12">
        <v>100</v>
      </c>
      <c r="O146" s="19">
        <v>0.18</v>
      </c>
      <c r="P146" s="18">
        <f t="shared" si="4"/>
        <v>118</v>
      </c>
      <c r="Q146" s="12">
        <v>20</v>
      </c>
      <c r="R146" s="18">
        <f t="shared" si="5"/>
        <v>1045.48</v>
      </c>
      <c r="S146" s="22">
        <f t="shared" si="6"/>
        <v>1049</v>
      </c>
      <c r="T146" s="18">
        <f t="shared" si="7"/>
        <v>3.5199999999999818</v>
      </c>
      <c r="U146" s="18">
        <f t="shared" si="8"/>
        <v>328.17440000000011</v>
      </c>
      <c r="V146" s="18">
        <f t="shared" si="9"/>
        <v>278.11389830508483</v>
      </c>
      <c r="W146" s="24">
        <f t="shared" si="10"/>
        <v>0.46826828243717145</v>
      </c>
      <c r="X146" s="22"/>
    </row>
    <row r="147" spans="1:24" x14ac:dyDescent="0.25">
      <c r="A147" s="9" t="s">
        <v>24</v>
      </c>
      <c r="B147" s="9" t="s">
        <v>692</v>
      </c>
      <c r="C147" s="10"/>
      <c r="D147" s="9" t="s">
        <v>321</v>
      </c>
      <c r="E147" s="9" t="s">
        <v>322</v>
      </c>
      <c r="F147" s="12">
        <v>1</v>
      </c>
      <c r="G147" s="14">
        <v>1165</v>
      </c>
      <c r="H147" s="18">
        <f t="shared" si="0"/>
        <v>1165</v>
      </c>
      <c r="I147" s="19">
        <v>0.18</v>
      </c>
      <c r="J147" s="18">
        <f t="shared" si="1"/>
        <v>1374.6999999999998</v>
      </c>
      <c r="K147" s="18">
        <v>1519</v>
      </c>
      <c r="L147" s="18">
        <f t="shared" si="2"/>
        <v>1519</v>
      </c>
      <c r="M147" s="18">
        <f t="shared" si="3"/>
        <v>1792.4199999999998</v>
      </c>
      <c r="N147" s="12">
        <v>300</v>
      </c>
      <c r="O147" s="19">
        <v>0.18</v>
      </c>
      <c r="P147" s="18">
        <f t="shared" si="4"/>
        <v>354</v>
      </c>
      <c r="Q147" s="12">
        <v>50</v>
      </c>
      <c r="R147" s="18">
        <f t="shared" si="5"/>
        <v>2146.42</v>
      </c>
      <c r="S147" s="22">
        <f t="shared" si="6"/>
        <v>2149</v>
      </c>
      <c r="T147" s="18">
        <f t="shared" si="7"/>
        <v>2.5799999999999272</v>
      </c>
      <c r="U147" s="18">
        <f t="shared" si="8"/>
        <v>724.30000000000018</v>
      </c>
      <c r="V147" s="18">
        <f t="shared" si="9"/>
        <v>613.81355932203405</v>
      </c>
      <c r="W147" s="24">
        <f t="shared" si="10"/>
        <v>0.5268785916927331</v>
      </c>
      <c r="X147" s="22"/>
    </row>
    <row r="148" spans="1:24" x14ac:dyDescent="0.25">
      <c r="A148" s="9" t="s">
        <v>24</v>
      </c>
      <c r="B148" s="9" t="s">
        <v>44</v>
      </c>
      <c r="C148" s="10"/>
      <c r="D148" s="9" t="s">
        <v>323</v>
      </c>
      <c r="E148" s="9" t="s">
        <v>324</v>
      </c>
      <c r="F148" s="12">
        <v>4</v>
      </c>
      <c r="G148" s="14">
        <v>102</v>
      </c>
      <c r="H148" s="18">
        <f t="shared" si="0"/>
        <v>408</v>
      </c>
      <c r="I148" s="19">
        <v>0.18</v>
      </c>
      <c r="J148" s="18">
        <f t="shared" si="1"/>
        <v>481.44</v>
      </c>
      <c r="K148" s="18">
        <v>136</v>
      </c>
      <c r="L148" s="18">
        <f t="shared" si="2"/>
        <v>544</v>
      </c>
      <c r="M148" s="18">
        <f t="shared" si="3"/>
        <v>641.91999999999996</v>
      </c>
      <c r="N148" s="12">
        <v>0</v>
      </c>
      <c r="O148" s="19">
        <v>0.18</v>
      </c>
      <c r="P148" s="18">
        <f t="shared" si="4"/>
        <v>0</v>
      </c>
      <c r="Q148" s="12">
        <v>0</v>
      </c>
      <c r="R148" s="18">
        <f t="shared" si="5"/>
        <v>641.91999999999996</v>
      </c>
      <c r="S148" s="22">
        <f t="shared" si="6"/>
        <v>649</v>
      </c>
      <c r="T148" s="18">
        <f t="shared" si="7"/>
        <v>7.0800000000000409</v>
      </c>
      <c r="U148" s="18">
        <f t="shared" si="8"/>
        <v>167.56</v>
      </c>
      <c r="V148" s="18">
        <f t="shared" si="9"/>
        <v>142</v>
      </c>
      <c r="W148" s="24">
        <f t="shared" si="10"/>
        <v>0.34803921568627449</v>
      </c>
      <c r="X148" s="22"/>
    </row>
    <row r="149" spans="1:24" x14ac:dyDescent="0.25">
      <c r="A149" s="9" t="s">
        <v>24</v>
      </c>
      <c r="B149" s="9" t="s">
        <v>44</v>
      </c>
      <c r="C149" s="10"/>
      <c r="D149" s="9" t="s">
        <v>325</v>
      </c>
      <c r="E149" s="9" t="s">
        <v>326</v>
      </c>
      <c r="F149" s="12">
        <v>1</v>
      </c>
      <c r="G149" s="14">
        <v>4193</v>
      </c>
      <c r="H149" s="18">
        <f t="shared" si="0"/>
        <v>4193</v>
      </c>
      <c r="I149" s="19">
        <v>0.18</v>
      </c>
      <c r="J149" s="18">
        <f t="shared" si="1"/>
        <v>4947.74</v>
      </c>
      <c r="K149" s="18">
        <v>5076</v>
      </c>
      <c r="L149" s="18">
        <f t="shared" si="2"/>
        <v>5076</v>
      </c>
      <c r="M149" s="18">
        <f t="shared" si="3"/>
        <v>5989.6799999999994</v>
      </c>
      <c r="N149" s="12">
        <v>0</v>
      </c>
      <c r="O149" s="19">
        <v>0.18</v>
      </c>
      <c r="P149" s="18">
        <f t="shared" si="4"/>
        <v>0</v>
      </c>
      <c r="Q149" s="12">
        <v>0</v>
      </c>
      <c r="R149" s="18">
        <f t="shared" si="5"/>
        <v>5989.6799999999994</v>
      </c>
      <c r="S149" s="22">
        <f t="shared" si="6"/>
        <v>5999</v>
      </c>
      <c r="T149" s="18">
        <f t="shared" si="7"/>
        <v>9.3200000000006185</v>
      </c>
      <c r="U149" s="18">
        <f t="shared" si="8"/>
        <v>1051.2600000000002</v>
      </c>
      <c r="V149" s="18">
        <f t="shared" si="9"/>
        <v>890.89830508474597</v>
      </c>
      <c r="W149" s="24">
        <f t="shared" si="10"/>
        <v>0.21247276534336895</v>
      </c>
      <c r="X149" s="22"/>
    </row>
    <row r="150" spans="1:24" x14ac:dyDescent="0.25">
      <c r="A150" s="9" t="s">
        <v>24</v>
      </c>
      <c r="B150" s="9" t="s">
        <v>77</v>
      </c>
      <c r="C150" s="10"/>
      <c r="D150" s="9" t="s">
        <v>327</v>
      </c>
      <c r="E150" s="9" t="s">
        <v>328</v>
      </c>
      <c r="F150" s="12">
        <v>1</v>
      </c>
      <c r="G150" s="14">
        <v>4193</v>
      </c>
      <c r="H150" s="18">
        <f t="shared" si="0"/>
        <v>4193</v>
      </c>
      <c r="I150" s="19">
        <v>0.18</v>
      </c>
      <c r="J150" s="18">
        <f t="shared" si="1"/>
        <v>4947.74</v>
      </c>
      <c r="K150" s="18">
        <v>5990</v>
      </c>
      <c r="L150" s="18">
        <f t="shared" si="2"/>
        <v>5990</v>
      </c>
      <c r="M150" s="18">
        <f t="shared" si="3"/>
        <v>7068.2</v>
      </c>
      <c r="N150" s="12">
        <v>1000</v>
      </c>
      <c r="O150" s="19">
        <v>0.18</v>
      </c>
      <c r="P150" s="18">
        <f t="shared" si="4"/>
        <v>1180</v>
      </c>
      <c r="Q150" s="12">
        <v>200</v>
      </c>
      <c r="R150" s="18">
        <f t="shared" si="5"/>
        <v>8248.2000000000007</v>
      </c>
      <c r="S150" s="22">
        <f t="shared" si="6"/>
        <v>8249</v>
      </c>
      <c r="T150" s="18">
        <f t="shared" si="7"/>
        <v>0.7999999999992724</v>
      </c>
      <c r="U150" s="18">
        <f t="shared" si="8"/>
        <v>3101.26</v>
      </c>
      <c r="V150" s="18">
        <f t="shared" si="9"/>
        <v>2628.1864406779664</v>
      </c>
      <c r="W150" s="24">
        <f t="shared" si="10"/>
        <v>0.62680334859956266</v>
      </c>
      <c r="X150" s="22"/>
    </row>
    <row r="151" spans="1:24" x14ac:dyDescent="0.25">
      <c r="A151" s="9" t="s">
        <v>24</v>
      </c>
      <c r="B151" s="9" t="s">
        <v>52</v>
      </c>
      <c r="C151" s="10"/>
      <c r="D151" s="9" t="s">
        <v>329</v>
      </c>
      <c r="E151" s="9" t="s">
        <v>330</v>
      </c>
      <c r="F151" s="12">
        <v>1</v>
      </c>
      <c r="G151" s="14">
        <v>1870</v>
      </c>
      <c r="H151" s="18">
        <f t="shared" si="0"/>
        <v>1870</v>
      </c>
      <c r="I151" s="19">
        <v>0.18</v>
      </c>
      <c r="J151" s="18">
        <f t="shared" si="1"/>
        <v>2206.6</v>
      </c>
      <c r="K151" s="18">
        <v>2356</v>
      </c>
      <c r="L151" s="18">
        <f t="shared" si="2"/>
        <v>2356</v>
      </c>
      <c r="M151" s="18">
        <f t="shared" si="3"/>
        <v>2780.08</v>
      </c>
      <c r="N151" s="12">
        <v>600</v>
      </c>
      <c r="O151" s="19">
        <v>0.18</v>
      </c>
      <c r="P151" s="18">
        <f t="shared" si="4"/>
        <v>708</v>
      </c>
      <c r="Q151" s="12">
        <v>150</v>
      </c>
      <c r="R151" s="18">
        <f t="shared" si="5"/>
        <v>3488.08</v>
      </c>
      <c r="S151" s="22">
        <f t="shared" si="6"/>
        <v>3499</v>
      </c>
      <c r="T151" s="18">
        <f t="shared" si="7"/>
        <v>10.920000000000073</v>
      </c>
      <c r="U151" s="18">
        <f t="shared" si="8"/>
        <v>1142.4000000000001</v>
      </c>
      <c r="V151" s="18">
        <f t="shared" si="9"/>
        <v>968.13559322033916</v>
      </c>
      <c r="W151" s="24">
        <f t="shared" si="10"/>
        <v>0.51771956856702628</v>
      </c>
      <c r="X151" s="22"/>
    </row>
    <row r="152" spans="1:24" x14ac:dyDescent="0.25">
      <c r="A152" s="9" t="s">
        <v>24</v>
      </c>
      <c r="B152" s="9" t="s">
        <v>58</v>
      </c>
      <c r="C152" s="10"/>
      <c r="D152" s="9" t="s">
        <v>329</v>
      </c>
      <c r="E152" s="9" t="s">
        <v>331</v>
      </c>
      <c r="F152" s="12">
        <v>1</v>
      </c>
      <c r="G152" s="14">
        <v>2294</v>
      </c>
      <c r="H152" s="18">
        <f t="shared" si="0"/>
        <v>2294</v>
      </c>
      <c r="I152" s="19">
        <v>0.18</v>
      </c>
      <c r="J152" s="18">
        <f t="shared" si="1"/>
        <v>2706.92</v>
      </c>
      <c r="K152" s="18">
        <v>3038</v>
      </c>
      <c r="L152" s="18">
        <f t="shared" si="2"/>
        <v>3038</v>
      </c>
      <c r="M152" s="18">
        <f t="shared" si="3"/>
        <v>3584.8399999999997</v>
      </c>
      <c r="N152" s="12">
        <v>600</v>
      </c>
      <c r="O152" s="19">
        <v>0.18</v>
      </c>
      <c r="P152" s="18">
        <f t="shared" si="4"/>
        <v>708</v>
      </c>
      <c r="Q152" s="12">
        <v>150</v>
      </c>
      <c r="R152" s="18">
        <f t="shared" si="5"/>
        <v>4292.84</v>
      </c>
      <c r="S152" s="22">
        <f t="shared" si="6"/>
        <v>4299</v>
      </c>
      <c r="T152" s="18">
        <f t="shared" si="7"/>
        <v>6.1599999999998545</v>
      </c>
      <c r="U152" s="18">
        <f t="shared" si="8"/>
        <v>1442.08</v>
      </c>
      <c r="V152" s="18">
        <f t="shared" si="9"/>
        <v>1222.1016949152543</v>
      </c>
      <c r="W152" s="24">
        <f t="shared" si="10"/>
        <v>0.53273831513306635</v>
      </c>
      <c r="X152" s="22"/>
    </row>
    <row r="153" spans="1:24" x14ac:dyDescent="0.25">
      <c r="A153" s="9" t="s">
        <v>24</v>
      </c>
      <c r="B153" s="9" t="s">
        <v>63</v>
      </c>
      <c r="C153" s="10"/>
      <c r="D153" s="9" t="s">
        <v>329</v>
      </c>
      <c r="E153" s="9" t="s">
        <v>332</v>
      </c>
      <c r="F153" s="12">
        <v>1</v>
      </c>
      <c r="G153" s="14">
        <v>3517</v>
      </c>
      <c r="H153" s="18">
        <f t="shared" si="0"/>
        <v>3517</v>
      </c>
      <c r="I153" s="19">
        <v>0.18</v>
      </c>
      <c r="J153" s="18">
        <f t="shared" si="1"/>
        <v>4150.0599999999995</v>
      </c>
      <c r="K153" s="18">
        <v>4431</v>
      </c>
      <c r="L153" s="18">
        <f t="shared" si="2"/>
        <v>4431</v>
      </c>
      <c r="M153" s="18">
        <f t="shared" si="3"/>
        <v>5228.58</v>
      </c>
      <c r="N153" s="12">
        <v>600</v>
      </c>
      <c r="O153" s="19">
        <v>0.18</v>
      </c>
      <c r="P153" s="18">
        <f t="shared" si="4"/>
        <v>708</v>
      </c>
      <c r="Q153" s="12">
        <v>150</v>
      </c>
      <c r="R153" s="18">
        <f t="shared" si="5"/>
        <v>5936.58</v>
      </c>
      <c r="S153" s="22">
        <f t="shared" si="6"/>
        <v>5949</v>
      </c>
      <c r="T153" s="18">
        <f t="shared" si="7"/>
        <v>12.420000000000073</v>
      </c>
      <c r="U153" s="18">
        <f t="shared" si="8"/>
        <v>1648.9400000000005</v>
      </c>
      <c r="V153" s="18">
        <f t="shared" si="9"/>
        <v>1397.4067796610175</v>
      </c>
      <c r="W153" s="24">
        <f t="shared" si="10"/>
        <v>0.39732919524055088</v>
      </c>
      <c r="X153" s="22"/>
    </row>
    <row r="154" spans="1:24" x14ac:dyDescent="0.25">
      <c r="A154" s="9" t="s">
        <v>24</v>
      </c>
      <c r="B154" s="9" t="s">
        <v>81</v>
      </c>
      <c r="C154" s="10"/>
      <c r="D154" s="9" t="s">
        <v>329</v>
      </c>
      <c r="E154" s="9" t="s">
        <v>333</v>
      </c>
      <c r="F154" s="12">
        <v>1</v>
      </c>
      <c r="G154" s="14">
        <v>1625</v>
      </c>
      <c r="H154" s="18">
        <f t="shared" si="0"/>
        <v>1625</v>
      </c>
      <c r="I154" s="19">
        <v>0.18</v>
      </c>
      <c r="J154" s="18">
        <f t="shared" si="1"/>
        <v>1917.5</v>
      </c>
      <c r="K154" s="18">
        <v>2152</v>
      </c>
      <c r="L154" s="18">
        <f t="shared" si="2"/>
        <v>2152</v>
      </c>
      <c r="M154" s="18">
        <f t="shared" si="3"/>
        <v>2539.3599999999997</v>
      </c>
      <c r="N154" s="12">
        <v>1000</v>
      </c>
      <c r="O154" s="19">
        <v>0.18</v>
      </c>
      <c r="P154" s="18">
        <f t="shared" si="4"/>
        <v>1180</v>
      </c>
      <c r="Q154" s="12">
        <v>150</v>
      </c>
      <c r="R154" s="18">
        <f t="shared" si="5"/>
        <v>3719.3599999999997</v>
      </c>
      <c r="S154" s="22">
        <f t="shared" si="6"/>
        <v>3699</v>
      </c>
      <c r="T154" s="18">
        <f t="shared" si="7"/>
        <v>-20.359999999999673</v>
      </c>
      <c r="U154" s="18">
        <f t="shared" si="8"/>
        <v>1631.5</v>
      </c>
      <c r="V154" s="18">
        <f t="shared" si="9"/>
        <v>1382.6271186440679</v>
      </c>
      <c r="W154" s="24">
        <f t="shared" si="10"/>
        <v>0.85084745762711866</v>
      </c>
      <c r="X154" s="22"/>
    </row>
    <row r="155" spans="1:24" x14ac:dyDescent="0.25">
      <c r="A155" s="9" t="s">
        <v>24</v>
      </c>
      <c r="B155" s="9" t="s">
        <v>25</v>
      </c>
      <c r="C155" s="10"/>
      <c r="D155" s="9" t="s">
        <v>334</v>
      </c>
      <c r="E155" s="9" t="s">
        <v>335</v>
      </c>
      <c r="F155" s="12">
        <v>1</v>
      </c>
      <c r="G155" s="14">
        <v>3650</v>
      </c>
      <c r="H155" s="18">
        <f t="shared" si="0"/>
        <v>3650</v>
      </c>
      <c r="I155" s="19">
        <v>0.18</v>
      </c>
      <c r="J155" s="18">
        <f t="shared" si="1"/>
        <v>4307</v>
      </c>
      <c r="K155" s="18">
        <v>4296</v>
      </c>
      <c r="L155" s="18">
        <f t="shared" si="2"/>
        <v>4296</v>
      </c>
      <c r="M155" s="18">
        <f t="shared" si="3"/>
        <v>5069.28</v>
      </c>
      <c r="N155" s="12">
        <v>500</v>
      </c>
      <c r="O155" s="19">
        <v>0.18</v>
      </c>
      <c r="P155" s="18">
        <f t="shared" si="4"/>
        <v>590</v>
      </c>
      <c r="Q155" s="12">
        <v>0</v>
      </c>
      <c r="R155" s="18">
        <f t="shared" si="5"/>
        <v>5659.28</v>
      </c>
      <c r="S155" s="22">
        <f t="shared" si="6"/>
        <v>5649</v>
      </c>
      <c r="T155" s="18">
        <f t="shared" si="7"/>
        <v>-10.279999999999745</v>
      </c>
      <c r="U155" s="18">
        <f t="shared" si="8"/>
        <v>1342</v>
      </c>
      <c r="V155" s="18">
        <f t="shared" si="9"/>
        <v>1137.2881355932204</v>
      </c>
      <c r="W155" s="24">
        <f t="shared" si="10"/>
        <v>0.31158579057348507</v>
      </c>
      <c r="X155" s="22"/>
    </row>
    <row r="156" spans="1:24" x14ac:dyDescent="0.25">
      <c r="A156" s="9" t="s">
        <v>24</v>
      </c>
      <c r="B156" s="9" t="s">
        <v>40</v>
      </c>
      <c r="C156" s="10"/>
      <c r="D156" s="9" t="s">
        <v>336</v>
      </c>
      <c r="E156" s="9" t="s">
        <v>337</v>
      </c>
      <c r="F156" s="12">
        <v>1</v>
      </c>
      <c r="G156" s="14">
        <v>3650</v>
      </c>
      <c r="H156" s="18">
        <f t="shared" si="0"/>
        <v>3650</v>
      </c>
      <c r="I156" s="19">
        <v>0.18</v>
      </c>
      <c r="J156" s="18">
        <f t="shared" si="1"/>
        <v>4307</v>
      </c>
      <c r="K156" s="18">
        <v>4296</v>
      </c>
      <c r="L156" s="18">
        <f t="shared" si="2"/>
        <v>4296</v>
      </c>
      <c r="M156" s="18">
        <f t="shared" si="3"/>
        <v>5069.28</v>
      </c>
      <c r="N156" s="12">
        <v>500</v>
      </c>
      <c r="O156" s="19">
        <v>0.18</v>
      </c>
      <c r="P156" s="18">
        <f t="shared" si="4"/>
        <v>590</v>
      </c>
      <c r="Q156" s="12">
        <v>0</v>
      </c>
      <c r="R156" s="18">
        <f t="shared" si="5"/>
        <v>5659.28</v>
      </c>
      <c r="S156" s="22">
        <f t="shared" si="6"/>
        <v>5649</v>
      </c>
      <c r="T156" s="18">
        <f t="shared" si="7"/>
        <v>-10.279999999999745</v>
      </c>
      <c r="U156" s="18">
        <f t="shared" si="8"/>
        <v>1342</v>
      </c>
      <c r="V156" s="18">
        <f t="shared" si="9"/>
        <v>1137.2881355932204</v>
      </c>
      <c r="W156" s="24">
        <f t="shared" si="10"/>
        <v>0.31158579057348507</v>
      </c>
      <c r="X156" s="22"/>
    </row>
    <row r="157" spans="1:24" x14ac:dyDescent="0.25">
      <c r="A157" s="9" t="s">
        <v>24</v>
      </c>
      <c r="B157" s="9" t="s">
        <v>43</v>
      </c>
      <c r="C157" s="10"/>
      <c r="D157" s="9" t="s">
        <v>336</v>
      </c>
      <c r="E157" s="9" t="s">
        <v>338</v>
      </c>
      <c r="F157" s="12">
        <v>1</v>
      </c>
      <c r="G157" s="14">
        <v>3325</v>
      </c>
      <c r="H157" s="18">
        <f t="shared" si="0"/>
        <v>3325</v>
      </c>
      <c r="I157" s="19">
        <v>0.18</v>
      </c>
      <c r="J157" s="18">
        <f t="shared" si="1"/>
        <v>3923.5</v>
      </c>
      <c r="K157" s="18">
        <v>4335</v>
      </c>
      <c r="L157" s="18">
        <f t="shared" si="2"/>
        <v>4335</v>
      </c>
      <c r="M157" s="18">
        <f t="shared" si="3"/>
        <v>5115.3</v>
      </c>
      <c r="N157" s="12">
        <v>650</v>
      </c>
      <c r="O157" s="19">
        <v>0.18</v>
      </c>
      <c r="P157" s="18">
        <f t="shared" si="4"/>
        <v>767</v>
      </c>
      <c r="Q157" s="12">
        <v>150</v>
      </c>
      <c r="R157" s="18">
        <f t="shared" si="5"/>
        <v>5882.3</v>
      </c>
      <c r="S157" s="22">
        <f t="shared" si="6"/>
        <v>5899</v>
      </c>
      <c r="T157" s="18">
        <f t="shared" si="7"/>
        <v>16.699999999999818</v>
      </c>
      <c r="U157" s="18">
        <f t="shared" si="8"/>
        <v>1825.5</v>
      </c>
      <c r="V157" s="18">
        <f t="shared" si="9"/>
        <v>1547.0338983050849</v>
      </c>
      <c r="W157" s="24">
        <f t="shared" si="10"/>
        <v>0.46527335287370974</v>
      </c>
      <c r="X157" s="22"/>
    </row>
    <row r="158" spans="1:24" x14ac:dyDescent="0.25">
      <c r="A158" s="9" t="s">
        <v>24</v>
      </c>
      <c r="B158" s="9" t="s">
        <v>58</v>
      </c>
      <c r="C158" s="10"/>
      <c r="D158" s="9" t="s">
        <v>339</v>
      </c>
      <c r="E158" s="9" t="s">
        <v>340</v>
      </c>
      <c r="F158" s="12">
        <v>1</v>
      </c>
      <c r="G158" s="14">
        <v>12036</v>
      </c>
      <c r="H158" s="18">
        <f t="shared" si="0"/>
        <v>12036</v>
      </c>
      <c r="I158" s="19">
        <v>0.18</v>
      </c>
      <c r="J158" s="18">
        <f t="shared" si="1"/>
        <v>14202.48</v>
      </c>
      <c r="K158" s="18">
        <v>15168</v>
      </c>
      <c r="L158" s="18">
        <f t="shared" si="2"/>
        <v>15168</v>
      </c>
      <c r="M158" s="18">
        <f t="shared" si="3"/>
        <v>17898.239999999998</v>
      </c>
      <c r="N158" s="12">
        <v>300</v>
      </c>
      <c r="O158" s="19">
        <v>0.18</v>
      </c>
      <c r="P158" s="18">
        <f t="shared" si="4"/>
        <v>354</v>
      </c>
      <c r="Q158" s="12">
        <v>0</v>
      </c>
      <c r="R158" s="18">
        <f t="shared" si="5"/>
        <v>18252.239999999998</v>
      </c>
      <c r="S158" s="22">
        <f t="shared" si="6"/>
        <v>18249</v>
      </c>
      <c r="T158" s="18">
        <f t="shared" si="7"/>
        <v>-3.2399999999979627</v>
      </c>
      <c r="U158" s="18">
        <f t="shared" si="8"/>
        <v>4046.5200000000004</v>
      </c>
      <c r="V158" s="18">
        <f t="shared" si="9"/>
        <v>3429.2542372881362</v>
      </c>
      <c r="W158" s="24">
        <f t="shared" si="10"/>
        <v>0.28491643712929016</v>
      </c>
      <c r="X158" s="22"/>
    </row>
    <row r="159" spans="1:24" x14ac:dyDescent="0.25">
      <c r="A159" s="9" t="s">
        <v>24</v>
      </c>
      <c r="B159" s="9" t="s">
        <v>77</v>
      </c>
      <c r="C159" s="10"/>
      <c r="D159" s="9" t="s">
        <v>341</v>
      </c>
      <c r="E159" s="9" t="s">
        <v>342</v>
      </c>
      <c r="F159" s="12">
        <v>1</v>
      </c>
      <c r="G159" s="14">
        <v>370</v>
      </c>
      <c r="H159" s="18">
        <f t="shared" si="0"/>
        <v>370</v>
      </c>
      <c r="I159" s="19">
        <v>0.18</v>
      </c>
      <c r="J159" s="18">
        <f t="shared" si="1"/>
        <v>436.59999999999997</v>
      </c>
      <c r="K159" s="18">
        <v>461</v>
      </c>
      <c r="L159" s="18">
        <f t="shared" si="2"/>
        <v>461</v>
      </c>
      <c r="M159" s="18">
        <f t="shared" si="3"/>
        <v>543.98</v>
      </c>
      <c r="N159" s="12">
        <v>200</v>
      </c>
      <c r="O159" s="19">
        <v>0.18</v>
      </c>
      <c r="P159" s="18">
        <f t="shared" si="4"/>
        <v>236</v>
      </c>
      <c r="Q159" s="12">
        <v>20</v>
      </c>
      <c r="R159" s="18">
        <f t="shared" si="5"/>
        <v>779.98</v>
      </c>
      <c r="S159" s="22">
        <f t="shared" si="6"/>
        <v>799</v>
      </c>
      <c r="T159" s="18">
        <f t="shared" si="7"/>
        <v>19.019999999999982</v>
      </c>
      <c r="U159" s="18">
        <f t="shared" si="8"/>
        <v>342.40000000000003</v>
      </c>
      <c r="V159" s="18">
        <f t="shared" si="9"/>
        <v>290.16949152542378</v>
      </c>
      <c r="W159" s="24">
        <f t="shared" si="10"/>
        <v>0.78424186898763182</v>
      </c>
      <c r="X159" s="22"/>
    </row>
    <row r="160" spans="1:24" x14ac:dyDescent="0.25">
      <c r="A160" s="9" t="s">
        <v>24</v>
      </c>
      <c r="B160" s="9" t="s">
        <v>25</v>
      </c>
      <c r="C160" s="10"/>
      <c r="D160" s="9" t="s">
        <v>341</v>
      </c>
      <c r="E160" s="9" t="s">
        <v>343</v>
      </c>
      <c r="F160" s="12">
        <v>1</v>
      </c>
      <c r="G160" s="14">
        <v>544</v>
      </c>
      <c r="H160" s="18">
        <f t="shared" si="0"/>
        <v>544</v>
      </c>
      <c r="I160" s="19">
        <v>0.18</v>
      </c>
      <c r="J160" s="18">
        <f t="shared" si="1"/>
        <v>641.91999999999996</v>
      </c>
      <c r="K160" s="18">
        <v>640</v>
      </c>
      <c r="L160" s="18">
        <f t="shared" si="2"/>
        <v>640</v>
      </c>
      <c r="M160" s="18">
        <f t="shared" si="3"/>
        <v>755.19999999999993</v>
      </c>
      <c r="N160" s="12">
        <v>100</v>
      </c>
      <c r="O160" s="19">
        <v>0.18</v>
      </c>
      <c r="P160" s="18">
        <f t="shared" si="4"/>
        <v>118</v>
      </c>
      <c r="Q160" s="12">
        <v>0</v>
      </c>
      <c r="R160" s="18">
        <f t="shared" si="5"/>
        <v>873.19999999999993</v>
      </c>
      <c r="S160" s="22">
        <f t="shared" si="6"/>
        <v>849</v>
      </c>
      <c r="T160" s="18">
        <f t="shared" si="7"/>
        <v>-24.199999999999932</v>
      </c>
      <c r="U160" s="18">
        <f t="shared" si="8"/>
        <v>207.08000000000004</v>
      </c>
      <c r="V160" s="18">
        <f t="shared" si="9"/>
        <v>175.49152542372886</v>
      </c>
      <c r="W160" s="24">
        <f t="shared" si="10"/>
        <v>0.32259471585244276</v>
      </c>
      <c r="X160" s="22"/>
    </row>
    <row r="161" spans="1:24" x14ac:dyDescent="0.25">
      <c r="A161" s="9" t="s">
        <v>24</v>
      </c>
      <c r="B161" s="9" t="s">
        <v>692</v>
      </c>
      <c r="C161" s="10"/>
      <c r="D161" s="9" t="s">
        <v>341</v>
      </c>
      <c r="E161" s="9" t="s">
        <v>344</v>
      </c>
      <c r="F161" s="12">
        <v>1</v>
      </c>
      <c r="G161" s="14">
        <v>851</v>
      </c>
      <c r="H161" s="18">
        <f t="shared" si="0"/>
        <v>851</v>
      </c>
      <c r="I161" s="19">
        <v>0.18</v>
      </c>
      <c r="J161" s="18">
        <f t="shared" si="1"/>
        <v>1004.18</v>
      </c>
      <c r="K161" s="18">
        <v>1060</v>
      </c>
      <c r="L161" s="18">
        <f t="shared" si="2"/>
        <v>1060</v>
      </c>
      <c r="M161" s="18">
        <f t="shared" si="3"/>
        <v>1250.8</v>
      </c>
      <c r="N161" s="12">
        <v>300</v>
      </c>
      <c r="O161" s="19">
        <v>0.18</v>
      </c>
      <c r="P161" s="18">
        <f t="shared" si="4"/>
        <v>354</v>
      </c>
      <c r="Q161" s="12">
        <v>50</v>
      </c>
      <c r="R161" s="18">
        <f t="shared" si="5"/>
        <v>1604.8</v>
      </c>
      <c r="S161" s="22">
        <f t="shared" si="6"/>
        <v>1599</v>
      </c>
      <c r="T161" s="18">
        <f t="shared" si="7"/>
        <v>-5.7999999999999545</v>
      </c>
      <c r="U161" s="18">
        <f t="shared" si="8"/>
        <v>544.82000000000005</v>
      </c>
      <c r="V161" s="18">
        <f t="shared" si="9"/>
        <v>461.71186440677974</v>
      </c>
      <c r="W161" s="24">
        <f t="shared" si="10"/>
        <v>0.54255213208787278</v>
      </c>
      <c r="X161" s="22"/>
    </row>
    <row r="162" spans="1:24" x14ac:dyDescent="0.25">
      <c r="A162" s="9" t="s">
        <v>345</v>
      </c>
      <c r="B162" s="9" t="s">
        <v>346</v>
      </c>
      <c r="C162" s="10"/>
      <c r="D162" s="9" t="s">
        <v>347</v>
      </c>
      <c r="E162" s="9" t="s">
        <v>348</v>
      </c>
      <c r="F162" s="12">
        <v>1</v>
      </c>
      <c r="G162" s="14">
        <v>2061</v>
      </c>
      <c r="H162" s="18">
        <f t="shared" si="0"/>
        <v>2061</v>
      </c>
      <c r="I162" s="19">
        <v>0.05</v>
      </c>
      <c r="J162" s="18">
        <f t="shared" si="1"/>
        <v>2164.0500000000002</v>
      </c>
      <c r="K162" s="18">
        <v>2061</v>
      </c>
      <c r="L162" s="18">
        <f t="shared" si="2"/>
        <v>2061</v>
      </c>
      <c r="M162" s="18">
        <f t="shared" si="3"/>
        <v>2164.0500000000002</v>
      </c>
      <c r="N162" s="12">
        <v>3650</v>
      </c>
      <c r="O162" s="19">
        <v>0.18</v>
      </c>
      <c r="P162" s="18">
        <f t="shared" si="4"/>
        <v>4307</v>
      </c>
      <c r="Q162" s="12">
        <v>4307</v>
      </c>
      <c r="R162" s="18">
        <f t="shared" si="5"/>
        <v>6471.05</v>
      </c>
      <c r="S162" s="22">
        <f t="shared" si="6"/>
        <v>6449</v>
      </c>
      <c r="T162" s="18">
        <f t="shared" si="7"/>
        <v>-22.050000000000182</v>
      </c>
      <c r="U162" s="18">
        <f t="shared" si="8"/>
        <v>-22.050000000000182</v>
      </c>
      <c r="V162" s="18">
        <f t="shared" si="9"/>
        <v>-21.000000000000174</v>
      </c>
      <c r="W162" s="24">
        <f t="shared" si="10"/>
        <v>-1.0189228529839969E-2</v>
      </c>
      <c r="X162" s="22"/>
    </row>
    <row r="163" spans="1:24" x14ac:dyDescent="0.25">
      <c r="A163" s="9" t="s">
        <v>24</v>
      </c>
      <c r="B163" s="9" t="s">
        <v>81</v>
      </c>
      <c r="C163" s="10"/>
      <c r="D163" s="9" t="s">
        <v>349</v>
      </c>
      <c r="E163" s="9" t="s">
        <v>350</v>
      </c>
      <c r="F163" s="12">
        <v>1</v>
      </c>
      <c r="G163" s="14">
        <v>1594</v>
      </c>
      <c r="H163" s="18">
        <f t="shared" si="0"/>
        <v>1594</v>
      </c>
      <c r="I163" s="19">
        <v>0.18</v>
      </c>
      <c r="J163" s="18">
        <f t="shared" si="1"/>
        <v>1880.9199999999998</v>
      </c>
      <c r="K163" s="18">
        <v>2111</v>
      </c>
      <c r="L163" s="18">
        <f t="shared" si="2"/>
        <v>2111</v>
      </c>
      <c r="M163" s="18">
        <f t="shared" si="3"/>
        <v>2490.98</v>
      </c>
      <c r="N163" s="12">
        <v>0</v>
      </c>
      <c r="O163" s="19">
        <v>0.18</v>
      </c>
      <c r="P163" s="18">
        <f t="shared" si="4"/>
        <v>0</v>
      </c>
      <c r="Q163" s="12">
        <v>0</v>
      </c>
      <c r="R163" s="18">
        <f t="shared" si="5"/>
        <v>2490.98</v>
      </c>
      <c r="S163" s="22">
        <f t="shared" si="6"/>
        <v>2499</v>
      </c>
      <c r="T163" s="18">
        <f t="shared" si="7"/>
        <v>8.0199999999999818</v>
      </c>
      <c r="U163" s="18">
        <f t="shared" si="8"/>
        <v>618.08000000000015</v>
      </c>
      <c r="V163" s="18">
        <f t="shared" si="9"/>
        <v>523.79661016949171</v>
      </c>
      <c r="W163" s="24">
        <f t="shared" si="10"/>
        <v>0.32860515067094836</v>
      </c>
      <c r="X163" s="22"/>
    </row>
    <row r="164" spans="1:24" x14ac:dyDescent="0.25">
      <c r="A164" s="9" t="s">
        <v>24</v>
      </c>
      <c r="B164" s="9" t="s">
        <v>25</v>
      </c>
      <c r="C164" s="10"/>
      <c r="D164" s="9" t="s">
        <v>351</v>
      </c>
      <c r="E164" s="9" t="s">
        <v>352</v>
      </c>
      <c r="F164" s="12">
        <v>1</v>
      </c>
      <c r="G164" s="14">
        <v>798</v>
      </c>
      <c r="H164" s="18">
        <f t="shared" si="0"/>
        <v>798</v>
      </c>
      <c r="I164" s="19">
        <v>0.18</v>
      </c>
      <c r="J164" s="18">
        <f t="shared" si="1"/>
        <v>941.64</v>
      </c>
      <c r="K164" s="18">
        <v>940</v>
      </c>
      <c r="L164" s="18">
        <f t="shared" si="2"/>
        <v>940</v>
      </c>
      <c r="M164" s="18">
        <f t="shared" si="3"/>
        <v>1109.2</v>
      </c>
      <c r="N164" s="12">
        <v>0</v>
      </c>
      <c r="O164" s="19">
        <v>0.18</v>
      </c>
      <c r="P164" s="18">
        <f t="shared" si="4"/>
        <v>0</v>
      </c>
      <c r="Q164" s="12">
        <v>0</v>
      </c>
      <c r="R164" s="18">
        <f t="shared" si="5"/>
        <v>1109.2</v>
      </c>
      <c r="S164" s="22">
        <f t="shared" si="6"/>
        <v>1099</v>
      </c>
      <c r="T164" s="18">
        <f t="shared" si="7"/>
        <v>-10.200000000000045</v>
      </c>
      <c r="U164" s="18">
        <f t="shared" si="8"/>
        <v>157.36000000000001</v>
      </c>
      <c r="V164" s="18">
        <f t="shared" si="9"/>
        <v>133.35593220338984</v>
      </c>
      <c r="W164" s="24">
        <f t="shared" si="10"/>
        <v>0.16711269699672912</v>
      </c>
      <c r="X164" s="22"/>
    </row>
    <row r="165" spans="1:24" x14ac:dyDescent="0.25">
      <c r="A165" s="9" t="s">
        <v>24</v>
      </c>
      <c r="B165" s="9" t="s">
        <v>81</v>
      </c>
      <c r="C165" s="10"/>
      <c r="D165" s="9" t="s">
        <v>353</v>
      </c>
      <c r="E165" s="9" t="s">
        <v>354</v>
      </c>
      <c r="F165" s="12">
        <v>1</v>
      </c>
      <c r="G165" s="14">
        <v>1229</v>
      </c>
      <c r="H165" s="18">
        <f t="shared" si="0"/>
        <v>1229</v>
      </c>
      <c r="I165" s="19">
        <v>0.18</v>
      </c>
      <c r="J165" s="18">
        <f t="shared" si="1"/>
        <v>1450.22</v>
      </c>
      <c r="K165" s="18">
        <v>1319</v>
      </c>
      <c r="L165" s="18">
        <f t="shared" si="2"/>
        <v>1319</v>
      </c>
      <c r="M165" s="18">
        <f t="shared" si="3"/>
        <v>1556.4199999999998</v>
      </c>
      <c r="N165" s="12">
        <v>0</v>
      </c>
      <c r="O165" s="19">
        <v>0.18</v>
      </c>
      <c r="P165" s="18">
        <f t="shared" si="4"/>
        <v>0</v>
      </c>
      <c r="Q165" s="12">
        <v>0</v>
      </c>
      <c r="R165" s="18">
        <f t="shared" si="5"/>
        <v>1556.4199999999998</v>
      </c>
      <c r="S165" s="22">
        <f t="shared" si="6"/>
        <v>1549</v>
      </c>
      <c r="T165" s="18">
        <f t="shared" si="7"/>
        <v>-7.4199999999998454</v>
      </c>
      <c r="U165" s="18">
        <f t="shared" si="8"/>
        <v>98.779999999999973</v>
      </c>
      <c r="V165" s="18">
        <f t="shared" si="9"/>
        <v>83.71186440677964</v>
      </c>
      <c r="W165" s="24">
        <f t="shared" si="10"/>
        <v>6.8113803422928915E-2</v>
      </c>
      <c r="X165" s="22"/>
    </row>
    <row r="166" spans="1:24" x14ac:dyDescent="0.25">
      <c r="A166" s="9" t="s">
        <v>24</v>
      </c>
      <c r="B166" s="9" t="s">
        <v>150</v>
      </c>
      <c r="C166" s="10"/>
      <c r="D166" s="9" t="s">
        <v>355</v>
      </c>
      <c r="E166" s="9" t="s">
        <v>356</v>
      </c>
      <c r="F166" s="12">
        <v>1</v>
      </c>
      <c r="G166" s="14">
        <v>2588</v>
      </c>
      <c r="H166" s="18">
        <f t="shared" si="0"/>
        <v>2588</v>
      </c>
      <c r="I166" s="19">
        <v>0.18</v>
      </c>
      <c r="J166" s="18">
        <f t="shared" si="1"/>
        <v>3053.8399999999997</v>
      </c>
      <c r="K166" s="18">
        <v>3261</v>
      </c>
      <c r="L166" s="18">
        <f t="shared" si="2"/>
        <v>3261</v>
      </c>
      <c r="M166" s="18">
        <f t="shared" si="3"/>
        <v>3847.98</v>
      </c>
      <c r="N166" s="12">
        <v>0</v>
      </c>
      <c r="O166" s="19">
        <v>0.18</v>
      </c>
      <c r="P166" s="18">
        <f t="shared" si="4"/>
        <v>0</v>
      </c>
      <c r="Q166" s="12">
        <v>10</v>
      </c>
      <c r="R166" s="18">
        <f t="shared" si="5"/>
        <v>3847.98</v>
      </c>
      <c r="S166" s="22">
        <f t="shared" si="6"/>
        <v>3849</v>
      </c>
      <c r="T166" s="18">
        <f t="shared" si="7"/>
        <v>1.0199999999999818</v>
      </c>
      <c r="U166" s="18">
        <f t="shared" si="8"/>
        <v>785.16000000000031</v>
      </c>
      <c r="V166" s="18">
        <f t="shared" si="9"/>
        <v>665.38983050847492</v>
      </c>
      <c r="W166" s="24">
        <f t="shared" si="10"/>
        <v>0.25710580776988984</v>
      </c>
      <c r="X166" s="22"/>
    </row>
    <row r="167" spans="1:24" x14ac:dyDescent="0.25">
      <c r="A167" s="9" t="s">
        <v>24</v>
      </c>
      <c r="B167" s="9" t="s">
        <v>134</v>
      </c>
      <c r="C167" s="10"/>
      <c r="D167" s="9" t="s">
        <v>355</v>
      </c>
      <c r="E167" s="9" t="s">
        <v>357</v>
      </c>
      <c r="F167" s="12">
        <v>1</v>
      </c>
      <c r="G167" s="14">
        <v>2043</v>
      </c>
      <c r="H167" s="18">
        <f t="shared" si="0"/>
        <v>2043</v>
      </c>
      <c r="I167" s="19">
        <v>0.18</v>
      </c>
      <c r="J167" s="18">
        <f t="shared" si="1"/>
        <v>2410.7399999999998</v>
      </c>
      <c r="K167" s="18">
        <v>2575</v>
      </c>
      <c r="L167" s="18">
        <f t="shared" si="2"/>
        <v>2575</v>
      </c>
      <c r="M167" s="18">
        <f t="shared" si="3"/>
        <v>3038.5</v>
      </c>
      <c r="N167" s="12">
        <v>0</v>
      </c>
      <c r="O167" s="19">
        <v>0.18</v>
      </c>
      <c r="P167" s="18">
        <f t="shared" si="4"/>
        <v>0</v>
      </c>
      <c r="Q167" s="12">
        <v>10</v>
      </c>
      <c r="R167" s="18">
        <f t="shared" si="5"/>
        <v>3038.5</v>
      </c>
      <c r="S167" s="22">
        <f t="shared" si="6"/>
        <v>3049</v>
      </c>
      <c r="T167" s="18">
        <f t="shared" si="7"/>
        <v>10.5</v>
      </c>
      <c r="U167" s="18">
        <f t="shared" si="8"/>
        <v>628.26000000000022</v>
      </c>
      <c r="V167" s="18">
        <f t="shared" si="9"/>
        <v>532.42372881355959</v>
      </c>
      <c r="W167" s="24">
        <f t="shared" si="10"/>
        <v>0.26060877572861457</v>
      </c>
      <c r="X167" s="22"/>
    </row>
    <row r="168" spans="1:24" x14ac:dyDescent="0.25">
      <c r="A168" s="9" t="s">
        <v>24</v>
      </c>
      <c r="B168" s="9" t="s">
        <v>137</v>
      </c>
      <c r="C168" s="10"/>
      <c r="D168" s="9" t="s">
        <v>355</v>
      </c>
      <c r="E168" s="9" t="s">
        <v>358</v>
      </c>
      <c r="F168" s="12">
        <v>1</v>
      </c>
      <c r="G168" s="14">
        <v>2319</v>
      </c>
      <c r="H168" s="18">
        <f t="shared" si="0"/>
        <v>2319</v>
      </c>
      <c r="I168" s="19">
        <v>0.18</v>
      </c>
      <c r="J168" s="18">
        <f t="shared" si="1"/>
        <v>2736.42</v>
      </c>
      <c r="K168" s="18">
        <v>2922</v>
      </c>
      <c r="L168" s="18">
        <f t="shared" si="2"/>
        <v>2922</v>
      </c>
      <c r="M168" s="18">
        <f t="shared" si="3"/>
        <v>3447.96</v>
      </c>
      <c r="N168" s="12">
        <v>0</v>
      </c>
      <c r="O168" s="19">
        <v>0.18</v>
      </c>
      <c r="P168" s="18">
        <f t="shared" si="4"/>
        <v>0</v>
      </c>
      <c r="Q168" s="12">
        <v>10</v>
      </c>
      <c r="R168" s="18">
        <f t="shared" si="5"/>
        <v>3447.96</v>
      </c>
      <c r="S168" s="22">
        <f t="shared" si="6"/>
        <v>3449</v>
      </c>
      <c r="T168" s="18">
        <f t="shared" si="7"/>
        <v>1.0399999999999636</v>
      </c>
      <c r="U168" s="18">
        <f t="shared" si="8"/>
        <v>702.57999999999993</v>
      </c>
      <c r="V168" s="18">
        <f t="shared" si="9"/>
        <v>595.40677966101691</v>
      </c>
      <c r="W168" s="24">
        <f t="shared" si="10"/>
        <v>0.25675152206167179</v>
      </c>
      <c r="X168" s="22"/>
    </row>
    <row r="169" spans="1:24" x14ac:dyDescent="0.25">
      <c r="A169" s="9" t="s">
        <v>24</v>
      </c>
      <c r="B169" s="9" t="s">
        <v>44</v>
      </c>
      <c r="C169" s="10"/>
      <c r="D169" s="9" t="s">
        <v>355</v>
      </c>
      <c r="E169" s="9" t="s">
        <v>359</v>
      </c>
      <c r="F169" s="12">
        <v>1</v>
      </c>
      <c r="G169" s="14">
        <v>2678</v>
      </c>
      <c r="H169" s="18">
        <f t="shared" si="0"/>
        <v>2678</v>
      </c>
      <c r="I169" s="19">
        <v>0.18</v>
      </c>
      <c r="J169" s="18">
        <f t="shared" si="1"/>
        <v>3160.04</v>
      </c>
      <c r="K169" s="18">
        <v>3375</v>
      </c>
      <c r="L169" s="18">
        <f t="shared" si="2"/>
        <v>3375</v>
      </c>
      <c r="M169" s="18">
        <f t="shared" si="3"/>
        <v>3982.5</v>
      </c>
      <c r="N169" s="12">
        <v>0</v>
      </c>
      <c r="O169" s="19">
        <v>0.18</v>
      </c>
      <c r="P169" s="18">
        <f t="shared" si="4"/>
        <v>0</v>
      </c>
      <c r="Q169" s="12">
        <v>10</v>
      </c>
      <c r="R169" s="18">
        <f t="shared" si="5"/>
        <v>3982.5</v>
      </c>
      <c r="S169" s="22">
        <f t="shared" si="6"/>
        <v>3999</v>
      </c>
      <c r="T169" s="18">
        <f t="shared" si="7"/>
        <v>16.5</v>
      </c>
      <c r="U169" s="18">
        <f t="shared" si="8"/>
        <v>828.96</v>
      </c>
      <c r="V169" s="18">
        <f t="shared" si="9"/>
        <v>702.50847457627128</v>
      </c>
      <c r="W169" s="24">
        <f t="shared" si="10"/>
        <v>0.2623257933443881</v>
      </c>
      <c r="X169" s="22"/>
    </row>
    <row r="170" spans="1:24" x14ac:dyDescent="0.25">
      <c r="A170" s="9" t="s">
        <v>24</v>
      </c>
      <c r="B170" s="9" t="s">
        <v>52</v>
      </c>
      <c r="C170" s="10"/>
      <c r="D170" s="9" t="s">
        <v>355</v>
      </c>
      <c r="E170" s="9" t="s">
        <v>360</v>
      </c>
      <c r="F170" s="12">
        <v>1</v>
      </c>
      <c r="G170" s="14">
        <v>3100</v>
      </c>
      <c r="H170" s="18">
        <f t="shared" si="0"/>
        <v>3100</v>
      </c>
      <c r="I170" s="19">
        <v>0.18</v>
      </c>
      <c r="J170" s="18">
        <f t="shared" si="1"/>
        <v>3658</v>
      </c>
      <c r="K170" s="18">
        <v>3906</v>
      </c>
      <c r="L170" s="18">
        <f t="shared" si="2"/>
        <v>3906</v>
      </c>
      <c r="M170" s="18">
        <f t="shared" si="3"/>
        <v>4609.08</v>
      </c>
      <c r="N170" s="12">
        <v>0</v>
      </c>
      <c r="O170" s="19">
        <v>0.18</v>
      </c>
      <c r="P170" s="18">
        <f t="shared" si="4"/>
        <v>0</v>
      </c>
      <c r="Q170" s="12">
        <v>10</v>
      </c>
      <c r="R170" s="18">
        <f t="shared" si="5"/>
        <v>4609.08</v>
      </c>
      <c r="S170" s="22">
        <f t="shared" si="6"/>
        <v>4599</v>
      </c>
      <c r="T170" s="18">
        <f t="shared" si="7"/>
        <v>-10.079999999999927</v>
      </c>
      <c r="U170" s="18">
        <f t="shared" si="8"/>
        <v>931</v>
      </c>
      <c r="V170" s="18">
        <f t="shared" si="9"/>
        <v>788.98305084745766</v>
      </c>
      <c r="W170" s="24">
        <f t="shared" si="10"/>
        <v>0.25451066156369601</v>
      </c>
      <c r="X170" s="22"/>
    </row>
    <row r="171" spans="1:24" x14ac:dyDescent="0.25">
      <c r="A171" s="9" t="s">
        <v>24</v>
      </c>
      <c r="B171" s="9" t="s">
        <v>58</v>
      </c>
      <c r="C171" s="10"/>
      <c r="D171" s="9" t="s">
        <v>355</v>
      </c>
      <c r="E171" s="9" t="s">
        <v>361</v>
      </c>
      <c r="F171" s="12">
        <v>1</v>
      </c>
      <c r="G171" s="14">
        <v>4439</v>
      </c>
      <c r="H171" s="18">
        <f t="shared" si="0"/>
        <v>4439</v>
      </c>
      <c r="I171" s="19">
        <v>0.18</v>
      </c>
      <c r="J171" s="18">
        <f t="shared" si="1"/>
        <v>5238.0199999999995</v>
      </c>
      <c r="K171" s="18">
        <v>5594</v>
      </c>
      <c r="L171" s="18">
        <f t="shared" si="2"/>
        <v>5594</v>
      </c>
      <c r="M171" s="18">
        <f t="shared" si="3"/>
        <v>6600.92</v>
      </c>
      <c r="N171" s="12">
        <v>0</v>
      </c>
      <c r="O171" s="19">
        <v>0.18</v>
      </c>
      <c r="P171" s="18">
        <f t="shared" si="4"/>
        <v>0</v>
      </c>
      <c r="Q171" s="12">
        <v>10</v>
      </c>
      <c r="R171" s="18">
        <f t="shared" si="5"/>
        <v>6600.92</v>
      </c>
      <c r="S171" s="22">
        <f t="shared" si="6"/>
        <v>6599</v>
      </c>
      <c r="T171" s="18">
        <f t="shared" si="7"/>
        <v>-1.9200000000000728</v>
      </c>
      <c r="U171" s="18">
        <f t="shared" si="8"/>
        <v>1350.9800000000005</v>
      </c>
      <c r="V171" s="18">
        <f t="shared" si="9"/>
        <v>1144.8983050847462</v>
      </c>
      <c r="W171" s="24">
        <f t="shared" si="10"/>
        <v>0.25791806827770808</v>
      </c>
      <c r="X171" s="22"/>
    </row>
    <row r="172" spans="1:24" x14ac:dyDescent="0.25">
      <c r="A172" s="9" t="s">
        <v>24</v>
      </c>
      <c r="B172" s="9" t="s">
        <v>63</v>
      </c>
      <c r="C172" s="10"/>
      <c r="D172" s="9" t="s">
        <v>355</v>
      </c>
      <c r="E172" s="9" t="s">
        <v>362</v>
      </c>
      <c r="F172" s="12">
        <v>1</v>
      </c>
      <c r="G172" s="14">
        <v>3911</v>
      </c>
      <c r="H172" s="18">
        <f t="shared" si="0"/>
        <v>3911</v>
      </c>
      <c r="I172" s="19">
        <v>0.18</v>
      </c>
      <c r="J172" s="18">
        <f t="shared" si="1"/>
        <v>4614.9799999999996</v>
      </c>
      <c r="K172" s="18">
        <v>4929</v>
      </c>
      <c r="L172" s="18">
        <f t="shared" si="2"/>
        <v>4929</v>
      </c>
      <c r="M172" s="18">
        <f t="shared" si="3"/>
        <v>5816.2199999999993</v>
      </c>
      <c r="N172" s="12">
        <v>0</v>
      </c>
      <c r="O172" s="19">
        <v>0.18</v>
      </c>
      <c r="P172" s="18">
        <f t="shared" si="4"/>
        <v>0</v>
      </c>
      <c r="Q172" s="12">
        <v>10</v>
      </c>
      <c r="R172" s="18">
        <f t="shared" si="5"/>
        <v>5816.2199999999993</v>
      </c>
      <c r="S172" s="22">
        <f t="shared" si="6"/>
        <v>5799</v>
      </c>
      <c r="T172" s="18">
        <f t="shared" si="7"/>
        <v>-17.219999999999345</v>
      </c>
      <c r="U172" s="18">
        <f t="shared" si="8"/>
        <v>1174.0200000000004</v>
      </c>
      <c r="V172" s="18">
        <f t="shared" si="9"/>
        <v>994.93220338983087</v>
      </c>
      <c r="W172" s="24">
        <f t="shared" si="10"/>
        <v>0.25439330181279235</v>
      </c>
      <c r="X172" s="22"/>
    </row>
    <row r="173" spans="1:24" x14ac:dyDescent="0.25">
      <c r="A173" s="9" t="s">
        <v>94</v>
      </c>
      <c r="B173" s="9" t="s">
        <v>94</v>
      </c>
      <c r="C173" s="10"/>
      <c r="D173" s="9" t="s">
        <v>363</v>
      </c>
      <c r="E173" s="9" t="s">
        <v>364</v>
      </c>
      <c r="F173" s="12">
        <v>1</v>
      </c>
      <c r="G173" s="14">
        <v>266</v>
      </c>
      <c r="H173" s="18">
        <f t="shared" si="0"/>
        <v>266</v>
      </c>
      <c r="I173" s="19">
        <v>0.05</v>
      </c>
      <c r="J173" s="18">
        <f t="shared" si="1"/>
        <v>279.3</v>
      </c>
      <c r="K173" s="18">
        <v>297</v>
      </c>
      <c r="L173" s="18">
        <f t="shared" si="2"/>
        <v>297</v>
      </c>
      <c r="M173" s="18">
        <f t="shared" si="3"/>
        <v>311.85000000000002</v>
      </c>
      <c r="N173" s="12">
        <v>0</v>
      </c>
      <c r="O173" s="19">
        <v>0.18</v>
      </c>
      <c r="P173" s="18">
        <f t="shared" si="4"/>
        <v>0</v>
      </c>
      <c r="Q173" s="12">
        <v>0</v>
      </c>
      <c r="R173" s="18">
        <f t="shared" si="5"/>
        <v>311.85000000000002</v>
      </c>
      <c r="S173" s="22">
        <f t="shared" si="6"/>
        <v>299</v>
      </c>
      <c r="T173" s="18">
        <f t="shared" si="7"/>
        <v>-12.850000000000023</v>
      </c>
      <c r="U173" s="18">
        <f t="shared" si="8"/>
        <v>19.699999999999989</v>
      </c>
      <c r="V173" s="18">
        <f t="shared" si="9"/>
        <v>18.761904761904749</v>
      </c>
      <c r="W173" s="24">
        <f t="shared" si="10"/>
        <v>7.0533476548514093E-2</v>
      </c>
      <c r="X173" s="22"/>
    </row>
    <row r="174" spans="1:24" x14ac:dyDescent="0.25">
      <c r="A174" s="9" t="s">
        <v>94</v>
      </c>
      <c r="B174" s="9" t="s">
        <v>94</v>
      </c>
      <c r="C174" s="10"/>
      <c r="D174" s="9" t="s">
        <v>365</v>
      </c>
      <c r="E174" s="9" t="s">
        <v>366</v>
      </c>
      <c r="F174" s="12">
        <v>1</v>
      </c>
      <c r="G174" s="14">
        <v>487</v>
      </c>
      <c r="H174" s="18">
        <f t="shared" si="0"/>
        <v>487</v>
      </c>
      <c r="I174" s="19">
        <v>0.18</v>
      </c>
      <c r="J174" s="18">
        <f t="shared" si="1"/>
        <v>574.66</v>
      </c>
      <c r="K174" s="18">
        <v>589</v>
      </c>
      <c r="L174" s="18">
        <f t="shared" si="2"/>
        <v>589</v>
      </c>
      <c r="M174" s="18">
        <f t="shared" si="3"/>
        <v>695.02</v>
      </c>
      <c r="N174" s="12">
        <v>0</v>
      </c>
      <c r="O174" s="19">
        <v>0.18</v>
      </c>
      <c r="P174" s="18">
        <f t="shared" si="4"/>
        <v>0</v>
      </c>
      <c r="Q174" s="12">
        <v>0</v>
      </c>
      <c r="R174" s="18">
        <f t="shared" si="5"/>
        <v>695.02</v>
      </c>
      <c r="S174" s="22">
        <f t="shared" si="6"/>
        <v>699</v>
      </c>
      <c r="T174" s="18">
        <f t="shared" si="7"/>
        <v>3.9800000000000182</v>
      </c>
      <c r="U174" s="18">
        <f t="shared" si="8"/>
        <v>124.34000000000003</v>
      </c>
      <c r="V174" s="18">
        <f t="shared" si="9"/>
        <v>105.37288135593224</v>
      </c>
      <c r="W174" s="24">
        <f t="shared" si="10"/>
        <v>0.21637141962203746</v>
      </c>
      <c r="X174" s="22"/>
    </row>
    <row r="175" spans="1:24" x14ac:dyDescent="0.25">
      <c r="A175" s="9" t="s">
        <v>24</v>
      </c>
      <c r="B175" s="9" t="s">
        <v>25</v>
      </c>
      <c r="C175" s="10"/>
      <c r="D175" s="9" t="s">
        <v>367</v>
      </c>
      <c r="E175" s="9" t="s">
        <v>368</v>
      </c>
      <c r="F175" s="12">
        <v>1</v>
      </c>
      <c r="G175" s="14">
        <v>948</v>
      </c>
      <c r="H175" s="18">
        <f t="shared" si="0"/>
        <v>948</v>
      </c>
      <c r="I175" s="19">
        <v>0.18</v>
      </c>
      <c r="J175" s="18">
        <f t="shared" si="1"/>
        <v>1118.6399999999999</v>
      </c>
      <c r="K175" s="18">
        <v>1116</v>
      </c>
      <c r="L175" s="18">
        <f t="shared" si="2"/>
        <v>1116</v>
      </c>
      <c r="M175" s="18">
        <f t="shared" si="3"/>
        <v>1316.8799999999999</v>
      </c>
      <c r="N175" s="12">
        <v>300</v>
      </c>
      <c r="O175" s="19">
        <v>0.18</v>
      </c>
      <c r="P175" s="18">
        <f t="shared" si="4"/>
        <v>354</v>
      </c>
      <c r="Q175" s="12">
        <v>0</v>
      </c>
      <c r="R175" s="18">
        <f t="shared" si="5"/>
        <v>1670.8799999999999</v>
      </c>
      <c r="S175" s="22">
        <f t="shared" si="6"/>
        <v>1649</v>
      </c>
      <c r="T175" s="18">
        <f t="shared" si="7"/>
        <v>-21.879999999999882</v>
      </c>
      <c r="U175" s="18">
        <f t="shared" si="8"/>
        <v>530.36000000000013</v>
      </c>
      <c r="V175" s="18">
        <f t="shared" si="9"/>
        <v>449.45762711864421</v>
      </c>
      <c r="W175" s="24">
        <f t="shared" si="10"/>
        <v>0.47411142101122805</v>
      </c>
      <c r="X175" s="22"/>
    </row>
    <row r="176" spans="1:24" x14ac:dyDescent="0.25">
      <c r="A176" s="9" t="s">
        <v>24</v>
      </c>
      <c r="B176" s="9" t="s">
        <v>43</v>
      </c>
      <c r="C176" s="10"/>
      <c r="D176" s="9" t="s">
        <v>369</v>
      </c>
      <c r="E176" s="9" t="s">
        <v>370</v>
      </c>
      <c r="F176" s="12">
        <v>1</v>
      </c>
      <c r="G176" s="14">
        <v>1089</v>
      </c>
      <c r="H176" s="18">
        <f t="shared" si="0"/>
        <v>1089</v>
      </c>
      <c r="I176" s="19">
        <v>0.18</v>
      </c>
      <c r="J176" s="18">
        <f t="shared" si="1"/>
        <v>1285.02</v>
      </c>
      <c r="K176" s="18">
        <v>1357</v>
      </c>
      <c r="L176" s="18">
        <f t="shared" si="2"/>
        <v>1357</v>
      </c>
      <c r="M176" s="18">
        <f t="shared" si="3"/>
        <v>1601.26</v>
      </c>
      <c r="N176" s="12">
        <v>400</v>
      </c>
      <c r="O176" s="19">
        <v>0.18</v>
      </c>
      <c r="P176" s="18">
        <f t="shared" si="4"/>
        <v>472</v>
      </c>
      <c r="Q176" s="12">
        <v>100</v>
      </c>
      <c r="R176" s="18">
        <f t="shared" si="5"/>
        <v>2073.2600000000002</v>
      </c>
      <c r="S176" s="22">
        <f t="shared" si="6"/>
        <v>2049</v>
      </c>
      <c r="T176" s="18">
        <f t="shared" si="7"/>
        <v>-24.260000000000218</v>
      </c>
      <c r="U176" s="18">
        <f t="shared" si="8"/>
        <v>663.98</v>
      </c>
      <c r="V176" s="18">
        <f t="shared" si="9"/>
        <v>562.69491525423734</v>
      </c>
      <c r="W176" s="24">
        <f t="shared" si="10"/>
        <v>0.51670791116091586</v>
      </c>
      <c r="X176" s="22"/>
    </row>
    <row r="177" spans="1:24" x14ac:dyDescent="0.25">
      <c r="A177" s="9" t="s">
        <v>24</v>
      </c>
      <c r="B177" s="9" t="s">
        <v>692</v>
      </c>
      <c r="C177" s="10"/>
      <c r="D177" s="9" t="s">
        <v>367</v>
      </c>
      <c r="E177" s="9" t="s">
        <v>371</v>
      </c>
      <c r="F177" s="12">
        <v>1</v>
      </c>
      <c r="G177" s="14">
        <v>904</v>
      </c>
      <c r="H177" s="18">
        <f t="shared" si="0"/>
        <v>904</v>
      </c>
      <c r="I177" s="19">
        <v>0.18</v>
      </c>
      <c r="J177" s="18">
        <f t="shared" si="1"/>
        <v>1066.72</v>
      </c>
      <c r="K177" s="18">
        <v>1178</v>
      </c>
      <c r="L177" s="18">
        <f t="shared" si="2"/>
        <v>1178</v>
      </c>
      <c r="M177" s="18">
        <f t="shared" si="3"/>
        <v>1390.04</v>
      </c>
      <c r="N177" s="12">
        <v>500</v>
      </c>
      <c r="O177" s="19">
        <v>0.18</v>
      </c>
      <c r="P177" s="18">
        <f t="shared" si="4"/>
        <v>590</v>
      </c>
      <c r="Q177" s="12">
        <v>150</v>
      </c>
      <c r="R177" s="18">
        <f t="shared" si="5"/>
        <v>1980.04</v>
      </c>
      <c r="S177" s="22">
        <f t="shared" si="6"/>
        <v>1999</v>
      </c>
      <c r="T177" s="18">
        <f t="shared" si="7"/>
        <v>18.960000000000036</v>
      </c>
      <c r="U177" s="18">
        <f t="shared" si="8"/>
        <v>782.28</v>
      </c>
      <c r="V177" s="18">
        <f t="shared" si="9"/>
        <v>662.94915254237287</v>
      </c>
      <c r="W177" s="24">
        <f t="shared" si="10"/>
        <v>0.73335083245837707</v>
      </c>
      <c r="X177" s="22"/>
    </row>
    <row r="178" spans="1:24" x14ac:dyDescent="0.25">
      <c r="A178" s="9" t="s">
        <v>24</v>
      </c>
      <c r="B178" s="9" t="s">
        <v>40</v>
      </c>
      <c r="C178" s="10"/>
      <c r="D178" s="9" t="s">
        <v>372</v>
      </c>
      <c r="E178" s="9" t="s">
        <v>373</v>
      </c>
      <c r="F178" s="12">
        <v>1</v>
      </c>
      <c r="G178" s="14">
        <v>1158</v>
      </c>
      <c r="H178" s="18">
        <f t="shared" si="0"/>
        <v>1158</v>
      </c>
      <c r="I178" s="19">
        <v>0.18</v>
      </c>
      <c r="J178" s="18">
        <f t="shared" si="1"/>
        <v>1366.4399999999998</v>
      </c>
      <c r="K178" s="18">
        <v>1363</v>
      </c>
      <c r="L178" s="18">
        <f t="shared" si="2"/>
        <v>1363</v>
      </c>
      <c r="M178" s="18">
        <f t="shared" si="3"/>
        <v>1608.34</v>
      </c>
      <c r="N178" s="12">
        <v>300</v>
      </c>
      <c r="O178" s="19">
        <v>0.18</v>
      </c>
      <c r="P178" s="18">
        <f t="shared" si="4"/>
        <v>354</v>
      </c>
      <c r="Q178" s="12">
        <v>0</v>
      </c>
      <c r="R178" s="18">
        <f t="shared" si="5"/>
        <v>1962.34</v>
      </c>
      <c r="S178" s="22">
        <f t="shared" si="6"/>
        <v>1949</v>
      </c>
      <c r="T178" s="18">
        <f t="shared" si="7"/>
        <v>-13.339999999999918</v>
      </c>
      <c r="U178" s="18">
        <f t="shared" si="8"/>
        <v>582.56000000000017</v>
      </c>
      <c r="V178" s="18">
        <f t="shared" si="9"/>
        <v>493.69491525423746</v>
      </c>
      <c r="W178" s="24">
        <f t="shared" si="10"/>
        <v>0.42633412370832252</v>
      </c>
      <c r="X178" s="22"/>
    </row>
    <row r="179" spans="1:24" x14ac:dyDescent="0.25">
      <c r="A179" s="9" t="s">
        <v>24</v>
      </c>
      <c r="B179" s="9" t="s">
        <v>40</v>
      </c>
      <c r="C179" s="10"/>
      <c r="D179" s="9" t="s">
        <v>374</v>
      </c>
      <c r="E179" s="9" t="s">
        <v>375</v>
      </c>
      <c r="F179" s="12">
        <v>1</v>
      </c>
      <c r="G179" s="14">
        <v>1158</v>
      </c>
      <c r="H179" s="18">
        <f t="shared" si="0"/>
        <v>1158</v>
      </c>
      <c r="I179" s="19">
        <v>0.18</v>
      </c>
      <c r="J179" s="18">
        <f t="shared" si="1"/>
        <v>1366.4399999999998</v>
      </c>
      <c r="K179" s="18">
        <v>1363</v>
      </c>
      <c r="L179" s="18">
        <f t="shared" si="2"/>
        <v>1363</v>
      </c>
      <c r="M179" s="18">
        <f t="shared" si="3"/>
        <v>1608.34</v>
      </c>
      <c r="N179" s="12">
        <v>300</v>
      </c>
      <c r="O179" s="19">
        <v>0.18</v>
      </c>
      <c r="P179" s="18">
        <f t="shared" si="4"/>
        <v>354</v>
      </c>
      <c r="Q179" s="12">
        <v>0</v>
      </c>
      <c r="R179" s="18">
        <f t="shared" si="5"/>
        <v>1962.34</v>
      </c>
      <c r="S179" s="22">
        <f t="shared" si="6"/>
        <v>1949</v>
      </c>
      <c r="T179" s="18">
        <f t="shared" si="7"/>
        <v>-13.339999999999918</v>
      </c>
      <c r="U179" s="18">
        <f t="shared" si="8"/>
        <v>582.56000000000017</v>
      </c>
      <c r="V179" s="18">
        <f t="shared" si="9"/>
        <v>493.69491525423746</v>
      </c>
      <c r="W179" s="24">
        <f t="shared" si="10"/>
        <v>0.42633412370832252</v>
      </c>
      <c r="X179" s="22"/>
    </row>
    <row r="180" spans="1:24" x14ac:dyDescent="0.25">
      <c r="A180" s="9" t="s">
        <v>24</v>
      </c>
      <c r="B180" s="9" t="s">
        <v>43</v>
      </c>
      <c r="C180" s="10"/>
      <c r="D180" s="9" t="s">
        <v>376</v>
      </c>
      <c r="E180" s="9" t="s">
        <v>377</v>
      </c>
      <c r="F180" s="12">
        <v>1</v>
      </c>
      <c r="G180" s="14">
        <v>1089</v>
      </c>
      <c r="H180" s="18">
        <f t="shared" si="0"/>
        <v>1089</v>
      </c>
      <c r="I180" s="19">
        <v>0.18</v>
      </c>
      <c r="J180" s="18">
        <f t="shared" si="1"/>
        <v>1285.02</v>
      </c>
      <c r="K180" s="18">
        <v>1357</v>
      </c>
      <c r="L180" s="18">
        <f t="shared" si="2"/>
        <v>1357</v>
      </c>
      <c r="M180" s="18">
        <f t="shared" si="3"/>
        <v>1601.26</v>
      </c>
      <c r="N180" s="12">
        <v>400</v>
      </c>
      <c r="O180" s="19">
        <v>0.18</v>
      </c>
      <c r="P180" s="18">
        <f t="shared" si="4"/>
        <v>472</v>
      </c>
      <c r="Q180" s="12">
        <v>100</v>
      </c>
      <c r="R180" s="18">
        <f t="shared" si="5"/>
        <v>2073.2600000000002</v>
      </c>
      <c r="S180" s="22">
        <f t="shared" si="6"/>
        <v>2049</v>
      </c>
      <c r="T180" s="18">
        <f t="shared" si="7"/>
        <v>-24.260000000000218</v>
      </c>
      <c r="U180" s="18">
        <f t="shared" si="8"/>
        <v>663.98</v>
      </c>
      <c r="V180" s="18">
        <f t="shared" si="9"/>
        <v>562.69491525423734</v>
      </c>
      <c r="W180" s="24">
        <f t="shared" si="10"/>
        <v>0.51670791116091586</v>
      </c>
      <c r="X180" s="22"/>
    </row>
    <row r="181" spans="1:24" x14ac:dyDescent="0.25">
      <c r="A181" s="9" t="s">
        <v>24</v>
      </c>
      <c r="B181" s="9" t="s">
        <v>150</v>
      </c>
      <c r="C181" s="10"/>
      <c r="D181" s="9" t="s">
        <v>378</v>
      </c>
      <c r="E181" s="9" t="s">
        <v>379</v>
      </c>
      <c r="F181" s="12">
        <v>1</v>
      </c>
      <c r="G181" s="14">
        <v>239</v>
      </c>
      <c r="H181" s="18">
        <f t="shared" si="0"/>
        <v>239</v>
      </c>
      <c r="I181" s="19">
        <v>0.18</v>
      </c>
      <c r="J181" s="18">
        <f t="shared" si="1"/>
        <v>282.02</v>
      </c>
      <c r="K181" s="18">
        <v>316</v>
      </c>
      <c r="L181" s="18">
        <f t="shared" si="2"/>
        <v>316</v>
      </c>
      <c r="M181" s="18">
        <f t="shared" si="3"/>
        <v>372.88</v>
      </c>
      <c r="N181" s="12">
        <v>100</v>
      </c>
      <c r="O181" s="19">
        <v>0.18</v>
      </c>
      <c r="P181" s="18">
        <f t="shared" si="4"/>
        <v>118</v>
      </c>
      <c r="Q181" s="12">
        <v>50</v>
      </c>
      <c r="R181" s="18">
        <f t="shared" si="5"/>
        <v>490.88</v>
      </c>
      <c r="S181" s="22">
        <f t="shared" si="6"/>
        <v>499</v>
      </c>
      <c r="T181" s="18">
        <f t="shared" si="7"/>
        <v>8.1200000000000045</v>
      </c>
      <c r="U181" s="18">
        <f t="shared" si="8"/>
        <v>166.98000000000002</v>
      </c>
      <c r="V181" s="18">
        <f t="shared" si="9"/>
        <v>141.5084745762712</v>
      </c>
      <c r="W181" s="24">
        <f t="shared" si="10"/>
        <v>0.59208566768314308</v>
      </c>
      <c r="X181" s="22"/>
    </row>
    <row r="182" spans="1:24" x14ac:dyDescent="0.25">
      <c r="A182" s="9" t="s">
        <v>24</v>
      </c>
      <c r="B182" s="9" t="s">
        <v>134</v>
      </c>
      <c r="C182" s="10"/>
      <c r="D182" s="9" t="s">
        <v>378</v>
      </c>
      <c r="E182" s="9" t="s">
        <v>380</v>
      </c>
      <c r="F182" s="12">
        <v>1</v>
      </c>
      <c r="G182" s="14">
        <v>492</v>
      </c>
      <c r="H182" s="18">
        <f t="shared" si="0"/>
        <v>492</v>
      </c>
      <c r="I182" s="19">
        <v>0.18</v>
      </c>
      <c r="J182" s="18">
        <f t="shared" si="1"/>
        <v>580.55999999999995</v>
      </c>
      <c r="K182" s="18">
        <v>619</v>
      </c>
      <c r="L182" s="18">
        <f t="shared" si="2"/>
        <v>619</v>
      </c>
      <c r="M182" s="18">
        <f t="shared" si="3"/>
        <v>730.42</v>
      </c>
      <c r="N182" s="12">
        <v>150</v>
      </c>
      <c r="O182" s="19">
        <v>0.18</v>
      </c>
      <c r="P182" s="18">
        <f t="shared" si="4"/>
        <v>177</v>
      </c>
      <c r="Q182" s="12">
        <v>50</v>
      </c>
      <c r="R182" s="18">
        <f t="shared" si="5"/>
        <v>907.42</v>
      </c>
      <c r="S182" s="22">
        <f t="shared" si="6"/>
        <v>899</v>
      </c>
      <c r="T182" s="18">
        <f t="shared" si="7"/>
        <v>-8.4199999999999591</v>
      </c>
      <c r="U182" s="18">
        <f t="shared" si="8"/>
        <v>268.44000000000005</v>
      </c>
      <c r="V182" s="18">
        <f t="shared" si="9"/>
        <v>227.49152542372886</v>
      </c>
      <c r="W182" s="24">
        <f t="shared" si="10"/>
        <v>0.46238114923522128</v>
      </c>
      <c r="X182" s="22"/>
    </row>
    <row r="183" spans="1:24" x14ac:dyDescent="0.25">
      <c r="A183" s="9" t="s">
        <v>24</v>
      </c>
      <c r="B183" s="9" t="s">
        <v>137</v>
      </c>
      <c r="C183" s="10"/>
      <c r="D183" s="9" t="s">
        <v>378</v>
      </c>
      <c r="E183" s="9" t="s">
        <v>381</v>
      </c>
      <c r="F183" s="12">
        <v>1</v>
      </c>
      <c r="G183" s="14">
        <v>632</v>
      </c>
      <c r="H183" s="18">
        <f t="shared" si="0"/>
        <v>632</v>
      </c>
      <c r="I183" s="19">
        <v>0.18</v>
      </c>
      <c r="J183" s="18">
        <f t="shared" si="1"/>
        <v>745.76</v>
      </c>
      <c r="K183" s="18">
        <v>837</v>
      </c>
      <c r="L183" s="18">
        <f t="shared" si="2"/>
        <v>837</v>
      </c>
      <c r="M183" s="18">
        <f t="shared" si="3"/>
        <v>987.66</v>
      </c>
      <c r="N183" s="12">
        <v>200</v>
      </c>
      <c r="O183" s="19">
        <v>0.18</v>
      </c>
      <c r="P183" s="18">
        <f t="shared" si="4"/>
        <v>236</v>
      </c>
      <c r="Q183" s="12">
        <v>100</v>
      </c>
      <c r="R183" s="18">
        <f t="shared" si="5"/>
        <v>1223.6599999999999</v>
      </c>
      <c r="S183" s="22">
        <f t="shared" si="6"/>
        <v>1199</v>
      </c>
      <c r="T183" s="18">
        <f t="shared" si="7"/>
        <v>-24.659999999999854</v>
      </c>
      <c r="U183" s="18">
        <f t="shared" si="8"/>
        <v>353.24</v>
      </c>
      <c r="V183" s="18">
        <f t="shared" si="9"/>
        <v>299.35593220338984</v>
      </c>
      <c r="W183" s="24">
        <f t="shared" si="10"/>
        <v>0.47366444968890797</v>
      </c>
      <c r="X183" s="22"/>
    </row>
    <row r="184" spans="1:24" x14ac:dyDescent="0.25">
      <c r="A184" s="9" t="s">
        <v>24</v>
      </c>
      <c r="B184" s="9" t="s">
        <v>44</v>
      </c>
      <c r="C184" s="10"/>
      <c r="D184" s="9" t="s">
        <v>378</v>
      </c>
      <c r="E184" s="9" t="s">
        <v>382</v>
      </c>
      <c r="F184" s="12">
        <v>1</v>
      </c>
      <c r="G184" s="14">
        <v>639</v>
      </c>
      <c r="H184" s="18">
        <f t="shared" si="0"/>
        <v>639</v>
      </c>
      <c r="I184" s="19">
        <v>0.18</v>
      </c>
      <c r="J184" s="18">
        <f t="shared" si="1"/>
        <v>754.02</v>
      </c>
      <c r="K184" s="18">
        <v>846</v>
      </c>
      <c r="L184" s="18">
        <f t="shared" si="2"/>
        <v>846</v>
      </c>
      <c r="M184" s="18">
        <f t="shared" si="3"/>
        <v>998.28</v>
      </c>
      <c r="N184" s="12">
        <v>150</v>
      </c>
      <c r="O184" s="19">
        <v>0.18</v>
      </c>
      <c r="P184" s="18">
        <f t="shared" si="4"/>
        <v>177</v>
      </c>
      <c r="Q184" s="12">
        <v>100</v>
      </c>
      <c r="R184" s="18">
        <f t="shared" si="5"/>
        <v>1175.28</v>
      </c>
      <c r="S184" s="22">
        <f t="shared" si="6"/>
        <v>1199</v>
      </c>
      <c r="T184" s="18">
        <f t="shared" si="7"/>
        <v>23.720000000000027</v>
      </c>
      <c r="U184" s="18">
        <f t="shared" si="8"/>
        <v>344.98</v>
      </c>
      <c r="V184" s="18">
        <f t="shared" si="9"/>
        <v>292.35593220338984</v>
      </c>
      <c r="W184" s="24">
        <f t="shared" si="10"/>
        <v>0.45752102066258193</v>
      </c>
      <c r="X184" s="22"/>
    </row>
    <row r="185" spans="1:24" x14ac:dyDescent="0.25">
      <c r="A185" s="9" t="s">
        <v>24</v>
      </c>
      <c r="B185" s="9" t="s">
        <v>58</v>
      </c>
      <c r="C185" s="10"/>
      <c r="D185" s="9" t="s">
        <v>378</v>
      </c>
      <c r="E185" s="9" t="s">
        <v>383</v>
      </c>
      <c r="F185" s="12">
        <v>1</v>
      </c>
      <c r="G185" s="14">
        <v>801</v>
      </c>
      <c r="H185" s="18">
        <f t="shared" si="0"/>
        <v>801</v>
      </c>
      <c r="I185" s="19">
        <v>0.18</v>
      </c>
      <c r="J185" s="18">
        <f t="shared" si="1"/>
        <v>945.18</v>
      </c>
      <c r="K185" s="18">
        <v>1060</v>
      </c>
      <c r="L185" s="18">
        <f t="shared" si="2"/>
        <v>1060</v>
      </c>
      <c r="M185" s="18">
        <f t="shared" si="3"/>
        <v>1250.8</v>
      </c>
      <c r="N185" s="12">
        <v>100</v>
      </c>
      <c r="O185" s="19">
        <v>0.18</v>
      </c>
      <c r="P185" s="18">
        <f t="shared" si="4"/>
        <v>118</v>
      </c>
      <c r="Q185" s="12">
        <v>100</v>
      </c>
      <c r="R185" s="18">
        <f t="shared" si="5"/>
        <v>1368.8</v>
      </c>
      <c r="S185" s="22">
        <f t="shared" si="6"/>
        <v>1349</v>
      </c>
      <c r="T185" s="18">
        <f t="shared" si="7"/>
        <v>-19.799999999999955</v>
      </c>
      <c r="U185" s="18">
        <f t="shared" si="8"/>
        <v>303.82000000000005</v>
      </c>
      <c r="V185" s="18">
        <f t="shared" si="9"/>
        <v>257.47457627118649</v>
      </c>
      <c r="W185" s="24">
        <f t="shared" si="10"/>
        <v>0.3214414185657759</v>
      </c>
      <c r="X185" s="22"/>
    </row>
    <row r="186" spans="1:24" x14ac:dyDescent="0.25">
      <c r="A186" s="9" t="s">
        <v>24</v>
      </c>
      <c r="B186" s="9" t="s">
        <v>63</v>
      </c>
      <c r="C186" s="10"/>
      <c r="D186" s="9" t="s">
        <v>378</v>
      </c>
      <c r="E186" s="9" t="s">
        <v>384</v>
      </c>
      <c r="F186" s="12">
        <v>1</v>
      </c>
      <c r="G186" s="14">
        <v>522</v>
      </c>
      <c r="H186" s="18">
        <f t="shared" si="0"/>
        <v>522</v>
      </c>
      <c r="I186" s="19">
        <v>0.18</v>
      </c>
      <c r="J186" s="18">
        <f t="shared" si="1"/>
        <v>615.95999999999992</v>
      </c>
      <c r="K186" s="18">
        <v>750</v>
      </c>
      <c r="L186" s="18">
        <f t="shared" si="2"/>
        <v>750</v>
      </c>
      <c r="M186" s="18">
        <f t="shared" si="3"/>
        <v>885</v>
      </c>
      <c r="N186" s="12">
        <v>200</v>
      </c>
      <c r="O186" s="19">
        <v>0.18</v>
      </c>
      <c r="P186" s="18">
        <f t="shared" si="4"/>
        <v>236</v>
      </c>
      <c r="Q186" s="12">
        <v>100</v>
      </c>
      <c r="R186" s="18">
        <f t="shared" si="5"/>
        <v>1121</v>
      </c>
      <c r="S186" s="22">
        <f t="shared" si="6"/>
        <v>1099</v>
      </c>
      <c r="T186" s="18">
        <f t="shared" si="7"/>
        <v>-22</v>
      </c>
      <c r="U186" s="18">
        <f t="shared" si="8"/>
        <v>383.04000000000008</v>
      </c>
      <c r="V186" s="18">
        <f t="shared" si="9"/>
        <v>324.61016949152548</v>
      </c>
      <c r="W186" s="24">
        <f t="shared" si="10"/>
        <v>0.62185856224430169</v>
      </c>
      <c r="X186" s="22"/>
    </row>
    <row r="187" spans="1:24" x14ac:dyDescent="0.25">
      <c r="A187" s="9" t="s">
        <v>24</v>
      </c>
      <c r="B187" s="9" t="s">
        <v>77</v>
      </c>
      <c r="C187" s="10"/>
      <c r="D187" s="9" t="s">
        <v>385</v>
      </c>
      <c r="E187" s="9" t="s">
        <v>386</v>
      </c>
      <c r="F187" s="12">
        <v>1</v>
      </c>
      <c r="G187" s="14">
        <v>394</v>
      </c>
      <c r="H187" s="18">
        <f t="shared" si="0"/>
        <v>394</v>
      </c>
      <c r="I187" s="19">
        <v>0.18</v>
      </c>
      <c r="J187" s="18">
        <f t="shared" si="1"/>
        <v>464.91999999999996</v>
      </c>
      <c r="K187" s="18">
        <v>497</v>
      </c>
      <c r="L187" s="18">
        <f t="shared" si="2"/>
        <v>497</v>
      </c>
      <c r="M187" s="18">
        <f t="shared" si="3"/>
        <v>586.45999999999992</v>
      </c>
      <c r="N187" s="12">
        <v>250</v>
      </c>
      <c r="O187" s="19">
        <v>0.18</v>
      </c>
      <c r="P187" s="18">
        <f t="shared" si="4"/>
        <v>295</v>
      </c>
      <c r="Q187" s="12">
        <v>20</v>
      </c>
      <c r="R187" s="18">
        <f t="shared" si="5"/>
        <v>881.45999999999992</v>
      </c>
      <c r="S187" s="22">
        <f t="shared" si="6"/>
        <v>899</v>
      </c>
      <c r="T187" s="18">
        <f t="shared" si="7"/>
        <v>17.540000000000077</v>
      </c>
      <c r="U187" s="18">
        <f t="shared" si="8"/>
        <v>414.08000000000004</v>
      </c>
      <c r="V187" s="18">
        <f t="shared" si="9"/>
        <v>350.9152542372882</v>
      </c>
      <c r="W187" s="24">
        <f t="shared" si="10"/>
        <v>0.89064785339413244</v>
      </c>
      <c r="X187" s="22"/>
    </row>
    <row r="188" spans="1:24" x14ac:dyDescent="0.25">
      <c r="A188" s="9" t="s">
        <v>99</v>
      </c>
      <c r="B188" s="9" t="s">
        <v>94</v>
      </c>
      <c r="C188" s="10"/>
      <c r="D188" s="9" t="s">
        <v>387</v>
      </c>
      <c r="E188" s="9" t="s">
        <v>388</v>
      </c>
      <c r="F188" s="12">
        <v>1</v>
      </c>
      <c r="G188" s="14">
        <v>2017</v>
      </c>
      <c r="H188" s="18">
        <f t="shared" si="0"/>
        <v>2017</v>
      </c>
      <c r="I188" s="19">
        <v>0.18</v>
      </c>
      <c r="J188" s="18">
        <f t="shared" si="1"/>
        <v>2380.06</v>
      </c>
      <c r="K188" s="18">
        <v>3304</v>
      </c>
      <c r="L188" s="18">
        <f t="shared" si="2"/>
        <v>3304</v>
      </c>
      <c r="M188" s="18">
        <f t="shared" si="3"/>
        <v>3898.72</v>
      </c>
      <c r="N188" s="12">
        <v>450</v>
      </c>
      <c r="O188" s="19">
        <v>0.18</v>
      </c>
      <c r="P188" s="18">
        <f t="shared" si="4"/>
        <v>531</v>
      </c>
      <c r="Q188" s="12">
        <v>250</v>
      </c>
      <c r="R188" s="18">
        <f t="shared" si="5"/>
        <v>4429.7199999999993</v>
      </c>
      <c r="S188" s="22">
        <f t="shared" si="6"/>
        <v>4449</v>
      </c>
      <c r="T188" s="18">
        <f t="shared" si="7"/>
        <v>19.280000000000655</v>
      </c>
      <c r="U188" s="18">
        <f t="shared" si="8"/>
        <v>1818.94</v>
      </c>
      <c r="V188" s="18">
        <f t="shared" si="9"/>
        <v>1541.4745762711866</v>
      </c>
      <c r="W188" s="24">
        <f t="shared" si="10"/>
        <v>0.76424123761585849</v>
      </c>
      <c r="X188" s="22"/>
    </row>
    <row r="189" spans="1:24" x14ac:dyDescent="0.25">
      <c r="A189" s="9" t="s">
        <v>99</v>
      </c>
      <c r="B189" s="9" t="s">
        <v>94</v>
      </c>
      <c r="C189" s="10"/>
      <c r="D189" s="9" t="s">
        <v>389</v>
      </c>
      <c r="E189" s="9" t="s">
        <v>390</v>
      </c>
      <c r="F189" s="12">
        <v>1</v>
      </c>
      <c r="G189" s="14">
        <v>5797</v>
      </c>
      <c r="H189" s="18">
        <f t="shared" si="0"/>
        <v>5797</v>
      </c>
      <c r="I189" s="19">
        <v>0.18</v>
      </c>
      <c r="J189" s="18">
        <f t="shared" si="1"/>
        <v>6840.46</v>
      </c>
      <c r="K189" s="18">
        <v>7407</v>
      </c>
      <c r="L189" s="18">
        <f t="shared" si="2"/>
        <v>7407</v>
      </c>
      <c r="M189" s="18">
        <f t="shared" si="3"/>
        <v>8740.26</v>
      </c>
      <c r="N189" s="12">
        <v>450</v>
      </c>
      <c r="O189" s="19">
        <v>0.18</v>
      </c>
      <c r="P189" s="18">
        <f t="shared" si="4"/>
        <v>531</v>
      </c>
      <c r="Q189" s="12">
        <v>250</v>
      </c>
      <c r="R189" s="18">
        <f t="shared" si="5"/>
        <v>9271.26</v>
      </c>
      <c r="S189" s="22">
        <f t="shared" si="6"/>
        <v>9249</v>
      </c>
      <c r="T189" s="18">
        <f t="shared" si="7"/>
        <v>-22.260000000000218</v>
      </c>
      <c r="U189" s="18">
        <f t="shared" si="8"/>
        <v>2158.54</v>
      </c>
      <c r="V189" s="18">
        <f t="shared" si="9"/>
        <v>1829.2711864406781</v>
      </c>
      <c r="W189" s="24">
        <f t="shared" si="10"/>
        <v>0.31555480187004969</v>
      </c>
      <c r="X189" s="22"/>
    </row>
    <row r="190" spans="1:24" x14ac:dyDescent="0.25">
      <c r="A190" s="9" t="s">
        <v>24</v>
      </c>
      <c r="B190" s="9" t="s">
        <v>81</v>
      </c>
      <c r="C190" s="10"/>
      <c r="D190" s="9" t="s">
        <v>391</v>
      </c>
      <c r="E190" s="9" t="s">
        <v>392</v>
      </c>
      <c r="F190" s="12">
        <v>1</v>
      </c>
      <c r="G190" s="14">
        <v>18661.3</v>
      </c>
      <c r="H190" s="18">
        <f t="shared" si="0"/>
        <v>18661.3</v>
      </c>
      <c r="I190" s="19">
        <v>0.18</v>
      </c>
      <c r="J190" s="18">
        <f t="shared" si="1"/>
        <v>22020.333999999999</v>
      </c>
      <c r="K190" s="18">
        <v>22592</v>
      </c>
      <c r="L190" s="18">
        <f t="shared" si="2"/>
        <v>22592</v>
      </c>
      <c r="M190" s="18">
        <f t="shared" si="3"/>
        <v>26658.559999999998</v>
      </c>
      <c r="N190" s="12">
        <v>1000</v>
      </c>
      <c r="O190" s="19">
        <v>0.18</v>
      </c>
      <c r="P190" s="18">
        <f t="shared" si="4"/>
        <v>1180</v>
      </c>
      <c r="Q190" s="12">
        <v>250</v>
      </c>
      <c r="R190" s="18">
        <f t="shared" si="5"/>
        <v>27838.559999999998</v>
      </c>
      <c r="S190" s="22">
        <f t="shared" si="6"/>
        <v>27849</v>
      </c>
      <c r="T190" s="18">
        <f t="shared" si="7"/>
        <v>10.440000000002328</v>
      </c>
      <c r="U190" s="18">
        <f t="shared" si="8"/>
        <v>5578.6660000000011</v>
      </c>
      <c r="V190" s="18">
        <f t="shared" si="9"/>
        <v>4727.6830508474586</v>
      </c>
      <c r="W190" s="24">
        <f t="shared" si="10"/>
        <v>0.25334157056836654</v>
      </c>
      <c r="X190" s="22"/>
    </row>
    <row r="191" spans="1:24" x14ac:dyDescent="0.25">
      <c r="A191" s="9" t="s">
        <v>94</v>
      </c>
      <c r="B191" s="9" t="s">
        <v>94</v>
      </c>
      <c r="C191" s="10"/>
      <c r="D191" s="9" t="s">
        <v>393</v>
      </c>
      <c r="E191" s="9" t="s">
        <v>394</v>
      </c>
      <c r="F191" s="12">
        <v>1</v>
      </c>
      <c r="G191" s="14">
        <v>219</v>
      </c>
      <c r="H191" s="18">
        <f t="shared" si="0"/>
        <v>219</v>
      </c>
      <c r="I191" s="19">
        <v>0.18</v>
      </c>
      <c r="J191" s="18">
        <f t="shared" si="1"/>
        <v>258.41999999999996</v>
      </c>
      <c r="K191" s="18">
        <v>276</v>
      </c>
      <c r="L191" s="18">
        <f t="shared" si="2"/>
        <v>276</v>
      </c>
      <c r="M191" s="18">
        <f t="shared" si="3"/>
        <v>325.68</v>
      </c>
      <c r="N191" s="12">
        <v>0</v>
      </c>
      <c r="O191" s="19">
        <v>0.18</v>
      </c>
      <c r="P191" s="18">
        <f t="shared" si="4"/>
        <v>0</v>
      </c>
      <c r="Q191" s="12">
        <v>0</v>
      </c>
      <c r="R191" s="18">
        <f t="shared" si="5"/>
        <v>325.68</v>
      </c>
      <c r="S191" s="22">
        <f t="shared" si="6"/>
        <v>349</v>
      </c>
      <c r="T191" s="18">
        <f t="shared" si="7"/>
        <v>23.319999999999993</v>
      </c>
      <c r="U191" s="18">
        <f t="shared" si="8"/>
        <v>90.580000000000041</v>
      </c>
      <c r="V191" s="18">
        <f t="shared" si="9"/>
        <v>76.762711864406825</v>
      </c>
      <c r="W191" s="24">
        <f t="shared" si="10"/>
        <v>0.35051466604751974</v>
      </c>
      <c r="X191" s="22"/>
    </row>
    <row r="192" spans="1:24" x14ac:dyDescent="0.25">
      <c r="A192" s="9" t="s">
        <v>24</v>
      </c>
      <c r="B192" s="9" t="s">
        <v>395</v>
      </c>
      <c r="C192" s="10"/>
      <c r="D192" s="9" t="s">
        <v>122</v>
      </c>
      <c r="E192" s="9" t="s">
        <v>396</v>
      </c>
      <c r="F192" s="12">
        <v>1</v>
      </c>
      <c r="G192" s="14">
        <v>10135</v>
      </c>
      <c r="H192" s="18">
        <f t="shared" si="0"/>
        <v>10135</v>
      </c>
      <c r="I192" s="19">
        <v>0.18</v>
      </c>
      <c r="J192" s="18">
        <f t="shared" si="1"/>
        <v>11959.3</v>
      </c>
      <c r="K192" s="18">
        <v>12772</v>
      </c>
      <c r="L192" s="18">
        <f t="shared" si="2"/>
        <v>12772</v>
      </c>
      <c r="M192" s="18">
        <f t="shared" si="3"/>
        <v>15070.96</v>
      </c>
      <c r="N192" s="12">
        <v>2500</v>
      </c>
      <c r="O192" s="19">
        <v>0.18</v>
      </c>
      <c r="P192" s="18">
        <f t="shared" si="4"/>
        <v>2950</v>
      </c>
      <c r="Q192" s="12">
        <v>350</v>
      </c>
      <c r="R192" s="18">
        <f t="shared" si="5"/>
        <v>18020.96</v>
      </c>
      <c r="S192" s="22">
        <f t="shared" si="6"/>
        <v>17999</v>
      </c>
      <c r="T192" s="18">
        <f t="shared" si="7"/>
        <v>-21.959999999999127</v>
      </c>
      <c r="U192" s="18">
        <f t="shared" si="8"/>
        <v>5689.7000000000007</v>
      </c>
      <c r="V192" s="18">
        <f t="shared" si="9"/>
        <v>4821.7796610169498</v>
      </c>
      <c r="W192" s="24">
        <f t="shared" si="10"/>
        <v>0.4757552699572718</v>
      </c>
      <c r="X192" s="22"/>
    </row>
    <row r="193" spans="1:24" x14ac:dyDescent="0.25">
      <c r="A193" s="9" t="s">
        <v>99</v>
      </c>
      <c r="B193" s="9" t="s">
        <v>103</v>
      </c>
      <c r="C193" s="10"/>
      <c r="D193" s="9" t="s">
        <v>397</v>
      </c>
      <c r="E193" s="9" t="s">
        <v>398</v>
      </c>
      <c r="F193" s="12">
        <v>1</v>
      </c>
      <c r="G193" s="14">
        <v>539</v>
      </c>
      <c r="H193" s="18">
        <f t="shared" si="0"/>
        <v>539</v>
      </c>
      <c r="I193" s="19">
        <v>0.18</v>
      </c>
      <c r="J193" s="18">
        <f t="shared" si="1"/>
        <v>636.02</v>
      </c>
      <c r="K193" s="18">
        <v>680</v>
      </c>
      <c r="L193" s="18">
        <f t="shared" si="2"/>
        <v>680</v>
      </c>
      <c r="M193" s="18">
        <f t="shared" si="3"/>
        <v>802.4</v>
      </c>
      <c r="N193" s="12">
        <v>50</v>
      </c>
      <c r="O193" s="19">
        <v>0.18</v>
      </c>
      <c r="P193" s="18">
        <f t="shared" si="4"/>
        <v>59</v>
      </c>
      <c r="Q193" s="12">
        <v>10</v>
      </c>
      <c r="R193" s="18">
        <f t="shared" si="5"/>
        <v>861.4</v>
      </c>
      <c r="S193" s="22">
        <f t="shared" si="6"/>
        <v>849</v>
      </c>
      <c r="T193" s="18">
        <f t="shared" si="7"/>
        <v>-12.399999999999977</v>
      </c>
      <c r="U193" s="18">
        <f t="shared" si="8"/>
        <v>202.98000000000002</v>
      </c>
      <c r="V193" s="18">
        <f t="shared" si="9"/>
        <v>172.0169491525424</v>
      </c>
      <c r="W193" s="24">
        <f t="shared" si="10"/>
        <v>0.31914090751863156</v>
      </c>
      <c r="X193" s="22"/>
    </row>
    <row r="194" spans="1:24" x14ac:dyDescent="0.25">
      <c r="A194" s="9" t="s">
        <v>24</v>
      </c>
      <c r="B194" s="9" t="s">
        <v>40</v>
      </c>
      <c r="C194" s="10"/>
      <c r="D194" s="9" t="s">
        <v>399</v>
      </c>
      <c r="E194" s="9" t="s">
        <v>400</v>
      </c>
      <c r="F194" s="12">
        <v>1</v>
      </c>
      <c r="G194" s="14">
        <v>644</v>
      </c>
      <c r="H194" s="18">
        <f t="shared" si="0"/>
        <v>644</v>
      </c>
      <c r="I194" s="19">
        <v>0.18</v>
      </c>
      <c r="J194" s="18">
        <f t="shared" si="1"/>
        <v>759.92</v>
      </c>
      <c r="K194" s="18">
        <v>827</v>
      </c>
      <c r="L194" s="18">
        <f t="shared" si="2"/>
        <v>827</v>
      </c>
      <c r="M194" s="18">
        <f t="shared" si="3"/>
        <v>975.8599999999999</v>
      </c>
      <c r="N194" s="12">
        <v>100</v>
      </c>
      <c r="O194" s="19">
        <v>0.18</v>
      </c>
      <c r="P194" s="18">
        <f t="shared" si="4"/>
        <v>118</v>
      </c>
      <c r="Q194" s="12">
        <v>0</v>
      </c>
      <c r="R194" s="18">
        <f t="shared" si="5"/>
        <v>1093.8599999999999</v>
      </c>
      <c r="S194" s="22">
        <f t="shared" si="6"/>
        <v>1099</v>
      </c>
      <c r="T194" s="18">
        <f t="shared" si="7"/>
        <v>5.1400000000001</v>
      </c>
      <c r="U194" s="18">
        <f t="shared" si="8"/>
        <v>339.08000000000004</v>
      </c>
      <c r="V194" s="18">
        <f t="shared" si="9"/>
        <v>287.3559322033899</v>
      </c>
      <c r="W194" s="24">
        <f t="shared" si="10"/>
        <v>0.44620486366986006</v>
      </c>
      <c r="X194" s="22"/>
    </row>
    <row r="195" spans="1:24" x14ac:dyDescent="0.25">
      <c r="A195" s="9" t="s">
        <v>24</v>
      </c>
      <c r="B195" s="9" t="s">
        <v>25</v>
      </c>
      <c r="C195" s="10"/>
      <c r="D195" s="9" t="s">
        <v>401</v>
      </c>
      <c r="E195" s="9" t="s">
        <v>402</v>
      </c>
      <c r="F195" s="12">
        <v>1</v>
      </c>
      <c r="G195" s="14">
        <v>879</v>
      </c>
      <c r="H195" s="18">
        <f t="shared" si="0"/>
        <v>879</v>
      </c>
      <c r="I195" s="19">
        <v>0.18</v>
      </c>
      <c r="J195" s="18">
        <f t="shared" si="1"/>
        <v>1037.22</v>
      </c>
      <c r="K195" s="18">
        <v>1035</v>
      </c>
      <c r="L195" s="18">
        <f t="shared" si="2"/>
        <v>1035</v>
      </c>
      <c r="M195" s="18">
        <f t="shared" si="3"/>
        <v>1221.3</v>
      </c>
      <c r="N195" s="12">
        <v>100</v>
      </c>
      <c r="O195" s="19">
        <v>0.18</v>
      </c>
      <c r="P195" s="18">
        <f t="shared" si="4"/>
        <v>118</v>
      </c>
      <c r="Q195" s="12">
        <v>0</v>
      </c>
      <c r="R195" s="18">
        <f t="shared" si="5"/>
        <v>1339.3</v>
      </c>
      <c r="S195" s="22">
        <f t="shared" si="6"/>
        <v>1349</v>
      </c>
      <c r="T195" s="18">
        <f t="shared" si="7"/>
        <v>9.7000000000000455</v>
      </c>
      <c r="U195" s="18">
        <f t="shared" si="8"/>
        <v>311.77999999999997</v>
      </c>
      <c r="V195" s="18">
        <f t="shared" si="9"/>
        <v>264.22033898305085</v>
      </c>
      <c r="W195" s="24">
        <f t="shared" si="10"/>
        <v>0.30059196698868129</v>
      </c>
      <c r="X195" s="22"/>
    </row>
    <row r="196" spans="1:24" x14ac:dyDescent="0.25">
      <c r="A196" s="9" t="s">
        <v>24</v>
      </c>
      <c r="B196" s="9" t="s">
        <v>137</v>
      </c>
      <c r="C196" s="10"/>
      <c r="D196" s="9" t="s">
        <v>403</v>
      </c>
      <c r="E196" s="9" t="s">
        <v>404</v>
      </c>
      <c r="F196" s="12">
        <v>1</v>
      </c>
      <c r="G196" s="14">
        <v>1479</v>
      </c>
      <c r="H196" s="18">
        <f t="shared" si="0"/>
        <v>1479</v>
      </c>
      <c r="I196" s="19">
        <v>0.18</v>
      </c>
      <c r="J196" s="18">
        <f t="shared" si="1"/>
        <v>1745.2199999999998</v>
      </c>
      <c r="K196" s="18">
        <v>1864</v>
      </c>
      <c r="L196" s="18">
        <f t="shared" si="2"/>
        <v>1864</v>
      </c>
      <c r="M196" s="18">
        <f t="shared" si="3"/>
        <v>2199.52</v>
      </c>
      <c r="N196" s="12">
        <v>0</v>
      </c>
      <c r="O196" s="19">
        <v>0.18</v>
      </c>
      <c r="P196" s="18">
        <f t="shared" si="4"/>
        <v>0</v>
      </c>
      <c r="Q196" s="12">
        <v>0</v>
      </c>
      <c r="R196" s="18">
        <f t="shared" si="5"/>
        <v>2199.52</v>
      </c>
      <c r="S196" s="22">
        <f t="shared" si="6"/>
        <v>2199</v>
      </c>
      <c r="T196" s="18">
        <f t="shared" si="7"/>
        <v>-0.51999999999998181</v>
      </c>
      <c r="U196" s="18">
        <f t="shared" si="8"/>
        <v>453.7800000000002</v>
      </c>
      <c r="V196" s="18">
        <f t="shared" si="9"/>
        <v>384.55932203389847</v>
      </c>
      <c r="W196" s="24">
        <f t="shared" si="10"/>
        <v>0.26001306425550946</v>
      </c>
      <c r="X196" s="22"/>
    </row>
    <row r="197" spans="1:24" x14ac:dyDescent="0.25">
      <c r="A197" s="9" t="s">
        <v>24</v>
      </c>
      <c r="B197" s="9" t="s">
        <v>81</v>
      </c>
      <c r="C197" s="10"/>
      <c r="D197" s="9" t="s">
        <v>403</v>
      </c>
      <c r="E197" s="9" t="s">
        <v>405</v>
      </c>
      <c r="F197" s="12">
        <v>1</v>
      </c>
      <c r="G197" s="14">
        <v>1589</v>
      </c>
      <c r="H197" s="18">
        <f t="shared" si="0"/>
        <v>1589</v>
      </c>
      <c r="I197" s="19">
        <v>0.18</v>
      </c>
      <c r="J197" s="18">
        <f t="shared" si="1"/>
        <v>1875.02</v>
      </c>
      <c r="K197" s="18">
        <v>2104</v>
      </c>
      <c r="L197" s="18">
        <f t="shared" si="2"/>
        <v>2104</v>
      </c>
      <c r="M197" s="18">
        <f t="shared" si="3"/>
        <v>2482.7199999999998</v>
      </c>
      <c r="N197" s="12">
        <v>0</v>
      </c>
      <c r="O197" s="19">
        <v>0.18</v>
      </c>
      <c r="P197" s="18">
        <f t="shared" si="4"/>
        <v>0</v>
      </c>
      <c r="Q197" s="12">
        <v>0</v>
      </c>
      <c r="R197" s="18">
        <f t="shared" si="5"/>
        <v>2482.7199999999998</v>
      </c>
      <c r="S197" s="22">
        <f t="shared" si="6"/>
        <v>2499</v>
      </c>
      <c r="T197" s="18">
        <f t="shared" si="7"/>
        <v>16.2800000000002</v>
      </c>
      <c r="U197" s="18">
        <f t="shared" si="8"/>
        <v>623.98</v>
      </c>
      <c r="V197" s="18">
        <f t="shared" si="9"/>
        <v>528.7966101694916</v>
      </c>
      <c r="W197" s="24">
        <f t="shared" si="10"/>
        <v>0.33278578361830813</v>
      </c>
      <c r="X197" s="22"/>
    </row>
    <row r="198" spans="1:24" x14ac:dyDescent="0.25">
      <c r="A198" s="9" t="s">
        <v>24</v>
      </c>
      <c r="B198" s="9" t="s">
        <v>77</v>
      </c>
      <c r="C198" s="10"/>
      <c r="D198" s="9" t="s">
        <v>403</v>
      </c>
      <c r="E198" s="9" t="s">
        <v>406</v>
      </c>
      <c r="F198" s="12">
        <v>1</v>
      </c>
      <c r="G198" s="14">
        <v>6025</v>
      </c>
      <c r="H198" s="18">
        <f t="shared" si="0"/>
        <v>6025</v>
      </c>
      <c r="I198" s="19">
        <v>0.18</v>
      </c>
      <c r="J198" s="18">
        <f t="shared" si="1"/>
        <v>7109.5</v>
      </c>
      <c r="K198" s="18">
        <v>7592</v>
      </c>
      <c r="L198" s="18">
        <f t="shared" si="2"/>
        <v>7592</v>
      </c>
      <c r="M198" s="18">
        <f t="shared" si="3"/>
        <v>8958.56</v>
      </c>
      <c r="N198" s="12">
        <v>0</v>
      </c>
      <c r="O198" s="19">
        <v>0.18</v>
      </c>
      <c r="P198" s="18">
        <f t="shared" si="4"/>
        <v>0</v>
      </c>
      <c r="Q198" s="12">
        <v>0</v>
      </c>
      <c r="R198" s="18">
        <f t="shared" si="5"/>
        <v>8958.56</v>
      </c>
      <c r="S198" s="22">
        <f t="shared" si="6"/>
        <v>8949</v>
      </c>
      <c r="T198" s="18">
        <f t="shared" si="7"/>
        <v>-9.5599999999994907</v>
      </c>
      <c r="U198" s="18">
        <f t="shared" si="8"/>
        <v>1839.5</v>
      </c>
      <c r="V198" s="18">
        <f t="shared" si="9"/>
        <v>1558.8983050847457</v>
      </c>
      <c r="W198" s="24">
        <f t="shared" si="10"/>
        <v>0.2587383078978831</v>
      </c>
      <c r="X198" s="22"/>
    </row>
    <row r="199" spans="1:24" x14ac:dyDescent="0.25">
      <c r="A199" s="9" t="s">
        <v>99</v>
      </c>
      <c r="B199" s="9" t="s">
        <v>94</v>
      </c>
      <c r="C199" s="10"/>
      <c r="D199" s="9" t="s">
        <v>407</v>
      </c>
      <c r="E199" s="9" t="s">
        <v>408</v>
      </c>
      <c r="F199" s="12">
        <v>1</v>
      </c>
      <c r="G199" s="14">
        <v>454</v>
      </c>
      <c r="H199" s="18">
        <f t="shared" si="0"/>
        <v>454</v>
      </c>
      <c r="I199" s="19">
        <v>0.18</v>
      </c>
      <c r="J199" s="18">
        <f t="shared" si="1"/>
        <v>535.72</v>
      </c>
      <c r="K199" s="18">
        <v>592</v>
      </c>
      <c r="L199" s="18">
        <f t="shared" si="2"/>
        <v>592</v>
      </c>
      <c r="M199" s="18">
        <f t="shared" si="3"/>
        <v>698.56</v>
      </c>
      <c r="N199" s="12">
        <v>0</v>
      </c>
      <c r="O199" s="19">
        <v>0.18</v>
      </c>
      <c r="P199" s="18">
        <f t="shared" si="4"/>
        <v>0</v>
      </c>
      <c r="Q199" s="12">
        <v>0</v>
      </c>
      <c r="R199" s="18">
        <f t="shared" si="5"/>
        <v>698.56</v>
      </c>
      <c r="S199" s="22">
        <f t="shared" si="6"/>
        <v>699</v>
      </c>
      <c r="T199" s="18">
        <f t="shared" si="7"/>
        <v>0.44000000000005457</v>
      </c>
      <c r="U199" s="18">
        <f t="shared" si="8"/>
        <v>163.27999999999997</v>
      </c>
      <c r="V199" s="18">
        <f t="shared" si="9"/>
        <v>138.37288135593218</v>
      </c>
      <c r="W199" s="24">
        <f t="shared" si="10"/>
        <v>0.30478608228178894</v>
      </c>
      <c r="X199" s="22"/>
    </row>
    <row r="200" spans="1:24" x14ac:dyDescent="0.25">
      <c r="A200" s="9" t="s">
        <v>99</v>
      </c>
      <c r="B200" s="9" t="s">
        <v>94</v>
      </c>
      <c r="C200" s="10"/>
      <c r="D200" s="9" t="s">
        <v>407</v>
      </c>
      <c r="E200" s="9" t="s">
        <v>409</v>
      </c>
      <c r="F200" s="12">
        <v>1</v>
      </c>
      <c r="G200" s="14">
        <v>454</v>
      </c>
      <c r="H200" s="18">
        <f t="shared" si="0"/>
        <v>454</v>
      </c>
      <c r="I200" s="19">
        <v>0.18</v>
      </c>
      <c r="J200" s="18">
        <f t="shared" si="1"/>
        <v>535.72</v>
      </c>
      <c r="K200" s="18">
        <v>592</v>
      </c>
      <c r="L200" s="18">
        <f t="shared" si="2"/>
        <v>592</v>
      </c>
      <c r="M200" s="18">
        <f t="shared" si="3"/>
        <v>698.56</v>
      </c>
      <c r="N200" s="12">
        <v>0</v>
      </c>
      <c r="O200" s="19">
        <v>0.18</v>
      </c>
      <c r="P200" s="18">
        <f t="shared" si="4"/>
        <v>0</v>
      </c>
      <c r="Q200" s="12">
        <v>0</v>
      </c>
      <c r="R200" s="18">
        <f t="shared" si="5"/>
        <v>698.56</v>
      </c>
      <c r="S200" s="22">
        <f t="shared" si="6"/>
        <v>699</v>
      </c>
      <c r="T200" s="18">
        <f t="shared" si="7"/>
        <v>0.44000000000005457</v>
      </c>
      <c r="U200" s="18">
        <f t="shared" si="8"/>
        <v>163.27999999999997</v>
      </c>
      <c r="V200" s="18">
        <f t="shared" si="9"/>
        <v>138.37288135593218</v>
      </c>
      <c r="W200" s="24">
        <f t="shared" si="10"/>
        <v>0.30478608228178894</v>
      </c>
      <c r="X200" s="22"/>
    </row>
    <row r="201" spans="1:24" x14ac:dyDescent="0.25">
      <c r="A201" s="9" t="s">
        <v>99</v>
      </c>
      <c r="B201" s="9" t="s">
        <v>94</v>
      </c>
      <c r="C201" s="10"/>
      <c r="D201" s="9" t="s">
        <v>410</v>
      </c>
      <c r="E201" s="9" t="s">
        <v>411</v>
      </c>
      <c r="F201" s="12">
        <v>1</v>
      </c>
      <c r="G201" s="14">
        <v>292</v>
      </c>
      <c r="H201" s="18">
        <f t="shared" si="0"/>
        <v>292</v>
      </c>
      <c r="I201" s="19">
        <v>0.18</v>
      </c>
      <c r="J201" s="18">
        <f t="shared" si="1"/>
        <v>344.56</v>
      </c>
      <c r="K201" s="18">
        <v>381</v>
      </c>
      <c r="L201" s="18">
        <f t="shared" si="2"/>
        <v>381</v>
      </c>
      <c r="M201" s="18">
        <f t="shared" si="3"/>
        <v>449.58</v>
      </c>
      <c r="N201" s="12">
        <v>0</v>
      </c>
      <c r="O201" s="19">
        <v>0.18</v>
      </c>
      <c r="P201" s="18">
        <f t="shared" si="4"/>
        <v>0</v>
      </c>
      <c r="Q201" s="12">
        <v>0</v>
      </c>
      <c r="R201" s="18">
        <f t="shared" si="5"/>
        <v>449.58</v>
      </c>
      <c r="S201" s="22">
        <f t="shared" si="6"/>
        <v>449</v>
      </c>
      <c r="T201" s="18">
        <f t="shared" si="7"/>
        <v>-0.57999999999998408</v>
      </c>
      <c r="U201" s="18">
        <f t="shared" si="8"/>
        <v>104.44</v>
      </c>
      <c r="V201" s="18">
        <f t="shared" si="9"/>
        <v>88.508474576271183</v>
      </c>
      <c r="W201" s="24">
        <f t="shared" si="10"/>
        <v>0.30311121430229859</v>
      </c>
      <c r="X201" s="22"/>
    </row>
    <row r="202" spans="1:24" x14ac:dyDescent="0.25">
      <c r="A202" s="9" t="s">
        <v>99</v>
      </c>
      <c r="B202" s="9" t="s">
        <v>94</v>
      </c>
      <c r="C202" s="10"/>
      <c r="D202" s="9" t="s">
        <v>410</v>
      </c>
      <c r="E202" s="9" t="s">
        <v>412</v>
      </c>
      <c r="F202" s="12">
        <v>1</v>
      </c>
      <c r="G202" s="14">
        <v>292</v>
      </c>
      <c r="H202" s="18">
        <f t="shared" si="0"/>
        <v>292</v>
      </c>
      <c r="I202" s="19">
        <v>0.18</v>
      </c>
      <c r="J202" s="18">
        <f t="shared" si="1"/>
        <v>344.56</v>
      </c>
      <c r="K202" s="18">
        <v>381</v>
      </c>
      <c r="L202" s="18">
        <f t="shared" si="2"/>
        <v>381</v>
      </c>
      <c r="M202" s="18">
        <f t="shared" si="3"/>
        <v>449.58</v>
      </c>
      <c r="N202" s="12">
        <v>0</v>
      </c>
      <c r="O202" s="19">
        <v>0.18</v>
      </c>
      <c r="P202" s="18">
        <f t="shared" si="4"/>
        <v>0</v>
      </c>
      <c r="Q202" s="12">
        <v>0</v>
      </c>
      <c r="R202" s="18">
        <f t="shared" si="5"/>
        <v>449.58</v>
      </c>
      <c r="S202" s="22">
        <f t="shared" si="6"/>
        <v>449</v>
      </c>
      <c r="T202" s="18">
        <f t="shared" si="7"/>
        <v>-0.57999999999998408</v>
      </c>
      <c r="U202" s="18">
        <f t="shared" si="8"/>
        <v>104.44</v>
      </c>
      <c r="V202" s="18">
        <f t="shared" si="9"/>
        <v>88.508474576271183</v>
      </c>
      <c r="W202" s="24">
        <f t="shared" si="10"/>
        <v>0.30311121430229859</v>
      </c>
      <c r="X202" s="22"/>
    </row>
    <row r="203" spans="1:24" x14ac:dyDescent="0.25">
      <c r="A203" s="9" t="s">
        <v>99</v>
      </c>
      <c r="B203" s="9" t="s">
        <v>94</v>
      </c>
      <c r="C203" s="10"/>
      <c r="D203" s="9" t="s">
        <v>410</v>
      </c>
      <c r="E203" s="9" t="s">
        <v>413</v>
      </c>
      <c r="F203" s="12">
        <v>1</v>
      </c>
      <c r="G203" s="14">
        <v>292</v>
      </c>
      <c r="H203" s="18">
        <f t="shared" si="0"/>
        <v>292</v>
      </c>
      <c r="I203" s="19">
        <v>0.18</v>
      </c>
      <c r="J203" s="18">
        <f t="shared" si="1"/>
        <v>344.56</v>
      </c>
      <c r="K203" s="18">
        <v>381</v>
      </c>
      <c r="L203" s="18">
        <f t="shared" si="2"/>
        <v>381</v>
      </c>
      <c r="M203" s="18">
        <f t="shared" si="3"/>
        <v>449.58</v>
      </c>
      <c r="N203" s="12">
        <v>0</v>
      </c>
      <c r="O203" s="19">
        <v>0.18</v>
      </c>
      <c r="P203" s="18">
        <f t="shared" si="4"/>
        <v>0</v>
      </c>
      <c r="Q203" s="12">
        <v>0</v>
      </c>
      <c r="R203" s="18">
        <f t="shared" si="5"/>
        <v>449.58</v>
      </c>
      <c r="S203" s="22">
        <f t="shared" si="6"/>
        <v>449</v>
      </c>
      <c r="T203" s="18">
        <f t="shared" si="7"/>
        <v>-0.57999999999998408</v>
      </c>
      <c r="U203" s="18">
        <f t="shared" si="8"/>
        <v>104.44</v>
      </c>
      <c r="V203" s="18">
        <f t="shared" si="9"/>
        <v>88.508474576271183</v>
      </c>
      <c r="W203" s="24">
        <f t="shared" si="10"/>
        <v>0.30311121430229859</v>
      </c>
      <c r="X203" s="22"/>
    </row>
    <row r="204" spans="1:24" x14ac:dyDescent="0.25">
      <c r="A204" s="9" t="s">
        <v>99</v>
      </c>
      <c r="B204" s="9" t="s">
        <v>94</v>
      </c>
      <c r="C204" s="10"/>
      <c r="D204" s="9" t="s">
        <v>410</v>
      </c>
      <c r="E204" s="9" t="s">
        <v>414</v>
      </c>
      <c r="F204" s="12">
        <v>1</v>
      </c>
      <c r="G204" s="14">
        <v>292</v>
      </c>
      <c r="H204" s="18">
        <f t="shared" si="0"/>
        <v>292</v>
      </c>
      <c r="I204" s="19">
        <v>0.18</v>
      </c>
      <c r="J204" s="18">
        <f t="shared" si="1"/>
        <v>344.56</v>
      </c>
      <c r="K204" s="18">
        <v>381</v>
      </c>
      <c r="L204" s="18">
        <f t="shared" si="2"/>
        <v>381</v>
      </c>
      <c r="M204" s="18">
        <f t="shared" si="3"/>
        <v>449.58</v>
      </c>
      <c r="N204" s="12">
        <v>0</v>
      </c>
      <c r="O204" s="19">
        <v>0.18</v>
      </c>
      <c r="P204" s="18">
        <f t="shared" si="4"/>
        <v>0</v>
      </c>
      <c r="Q204" s="12">
        <v>0</v>
      </c>
      <c r="R204" s="18">
        <f t="shared" si="5"/>
        <v>449.58</v>
      </c>
      <c r="S204" s="22">
        <f t="shared" si="6"/>
        <v>449</v>
      </c>
      <c r="T204" s="18">
        <f t="shared" si="7"/>
        <v>-0.57999999999998408</v>
      </c>
      <c r="U204" s="18">
        <f t="shared" si="8"/>
        <v>104.44</v>
      </c>
      <c r="V204" s="18">
        <f t="shared" si="9"/>
        <v>88.508474576271183</v>
      </c>
      <c r="W204" s="24">
        <f t="shared" si="10"/>
        <v>0.30311121430229859</v>
      </c>
      <c r="X204" s="22"/>
    </row>
    <row r="205" spans="1:24" x14ac:dyDescent="0.25">
      <c r="A205" s="9" t="s">
        <v>99</v>
      </c>
      <c r="B205" s="9" t="s">
        <v>94</v>
      </c>
      <c r="C205" s="10"/>
      <c r="D205" s="9" t="s">
        <v>410</v>
      </c>
      <c r="E205" s="9" t="s">
        <v>415</v>
      </c>
      <c r="F205" s="12">
        <v>1</v>
      </c>
      <c r="G205" s="14">
        <v>292</v>
      </c>
      <c r="H205" s="18">
        <f t="shared" si="0"/>
        <v>292</v>
      </c>
      <c r="I205" s="19">
        <v>0.18</v>
      </c>
      <c r="J205" s="18">
        <f t="shared" si="1"/>
        <v>344.56</v>
      </c>
      <c r="K205" s="18">
        <v>381</v>
      </c>
      <c r="L205" s="18">
        <f t="shared" si="2"/>
        <v>381</v>
      </c>
      <c r="M205" s="18">
        <f t="shared" si="3"/>
        <v>449.58</v>
      </c>
      <c r="N205" s="12">
        <v>0</v>
      </c>
      <c r="O205" s="19">
        <v>0.18</v>
      </c>
      <c r="P205" s="18">
        <f t="shared" si="4"/>
        <v>0</v>
      </c>
      <c r="Q205" s="12">
        <v>0</v>
      </c>
      <c r="R205" s="18">
        <f t="shared" si="5"/>
        <v>449.58</v>
      </c>
      <c r="S205" s="22">
        <f t="shared" si="6"/>
        <v>449</v>
      </c>
      <c r="T205" s="18">
        <f t="shared" si="7"/>
        <v>-0.57999999999998408</v>
      </c>
      <c r="U205" s="18">
        <f t="shared" si="8"/>
        <v>104.44</v>
      </c>
      <c r="V205" s="18">
        <f t="shared" si="9"/>
        <v>88.508474576271183</v>
      </c>
      <c r="W205" s="24">
        <f t="shared" si="10"/>
        <v>0.30311121430229859</v>
      </c>
      <c r="X205" s="22"/>
    </row>
    <row r="206" spans="1:24" x14ac:dyDescent="0.25">
      <c r="A206" s="9" t="s">
        <v>99</v>
      </c>
      <c r="B206" s="9" t="s">
        <v>94</v>
      </c>
      <c r="C206" s="10"/>
      <c r="D206" s="9" t="s">
        <v>410</v>
      </c>
      <c r="E206" s="9" t="s">
        <v>416</v>
      </c>
      <c r="F206" s="12">
        <v>1</v>
      </c>
      <c r="G206" s="14">
        <v>292</v>
      </c>
      <c r="H206" s="18">
        <f t="shared" si="0"/>
        <v>292</v>
      </c>
      <c r="I206" s="19">
        <v>0.18</v>
      </c>
      <c r="J206" s="18">
        <f t="shared" si="1"/>
        <v>344.56</v>
      </c>
      <c r="K206" s="18">
        <v>381</v>
      </c>
      <c r="L206" s="18">
        <f t="shared" si="2"/>
        <v>381</v>
      </c>
      <c r="M206" s="18">
        <f t="shared" si="3"/>
        <v>449.58</v>
      </c>
      <c r="N206" s="12">
        <v>0</v>
      </c>
      <c r="O206" s="19">
        <v>0.18</v>
      </c>
      <c r="P206" s="18">
        <f t="shared" si="4"/>
        <v>0</v>
      </c>
      <c r="Q206" s="12">
        <v>0</v>
      </c>
      <c r="R206" s="18">
        <f t="shared" si="5"/>
        <v>449.58</v>
      </c>
      <c r="S206" s="22">
        <f t="shared" si="6"/>
        <v>449</v>
      </c>
      <c r="T206" s="18">
        <f t="shared" si="7"/>
        <v>-0.57999999999998408</v>
      </c>
      <c r="U206" s="18">
        <f t="shared" si="8"/>
        <v>104.44</v>
      </c>
      <c r="V206" s="18">
        <f t="shared" si="9"/>
        <v>88.508474576271183</v>
      </c>
      <c r="W206" s="24">
        <f t="shared" si="10"/>
        <v>0.30311121430229859</v>
      </c>
      <c r="X206" s="22"/>
    </row>
    <row r="207" spans="1:24" x14ac:dyDescent="0.25">
      <c r="A207" s="9" t="s">
        <v>99</v>
      </c>
      <c r="B207" s="9" t="s">
        <v>94</v>
      </c>
      <c r="C207" s="10"/>
      <c r="D207" s="9" t="s">
        <v>410</v>
      </c>
      <c r="E207" s="9" t="s">
        <v>417</v>
      </c>
      <c r="F207" s="12">
        <v>1</v>
      </c>
      <c r="G207" s="14">
        <v>292</v>
      </c>
      <c r="H207" s="18">
        <f t="shared" si="0"/>
        <v>292</v>
      </c>
      <c r="I207" s="19">
        <v>0.18</v>
      </c>
      <c r="J207" s="18">
        <f t="shared" si="1"/>
        <v>344.56</v>
      </c>
      <c r="K207" s="18">
        <v>381</v>
      </c>
      <c r="L207" s="18">
        <f t="shared" si="2"/>
        <v>381</v>
      </c>
      <c r="M207" s="18">
        <f t="shared" si="3"/>
        <v>449.58</v>
      </c>
      <c r="N207" s="12">
        <v>0</v>
      </c>
      <c r="O207" s="19">
        <v>0.18</v>
      </c>
      <c r="P207" s="18">
        <f t="shared" si="4"/>
        <v>0</v>
      </c>
      <c r="Q207" s="12">
        <v>0</v>
      </c>
      <c r="R207" s="18">
        <f t="shared" si="5"/>
        <v>449.58</v>
      </c>
      <c r="S207" s="22">
        <f t="shared" si="6"/>
        <v>449</v>
      </c>
      <c r="T207" s="18">
        <f t="shared" si="7"/>
        <v>-0.57999999999998408</v>
      </c>
      <c r="U207" s="18">
        <f t="shared" si="8"/>
        <v>104.44</v>
      </c>
      <c r="V207" s="18">
        <f t="shared" si="9"/>
        <v>88.508474576271183</v>
      </c>
      <c r="W207" s="24">
        <f t="shared" si="10"/>
        <v>0.30311121430229859</v>
      </c>
      <c r="X207" s="22"/>
    </row>
    <row r="208" spans="1:24" x14ac:dyDescent="0.25">
      <c r="A208" s="9" t="s">
        <v>99</v>
      </c>
      <c r="B208" s="9" t="s">
        <v>94</v>
      </c>
      <c r="C208" s="10"/>
      <c r="D208" s="9" t="s">
        <v>410</v>
      </c>
      <c r="E208" s="9" t="s">
        <v>418</v>
      </c>
      <c r="F208" s="12">
        <v>1</v>
      </c>
      <c r="G208" s="14">
        <v>292</v>
      </c>
      <c r="H208" s="18">
        <f t="shared" si="0"/>
        <v>292</v>
      </c>
      <c r="I208" s="19">
        <v>0.18</v>
      </c>
      <c r="J208" s="18">
        <f t="shared" si="1"/>
        <v>344.56</v>
      </c>
      <c r="K208" s="18">
        <v>381</v>
      </c>
      <c r="L208" s="18">
        <f t="shared" si="2"/>
        <v>381</v>
      </c>
      <c r="M208" s="18">
        <f t="shared" si="3"/>
        <v>449.58</v>
      </c>
      <c r="N208" s="12">
        <v>0</v>
      </c>
      <c r="O208" s="19">
        <v>0.18</v>
      </c>
      <c r="P208" s="18">
        <f t="shared" si="4"/>
        <v>0</v>
      </c>
      <c r="Q208" s="12">
        <v>0</v>
      </c>
      <c r="R208" s="18">
        <f t="shared" si="5"/>
        <v>449.58</v>
      </c>
      <c r="S208" s="22">
        <f t="shared" si="6"/>
        <v>449</v>
      </c>
      <c r="T208" s="18">
        <f t="shared" si="7"/>
        <v>-0.57999999999998408</v>
      </c>
      <c r="U208" s="18">
        <f t="shared" si="8"/>
        <v>104.44</v>
      </c>
      <c r="V208" s="18">
        <f t="shared" si="9"/>
        <v>88.508474576271183</v>
      </c>
      <c r="W208" s="24">
        <f t="shared" si="10"/>
        <v>0.30311121430229859</v>
      </c>
      <c r="X208" s="22"/>
    </row>
    <row r="209" spans="1:24" x14ac:dyDescent="0.25">
      <c r="A209" s="9" t="s">
        <v>99</v>
      </c>
      <c r="B209" s="9" t="s">
        <v>94</v>
      </c>
      <c r="C209" s="10"/>
      <c r="D209" s="9" t="s">
        <v>410</v>
      </c>
      <c r="E209" s="9" t="s">
        <v>419</v>
      </c>
      <c r="F209" s="12">
        <v>1</v>
      </c>
      <c r="G209" s="14">
        <v>292</v>
      </c>
      <c r="H209" s="18">
        <f t="shared" si="0"/>
        <v>292</v>
      </c>
      <c r="I209" s="19">
        <v>0.18</v>
      </c>
      <c r="J209" s="18">
        <f t="shared" si="1"/>
        <v>344.56</v>
      </c>
      <c r="K209" s="18">
        <v>381</v>
      </c>
      <c r="L209" s="18">
        <f t="shared" si="2"/>
        <v>381</v>
      </c>
      <c r="M209" s="18">
        <f t="shared" si="3"/>
        <v>449.58</v>
      </c>
      <c r="N209" s="12">
        <v>0</v>
      </c>
      <c r="O209" s="19">
        <v>0.18</v>
      </c>
      <c r="P209" s="18">
        <f t="shared" si="4"/>
        <v>0</v>
      </c>
      <c r="Q209" s="12">
        <v>0</v>
      </c>
      <c r="R209" s="18">
        <f t="shared" si="5"/>
        <v>449.58</v>
      </c>
      <c r="S209" s="22">
        <f t="shared" si="6"/>
        <v>449</v>
      </c>
      <c r="T209" s="18">
        <f t="shared" si="7"/>
        <v>-0.57999999999998408</v>
      </c>
      <c r="U209" s="18">
        <f t="shared" si="8"/>
        <v>104.44</v>
      </c>
      <c r="V209" s="18">
        <f t="shared" si="9"/>
        <v>88.508474576271183</v>
      </c>
      <c r="W209" s="24">
        <f t="shared" si="10"/>
        <v>0.30311121430229859</v>
      </c>
      <c r="X209" s="22"/>
    </row>
    <row r="210" spans="1:24" x14ac:dyDescent="0.25">
      <c r="A210" s="9" t="s">
        <v>99</v>
      </c>
      <c r="B210" s="9" t="s">
        <v>94</v>
      </c>
      <c r="C210" s="10"/>
      <c r="D210" s="9" t="s">
        <v>410</v>
      </c>
      <c r="E210" s="9" t="s">
        <v>420</v>
      </c>
      <c r="F210" s="12">
        <v>1</v>
      </c>
      <c r="G210" s="14">
        <v>292</v>
      </c>
      <c r="H210" s="18">
        <f t="shared" si="0"/>
        <v>292</v>
      </c>
      <c r="I210" s="19">
        <v>0.18</v>
      </c>
      <c r="J210" s="18">
        <f t="shared" si="1"/>
        <v>344.56</v>
      </c>
      <c r="K210" s="18">
        <v>381</v>
      </c>
      <c r="L210" s="18">
        <f t="shared" si="2"/>
        <v>381</v>
      </c>
      <c r="M210" s="18">
        <f t="shared" si="3"/>
        <v>449.58</v>
      </c>
      <c r="N210" s="12">
        <v>0</v>
      </c>
      <c r="O210" s="19">
        <v>0.18</v>
      </c>
      <c r="P210" s="18">
        <f t="shared" si="4"/>
        <v>0</v>
      </c>
      <c r="Q210" s="12">
        <v>0</v>
      </c>
      <c r="R210" s="18">
        <f t="shared" si="5"/>
        <v>449.58</v>
      </c>
      <c r="S210" s="22">
        <f t="shared" si="6"/>
        <v>449</v>
      </c>
      <c r="T210" s="18">
        <f t="shared" si="7"/>
        <v>-0.57999999999998408</v>
      </c>
      <c r="U210" s="18">
        <f t="shared" si="8"/>
        <v>104.44</v>
      </c>
      <c r="V210" s="18">
        <f t="shared" si="9"/>
        <v>88.508474576271183</v>
      </c>
      <c r="W210" s="24">
        <f t="shared" si="10"/>
        <v>0.30311121430229859</v>
      </c>
      <c r="X210" s="22"/>
    </row>
    <row r="211" spans="1:24" x14ac:dyDescent="0.25">
      <c r="A211" s="9" t="s">
        <v>99</v>
      </c>
      <c r="B211" s="9" t="s">
        <v>94</v>
      </c>
      <c r="C211" s="10"/>
      <c r="D211" s="9" t="s">
        <v>410</v>
      </c>
      <c r="E211" s="9" t="s">
        <v>421</v>
      </c>
      <c r="F211" s="12">
        <v>1</v>
      </c>
      <c r="G211" s="14">
        <v>292</v>
      </c>
      <c r="H211" s="18">
        <f t="shared" si="0"/>
        <v>292</v>
      </c>
      <c r="I211" s="19">
        <v>0.18</v>
      </c>
      <c r="J211" s="18">
        <f t="shared" si="1"/>
        <v>344.56</v>
      </c>
      <c r="K211" s="18">
        <v>381</v>
      </c>
      <c r="L211" s="18">
        <f t="shared" si="2"/>
        <v>381</v>
      </c>
      <c r="M211" s="18">
        <f t="shared" si="3"/>
        <v>449.58</v>
      </c>
      <c r="N211" s="12">
        <v>0</v>
      </c>
      <c r="O211" s="19">
        <v>0.18</v>
      </c>
      <c r="P211" s="18">
        <f t="shared" si="4"/>
        <v>0</v>
      </c>
      <c r="Q211" s="12">
        <v>0</v>
      </c>
      <c r="R211" s="18">
        <f t="shared" si="5"/>
        <v>449.58</v>
      </c>
      <c r="S211" s="22">
        <f t="shared" si="6"/>
        <v>449</v>
      </c>
      <c r="T211" s="18">
        <f t="shared" si="7"/>
        <v>-0.57999999999998408</v>
      </c>
      <c r="U211" s="18">
        <f t="shared" si="8"/>
        <v>104.44</v>
      </c>
      <c r="V211" s="18">
        <f t="shared" si="9"/>
        <v>88.508474576271183</v>
      </c>
      <c r="W211" s="24">
        <f t="shared" si="10"/>
        <v>0.30311121430229859</v>
      </c>
      <c r="X211" s="22"/>
    </row>
    <row r="212" spans="1:24" x14ac:dyDescent="0.25">
      <c r="A212" s="9" t="s">
        <v>99</v>
      </c>
      <c r="B212" s="9" t="s">
        <v>94</v>
      </c>
      <c r="C212" s="10"/>
      <c r="D212" s="9" t="s">
        <v>422</v>
      </c>
      <c r="E212" s="9" t="s">
        <v>423</v>
      </c>
      <c r="F212" s="12">
        <v>1</v>
      </c>
      <c r="G212" s="14">
        <v>347</v>
      </c>
      <c r="H212" s="18">
        <f t="shared" si="0"/>
        <v>347</v>
      </c>
      <c r="I212" s="19">
        <v>0.18</v>
      </c>
      <c r="J212" s="18">
        <f t="shared" si="1"/>
        <v>409.46</v>
      </c>
      <c r="K212" s="18">
        <v>419</v>
      </c>
      <c r="L212" s="18">
        <f t="shared" si="2"/>
        <v>419</v>
      </c>
      <c r="M212" s="18">
        <f t="shared" si="3"/>
        <v>494.41999999999996</v>
      </c>
      <c r="N212" s="12">
        <v>0</v>
      </c>
      <c r="O212" s="19">
        <v>0.18</v>
      </c>
      <c r="P212" s="18">
        <f t="shared" si="4"/>
        <v>0</v>
      </c>
      <c r="Q212" s="12">
        <v>0</v>
      </c>
      <c r="R212" s="18">
        <f t="shared" si="5"/>
        <v>494.41999999999996</v>
      </c>
      <c r="S212" s="22">
        <f t="shared" si="6"/>
        <v>499</v>
      </c>
      <c r="T212" s="18">
        <f t="shared" si="7"/>
        <v>4.5800000000000409</v>
      </c>
      <c r="U212" s="18">
        <f t="shared" si="8"/>
        <v>89.54000000000002</v>
      </c>
      <c r="V212" s="18">
        <f t="shared" si="9"/>
        <v>75.881355932203405</v>
      </c>
      <c r="W212" s="24">
        <f t="shared" si="10"/>
        <v>0.21867825917061501</v>
      </c>
      <c r="X212" s="22"/>
    </row>
    <row r="213" spans="1:24" x14ac:dyDescent="0.25">
      <c r="A213" s="9" t="s">
        <v>24</v>
      </c>
      <c r="B213" s="9" t="s">
        <v>40</v>
      </c>
      <c r="C213" s="10"/>
      <c r="D213" s="9" t="s">
        <v>424</v>
      </c>
      <c r="E213" s="9" t="s">
        <v>425</v>
      </c>
      <c r="F213" s="12">
        <v>1</v>
      </c>
      <c r="G213" s="14">
        <v>2105</v>
      </c>
      <c r="H213" s="18">
        <f t="shared" si="0"/>
        <v>2105</v>
      </c>
      <c r="I213" s="19">
        <v>0.18</v>
      </c>
      <c r="J213" s="18">
        <f t="shared" si="1"/>
        <v>2483.9</v>
      </c>
      <c r="K213" s="18">
        <v>2316</v>
      </c>
      <c r="L213" s="18">
        <f t="shared" si="2"/>
        <v>2316</v>
      </c>
      <c r="M213" s="18">
        <f t="shared" si="3"/>
        <v>2732.8799999999997</v>
      </c>
      <c r="N213" s="12">
        <v>0</v>
      </c>
      <c r="O213" s="19">
        <v>0.18</v>
      </c>
      <c r="P213" s="18">
        <f t="shared" si="4"/>
        <v>0</v>
      </c>
      <c r="Q213" s="12">
        <v>0</v>
      </c>
      <c r="R213" s="18">
        <f t="shared" si="5"/>
        <v>2732.8799999999997</v>
      </c>
      <c r="S213" s="22">
        <f t="shared" si="6"/>
        <v>2749</v>
      </c>
      <c r="T213" s="18">
        <f t="shared" si="7"/>
        <v>16.120000000000346</v>
      </c>
      <c r="U213" s="18">
        <f t="shared" si="8"/>
        <v>265.09999999999991</v>
      </c>
      <c r="V213" s="18">
        <f t="shared" si="9"/>
        <v>224.66101694915247</v>
      </c>
      <c r="W213" s="24">
        <f t="shared" si="10"/>
        <v>0.10672732396634321</v>
      </c>
      <c r="X213" s="22"/>
    </row>
    <row r="214" spans="1:24" x14ac:dyDescent="0.25">
      <c r="A214" s="9" t="s">
        <v>94</v>
      </c>
      <c r="B214" s="9" t="s">
        <v>94</v>
      </c>
      <c r="C214" s="10"/>
      <c r="D214" s="9" t="s">
        <v>426</v>
      </c>
      <c r="E214" s="9" t="s">
        <v>427</v>
      </c>
      <c r="F214" s="12">
        <v>1</v>
      </c>
      <c r="G214" s="14">
        <v>2939</v>
      </c>
      <c r="H214" s="18">
        <f t="shared" si="0"/>
        <v>2939</v>
      </c>
      <c r="I214" s="19">
        <v>0.18</v>
      </c>
      <c r="J214" s="18">
        <f t="shared" si="1"/>
        <v>3468.02</v>
      </c>
      <c r="K214" s="18">
        <v>3558</v>
      </c>
      <c r="L214" s="18">
        <f t="shared" si="2"/>
        <v>3558</v>
      </c>
      <c r="M214" s="18">
        <f t="shared" si="3"/>
        <v>4198.4399999999996</v>
      </c>
      <c r="N214" s="12">
        <v>0</v>
      </c>
      <c r="O214" s="19">
        <v>0.18</v>
      </c>
      <c r="P214" s="18">
        <f t="shared" si="4"/>
        <v>0</v>
      </c>
      <c r="Q214" s="12">
        <v>0</v>
      </c>
      <c r="R214" s="18">
        <f t="shared" si="5"/>
        <v>4198.4399999999996</v>
      </c>
      <c r="S214" s="22">
        <f t="shared" si="6"/>
        <v>4199</v>
      </c>
      <c r="T214" s="18">
        <f t="shared" si="7"/>
        <v>0.56000000000040018</v>
      </c>
      <c r="U214" s="18">
        <f t="shared" si="8"/>
        <v>730.98</v>
      </c>
      <c r="V214" s="18">
        <f t="shared" si="9"/>
        <v>619.47457627118649</v>
      </c>
      <c r="W214" s="24">
        <f t="shared" si="10"/>
        <v>0.21077733115725977</v>
      </c>
      <c r="X214" s="22"/>
    </row>
    <row r="215" spans="1:24" x14ac:dyDescent="0.25">
      <c r="A215" s="9" t="s">
        <v>94</v>
      </c>
      <c r="B215" s="9" t="s">
        <v>94</v>
      </c>
      <c r="C215" s="10"/>
      <c r="D215" s="9" t="s">
        <v>428</v>
      </c>
      <c r="E215" s="9" t="s">
        <v>429</v>
      </c>
      <c r="F215" s="12">
        <v>1</v>
      </c>
      <c r="G215" s="14">
        <v>3218</v>
      </c>
      <c r="H215" s="18">
        <f t="shared" si="0"/>
        <v>3218</v>
      </c>
      <c r="I215" s="19">
        <v>0.18</v>
      </c>
      <c r="J215" s="18">
        <f t="shared" si="1"/>
        <v>3797.24</v>
      </c>
      <c r="K215" s="18">
        <v>4195</v>
      </c>
      <c r="L215" s="18">
        <f t="shared" si="2"/>
        <v>4195</v>
      </c>
      <c r="M215" s="18">
        <f t="shared" si="3"/>
        <v>4950.0999999999995</v>
      </c>
      <c r="N215" s="12">
        <v>0</v>
      </c>
      <c r="O215" s="19">
        <v>0.18</v>
      </c>
      <c r="P215" s="18">
        <f t="shared" si="4"/>
        <v>0</v>
      </c>
      <c r="Q215" s="12">
        <v>0</v>
      </c>
      <c r="R215" s="18">
        <f t="shared" si="5"/>
        <v>4950.0999999999995</v>
      </c>
      <c r="S215" s="22">
        <f t="shared" si="6"/>
        <v>4949</v>
      </c>
      <c r="T215" s="18">
        <f t="shared" si="7"/>
        <v>-1.0999999999994543</v>
      </c>
      <c r="U215" s="18">
        <f t="shared" si="8"/>
        <v>1151.7600000000002</v>
      </c>
      <c r="V215" s="18">
        <f t="shared" si="9"/>
        <v>976.06779661016969</v>
      </c>
      <c r="W215" s="24">
        <f t="shared" si="10"/>
        <v>0.30331503934436599</v>
      </c>
      <c r="X215" s="22"/>
    </row>
    <row r="216" spans="1:24" x14ac:dyDescent="0.25">
      <c r="A216" s="9" t="s">
        <v>24</v>
      </c>
      <c r="B216" s="9" t="s">
        <v>692</v>
      </c>
      <c r="C216" s="10"/>
      <c r="D216" s="9" t="s">
        <v>430</v>
      </c>
      <c r="E216" s="9" t="s">
        <v>431</v>
      </c>
      <c r="F216" s="12">
        <v>1</v>
      </c>
      <c r="G216" s="14">
        <v>2768</v>
      </c>
      <c r="H216" s="18">
        <f t="shared" si="0"/>
        <v>2768</v>
      </c>
      <c r="I216" s="19">
        <v>0.18</v>
      </c>
      <c r="J216" s="18">
        <f t="shared" si="1"/>
        <v>3266.24</v>
      </c>
      <c r="K216" s="18">
        <v>3449</v>
      </c>
      <c r="L216" s="18">
        <f t="shared" si="2"/>
        <v>3449</v>
      </c>
      <c r="M216" s="18">
        <f t="shared" si="3"/>
        <v>4069.8199999999997</v>
      </c>
      <c r="N216" s="12">
        <v>0</v>
      </c>
      <c r="O216" s="19">
        <v>0.18</v>
      </c>
      <c r="P216" s="18">
        <f t="shared" si="4"/>
        <v>0</v>
      </c>
      <c r="Q216" s="12">
        <v>0</v>
      </c>
      <c r="R216" s="18">
        <f t="shared" si="5"/>
        <v>4069.8199999999997</v>
      </c>
      <c r="S216" s="22">
        <f t="shared" si="6"/>
        <v>4049</v>
      </c>
      <c r="T216" s="18">
        <f t="shared" si="7"/>
        <v>-20.819999999999709</v>
      </c>
      <c r="U216" s="18">
        <f t="shared" si="8"/>
        <v>782.76000000000022</v>
      </c>
      <c r="V216" s="18">
        <f t="shared" si="9"/>
        <v>663.35593220339001</v>
      </c>
      <c r="W216" s="24">
        <f t="shared" si="10"/>
        <v>0.23965170961105131</v>
      </c>
      <c r="X216" s="22"/>
    </row>
    <row r="217" spans="1:24" x14ac:dyDescent="0.25">
      <c r="A217" s="9" t="s">
        <v>24</v>
      </c>
      <c r="B217" s="9" t="s">
        <v>25</v>
      </c>
      <c r="C217" s="10"/>
      <c r="D217" s="9" t="s">
        <v>432</v>
      </c>
      <c r="E217" s="9" t="s">
        <v>433</v>
      </c>
      <c r="F217" s="12">
        <v>1</v>
      </c>
      <c r="G217" s="14">
        <v>2212</v>
      </c>
      <c r="H217" s="18">
        <f t="shared" si="0"/>
        <v>2212</v>
      </c>
      <c r="I217" s="19">
        <v>0.12</v>
      </c>
      <c r="J217" s="18">
        <f t="shared" si="1"/>
        <v>2477.44</v>
      </c>
      <c r="K217" s="18">
        <v>2641</v>
      </c>
      <c r="L217" s="18">
        <f t="shared" si="2"/>
        <v>2641</v>
      </c>
      <c r="M217" s="18">
        <f t="shared" si="3"/>
        <v>2957.92</v>
      </c>
      <c r="N217" s="12">
        <v>0</v>
      </c>
      <c r="O217" s="19">
        <v>0.18</v>
      </c>
      <c r="P217" s="18">
        <f t="shared" si="4"/>
        <v>0</v>
      </c>
      <c r="Q217" s="12">
        <v>0</v>
      </c>
      <c r="R217" s="18">
        <f t="shared" si="5"/>
        <v>2957.92</v>
      </c>
      <c r="S217" s="22">
        <f t="shared" si="6"/>
        <v>2949</v>
      </c>
      <c r="T217" s="18">
        <f t="shared" si="7"/>
        <v>-8.9200000000000728</v>
      </c>
      <c r="U217" s="18">
        <f t="shared" si="8"/>
        <v>471.55999999999995</v>
      </c>
      <c r="V217" s="18">
        <f t="shared" si="9"/>
        <v>421.03571428571422</v>
      </c>
      <c r="W217" s="24">
        <f t="shared" si="10"/>
        <v>0.19034164298630843</v>
      </c>
      <c r="X217" s="22"/>
    </row>
    <row r="218" spans="1:24" x14ac:dyDescent="0.25">
      <c r="A218" s="9" t="s">
        <v>24</v>
      </c>
      <c r="B218" s="9" t="s">
        <v>40</v>
      </c>
      <c r="C218" s="10"/>
      <c r="D218" s="9" t="s">
        <v>434</v>
      </c>
      <c r="E218" s="9" t="s">
        <v>435</v>
      </c>
      <c r="F218" s="12">
        <v>1</v>
      </c>
      <c r="G218" s="14">
        <v>2088</v>
      </c>
      <c r="H218" s="18">
        <f t="shared" si="0"/>
        <v>2088</v>
      </c>
      <c r="I218" s="19">
        <v>0.18</v>
      </c>
      <c r="J218" s="18">
        <f t="shared" si="1"/>
        <v>2463.8399999999997</v>
      </c>
      <c r="K218" s="18">
        <v>2458</v>
      </c>
      <c r="L218" s="18">
        <f t="shared" si="2"/>
        <v>2458</v>
      </c>
      <c r="M218" s="18">
        <f t="shared" si="3"/>
        <v>2900.44</v>
      </c>
      <c r="N218" s="12">
        <v>0</v>
      </c>
      <c r="O218" s="19">
        <v>0.18</v>
      </c>
      <c r="P218" s="18">
        <f t="shared" si="4"/>
        <v>0</v>
      </c>
      <c r="Q218" s="12">
        <v>0</v>
      </c>
      <c r="R218" s="18">
        <f t="shared" si="5"/>
        <v>2900.44</v>
      </c>
      <c r="S218" s="22">
        <f t="shared" si="6"/>
        <v>2899</v>
      </c>
      <c r="T218" s="18">
        <f t="shared" si="7"/>
        <v>-1.4400000000000546</v>
      </c>
      <c r="U218" s="18">
        <f t="shared" si="8"/>
        <v>435.16000000000031</v>
      </c>
      <c r="V218" s="18">
        <f t="shared" si="9"/>
        <v>368.77966101694943</v>
      </c>
      <c r="W218" s="24">
        <f t="shared" si="10"/>
        <v>0.17661861159815587</v>
      </c>
      <c r="X218" s="22"/>
    </row>
    <row r="219" spans="1:24" x14ac:dyDescent="0.25">
      <c r="A219" s="9" t="s">
        <v>24</v>
      </c>
      <c r="B219" s="9" t="s">
        <v>134</v>
      </c>
      <c r="C219" s="10"/>
      <c r="D219" s="9" t="s">
        <v>436</v>
      </c>
      <c r="E219" s="9" t="s">
        <v>437</v>
      </c>
      <c r="F219" s="12">
        <v>1</v>
      </c>
      <c r="G219" s="14">
        <v>5651</v>
      </c>
      <c r="H219" s="18">
        <f t="shared" si="0"/>
        <v>5651</v>
      </c>
      <c r="I219" s="19">
        <v>0.18</v>
      </c>
      <c r="J219" s="18">
        <f t="shared" si="1"/>
        <v>6668.1799999999994</v>
      </c>
      <c r="K219" s="18">
        <v>7042</v>
      </c>
      <c r="L219" s="18">
        <f t="shared" si="2"/>
        <v>7042</v>
      </c>
      <c r="M219" s="18">
        <f t="shared" si="3"/>
        <v>8309.56</v>
      </c>
      <c r="N219" s="12">
        <v>1500</v>
      </c>
      <c r="O219" s="19">
        <v>0.18</v>
      </c>
      <c r="P219" s="18">
        <f t="shared" si="4"/>
        <v>1770</v>
      </c>
      <c r="Q219" s="12">
        <v>150</v>
      </c>
      <c r="R219" s="18">
        <f t="shared" si="5"/>
        <v>10079.56</v>
      </c>
      <c r="S219" s="22">
        <f t="shared" si="6"/>
        <v>10099</v>
      </c>
      <c r="T219" s="18">
        <f t="shared" si="7"/>
        <v>19.440000000000509</v>
      </c>
      <c r="U219" s="18">
        <f t="shared" si="8"/>
        <v>3280.8200000000006</v>
      </c>
      <c r="V219" s="18">
        <f t="shared" si="9"/>
        <v>2780.3559322033907</v>
      </c>
      <c r="W219" s="24">
        <f t="shared" si="10"/>
        <v>0.49201131343185112</v>
      </c>
      <c r="X219" s="22"/>
    </row>
    <row r="220" spans="1:24" x14ac:dyDescent="0.25">
      <c r="A220" s="9" t="s">
        <v>24</v>
      </c>
      <c r="B220" s="9" t="s">
        <v>81</v>
      </c>
      <c r="C220" s="10"/>
      <c r="D220" s="9" t="s">
        <v>438</v>
      </c>
      <c r="E220" s="9" t="s">
        <v>439</v>
      </c>
      <c r="F220" s="12">
        <v>1</v>
      </c>
      <c r="G220" s="14">
        <v>2156</v>
      </c>
      <c r="H220" s="18">
        <f t="shared" si="0"/>
        <v>2156</v>
      </c>
      <c r="I220" s="19">
        <v>0.18</v>
      </c>
      <c r="J220" s="18">
        <f t="shared" si="1"/>
        <v>2544.08</v>
      </c>
      <c r="K220" s="18">
        <v>2717</v>
      </c>
      <c r="L220" s="18">
        <f t="shared" si="2"/>
        <v>2717</v>
      </c>
      <c r="M220" s="18">
        <f t="shared" si="3"/>
        <v>3206.06</v>
      </c>
      <c r="N220" s="12">
        <v>0</v>
      </c>
      <c r="O220" s="19">
        <v>0.18</v>
      </c>
      <c r="P220" s="18">
        <f t="shared" si="4"/>
        <v>0</v>
      </c>
      <c r="Q220" s="12">
        <v>0</v>
      </c>
      <c r="R220" s="18">
        <f t="shared" si="5"/>
        <v>3206.06</v>
      </c>
      <c r="S220" s="22">
        <f t="shared" si="6"/>
        <v>3199</v>
      </c>
      <c r="T220" s="18">
        <f t="shared" si="7"/>
        <v>-7.0599999999999454</v>
      </c>
      <c r="U220" s="18">
        <f t="shared" si="8"/>
        <v>654.92000000000007</v>
      </c>
      <c r="V220" s="18">
        <f t="shared" si="9"/>
        <v>555.01694915254245</v>
      </c>
      <c r="W220" s="24">
        <f t="shared" si="10"/>
        <v>0.25742901166629983</v>
      </c>
      <c r="X220" s="22"/>
    </row>
    <row r="221" spans="1:24" x14ac:dyDescent="0.25">
      <c r="A221" s="9" t="s">
        <v>24</v>
      </c>
      <c r="B221" s="9" t="s">
        <v>44</v>
      </c>
      <c r="C221" s="10"/>
      <c r="D221" s="9" t="s">
        <v>440</v>
      </c>
      <c r="E221" s="9" t="s">
        <v>441</v>
      </c>
      <c r="F221" s="12">
        <v>1</v>
      </c>
      <c r="G221" s="14">
        <v>3952</v>
      </c>
      <c r="H221" s="18">
        <f t="shared" si="0"/>
        <v>3952</v>
      </c>
      <c r="I221" s="19">
        <v>0.18</v>
      </c>
      <c r="J221" s="18">
        <f t="shared" si="1"/>
        <v>4663.3599999999997</v>
      </c>
      <c r="K221" s="18">
        <v>5233</v>
      </c>
      <c r="L221" s="18">
        <f t="shared" si="2"/>
        <v>5233</v>
      </c>
      <c r="M221" s="18">
        <f t="shared" si="3"/>
        <v>6174.94</v>
      </c>
      <c r="N221" s="12">
        <v>1000</v>
      </c>
      <c r="O221" s="19">
        <v>0.18</v>
      </c>
      <c r="P221" s="18">
        <f t="shared" si="4"/>
        <v>1180</v>
      </c>
      <c r="Q221" s="12">
        <v>150</v>
      </c>
      <c r="R221" s="18">
        <f t="shared" si="5"/>
        <v>7354.94</v>
      </c>
      <c r="S221" s="22">
        <f t="shared" si="6"/>
        <v>7349</v>
      </c>
      <c r="T221" s="18">
        <f t="shared" si="7"/>
        <v>-5.9399999999995998</v>
      </c>
      <c r="U221" s="18">
        <f t="shared" si="8"/>
        <v>2535.6400000000003</v>
      </c>
      <c r="V221" s="18">
        <f t="shared" si="9"/>
        <v>2148.8474576271192</v>
      </c>
      <c r="W221" s="24">
        <f t="shared" si="10"/>
        <v>0.54373670486516179</v>
      </c>
      <c r="X221" s="22"/>
    </row>
    <row r="222" spans="1:24" x14ac:dyDescent="0.25">
      <c r="A222" s="9" t="s">
        <v>24</v>
      </c>
      <c r="B222" s="9" t="s">
        <v>77</v>
      </c>
      <c r="C222" s="10"/>
      <c r="D222" s="9" t="s">
        <v>440</v>
      </c>
      <c r="E222" s="9" t="s">
        <v>441</v>
      </c>
      <c r="F222" s="12">
        <v>1</v>
      </c>
      <c r="G222" s="14">
        <v>3952</v>
      </c>
      <c r="H222" s="18">
        <f t="shared" si="0"/>
        <v>3952</v>
      </c>
      <c r="I222" s="19">
        <v>0.18</v>
      </c>
      <c r="J222" s="18">
        <f t="shared" si="1"/>
        <v>4663.3599999999997</v>
      </c>
      <c r="K222" s="18">
        <v>5233</v>
      </c>
      <c r="L222" s="18">
        <f t="shared" si="2"/>
        <v>5233</v>
      </c>
      <c r="M222" s="18">
        <f t="shared" si="3"/>
        <v>6174.94</v>
      </c>
      <c r="N222" s="12">
        <v>1000</v>
      </c>
      <c r="O222" s="19">
        <v>0.18</v>
      </c>
      <c r="P222" s="18">
        <f t="shared" si="4"/>
        <v>1180</v>
      </c>
      <c r="Q222" s="12">
        <v>150</v>
      </c>
      <c r="R222" s="18">
        <f t="shared" si="5"/>
        <v>7354.94</v>
      </c>
      <c r="S222" s="22">
        <f t="shared" si="6"/>
        <v>7349</v>
      </c>
      <c r="T222" s="18">
        <f t="shared" si="7"/>
        <v>-5.9399999999995998</v>
      </c>
      <c r="U222" s="18">
        <f t="shared" si="8"/>
        <v>2535.6400000000003</v>
      </c>
      <c r="V222" s="18">
        <f t="shared" si="9"/>
        <v>2148.8474576271192</v>
      </c>
      <c r="W222" s="24">
        <f t="shared" si="10"/>
        <v>0.54373670486516179</v>
      </c>
      <c r="X222" s="22"/>
    </row>
    <row r="223" spans="1:24" x14ac:dyDescent="0.25">
      <c r="A223" s="9" t="s">
        <v>24</v>
      </c>
      <c r="B223" s="9" t="s">
        <v>77</v>
      </c>
      <c r="C223" s="10"/>
      <c r="D223" s="9" t="s">
        <v>440</v>
      </c>
      <c r="E223" s="9" t="s">
        <v>442</v>
      </c>
      <c r="F223" s="12">
        <v>1</v>
      </c>
      <c r="G223" s="14">
        <v>3952</v>
      </c>
      <c r="H223" s="18">
        <f t="shared" si="0"/>
        <v>3952</v>
      </c>
      <c r="I223" s="19">
        <v>0.18</v>
      </c>
      <c r="J223" s="18">
        <f t="shared" si="1"/>
        <v>4663.3599999999997</v>
      </c>
      <c r="K223" s="18">
        <v>5233</v>
      </c>
      <c r="L223" s="18">
        <f t="shared" si="2"/>
        <v>5233</v>
      </c>
      <c r="M223" s="18">
        <f t="shared" si="3"/>
        <v>6174.94</v>
      </c>
      <c r="N223" s="12">
        <v>1000</v>
      </c>
      <c r="O223" s="19">
        <v>0.18</v>
      </c>
      <c r="P223" s="18">
        <f t="shared" si="4"/>
        <v>1180</v>
      </c>
      <c r="Q223" s="12">
        <v>150</v>
      </c>
      <c r="R223" s="18">
        <f t="shared" si="5"/>
        <v>7354.94</v>
      </c>
      <c r="S223" s="22">
        <f t="shared" si="6"/>
        <v>7349</v>
      </c>
      <c r="T223" s="18">
        <f t="shared" si="7"/>
        <v>-5.9399999999995998</v>
      </c>
      <c r="U223" s="18">
        <f t="shared" si="8"/>
        <v>2535.6400000000003</v>
      </c>
      <c r="V223" s="18">
        <f t="shared" si="9"/>
        <v>2148.8474576271192</v>
      </c>
      <c r="W223" s="24">
        <f t="shared" si="10"/>
        <v>0.54373670486516179</v>
      </c>
      <c r="X223" s="22"/>
    </row>
    <row r="224" spans="1:24" x14ac:dyDescent="0.25">
      <c r="A224" s="9" t="s">
        <v>24</v>
      </c>
      <c r="B224" s="9" t="s">
        <v>58</v>
      </c>
      <c r="C224" s="10"/>
      <c r="D224" s="9" t="s">
        <v>443</v>
      </c>
      <c r="E224" s="9" t="s">
        <v>444</v>
      </c>
      <c r="F224" s="12">
        <v>1</v>
      </c>
      <c r="G224" s="14">
        <v>7331</v>
      </c>
      <c r="H224" s="18">
        <f t="shared" si="0"/>
        <v>7331</v>
      </c>
      <c r="I224" s="19">
        <v>0.18</v>
      </c>
      <c r="J224" s="18">
        <f t="shared" si="1"/>
        <v>8650.58</v>
      </c>
      <c r="K224" s="18">
        <v>9708</v>
      </c>
      <c r="L224" s="18">
        <f t="shared" si="2"/>
        <v>9708</v>
      </c>
      <c r="M224" s="18">
        <f t="shared" si="3"/>
        <v>11455.439999999999</v>
      </c>
      <c r="N224" s="12">
        <v>1000</v>
      </c>
      <c r="O224" s="19">
        <v>0.18</v>
      </c>
      <c r="P224" s="18">
        <f t="shared" si="4"/>
        <v>1180</v>
      </c>
      <c r="Q224" s="12">
        <v>150</v>
      </c>
      <c r="R224" s="18">
        <f t="shared" si="5"/>
        <v>12635.439999999999</v>
      </c>
      <c r="S224" s="22">
        <f t="shared" si="6"/>
        <v>12649</v>
      </c>
      <c r="T224" s="18">
        <f t="shared" si="7"/>
        <v>13.56000000000131</v>
      </c>
      <c r="U224" s="18">
        <f t="shared" si="8"/>
        <v>3848.42</v>
      </c>
      <c r="V224" s="18">
        <f t="shared" si="9"/>
        <v>3261.3728813559323</v>
      </c>
      <c r="W224" s="24">
        <f t="shared" si="10"/>
        <v>0.44487421652652193</v>
      </c>
      <c r="X224" s="22"/>
    </row>
    <row r="225" spans="1:24" x14ac:dyDescent="0.25">
      <c r="A225" s="9" t="s">
        <v>99</v>
      </c>
      <c r="B225" s="9" t="s">
        <v>262</v>
      </c>
      <c r="C225" s="10"/>
      <c r="D225" s="9" t="s">
        <v>445</v>
      </c>
      <c r="E225" s="9" t="s">
        <v>446</v>
      </c>
      <c r="F225" s="12">
        <v>1</v>
      </c>
      <c r="G225" s="14">
        <v>1276</v>
      </c>
      <c r="H225" s="18">
        <f t="shared" si="0"/>
        <v>1276</v>
      </c>
      <c r="I225" s="19">
        <v>0.18</v>
      </c>
      <c r="J225" s="18">
        <f t="shared" si="1"/>
        <v>1505.6799999999998</v>
      </c>
      <c r="K225" s="18">
        <v>1534</v>
      </c>
      <c r="L225" s="18">
        <f t="shared" si="2"/>
        <v>1534</v>
      </c>
      <c r="M225" s="18">
        <f t="shared" si="3"/>
        <v>1810.12</v>
      </c>
      <c r="N225" s="12">
        <v>100</v>
      </c>
      <c r="O225" s="19">
        <v>0.18</v>
      </c>
      <c r="P225" s="18">
        <f t="shared" si="4"/>
        <v>118</v>
      </c>
      <c r="Q225" s="12">
        <v>10</v>
      </c>
      <c r="R225" s="18">
        <f t="shared" si="5"/>
        <v>1928.12</v>
      </c>
      <c r="S225" s="22">
        <f t="shared" si="6"/>
        <v>1949</v>
      </c>
      <c r="T225" s="18">
        <f t="shared" si="7"/>
        <v>20.880000000000109</v>
      </c>
      <c r="U225" s="18">
        <f t="shared" si="8"/>
        <v>433.32000000000016</v>
      </c>
      <c r="V225" s="18">
        <f t="shared" si="9"/>
        <v>367.22033898305102</v>
      </c>
      <c r="W225" s="24">
        <f t="shared" si="10"/>
        <v>0.28779023431273593</v>
      </c>
      <c r="X225" s="22"/>
    </row>
    <row r="226" spans="1:24" x14ac:dyDescent="0.25">
      <c r="A226" s="9" t="s">
        <v>24</v>
      </c>
      <c r="B226" s="9" t="s">
        <v>150</v>
      </c>
      <c r="C226" s="10"/>
      <c r="D226" s="9" t="s">
        <v>445</v>
      </c>
      <c r="E226" s="9" t="s">
        <v>447</v>
      </c>
      <c r="F226" s="12">
        <v>1</v>
      </c>
      <c r="G226" s="14">
        <v>1506</v>
      </c>
      <c r="H226" s="18">
        <f t="shared" si="0"/>
        <v>1506</v>
      </c>
      <c r="I226" s="19">
        <v>0.18</v>
      </c>
      <c r="J226" s="18">
        <f t="shared" si="1"/>
        <v>1777.08</v>
      </c>
      <c r="K226" s="18">
        <v>1898</v>
      </c>
      <c r="L226" s="18">
        <f t="shared" si="2"/>
        <v>1898</v>
      </c>
      <c r="M226" s="18">
        <f t="shared" si="3"/>
        <v>2239.64</v>
      </c>
      <c r="N226" s="12">
        <v>100</v>
      </c>
      <c r="O226" s="19">
        <v>0.18</v>
      </c>
      <c r="P226" s="18">
        <f t="shared" si="4"/>
        <v>118</v>
      </c>
      <c r="Q226" s="12">
        <v>10</v>
      </c>
      <c r="R226" s="18">
        <f t="shared" si="5"/>
        <v>2357.64</v>
      </c>
      <c r="S226" s="22">
        <f t="shared" si="6"/>
        <v>2349</v>
      </c>
      <c r="T226" s="18">
        <f t="shared" si="7"/>
        <v>-8.6399999999998727</v>
      </c>
      <c r="U226" s="18">
        <f t="shared" si="8"/>
        <v>561.92000000000007</v>
      </c>
      <c r="V226" s="18">
        <f t="shared" si="9"/>
        <v>476.20338983050857</v>
      </c>
      <c r="W226" s="24">
        <f t="shared" si="10"/>
        <v>0.31620411011321953</v>
      </c>
      <c r="X226" s="22"/>
    </row>
    <row r="227" spans="1:24" x14ac:dyDescent="0.25">
      <c r="A227" s="9" t="s">
        <v>24</v>
      </c>
      <c r="B227" s="9" t="s">
        <v>134</v>
      </c>
      <c r="C227" s="10"/>
      <c r="D227" s="9" t="s">
        <v>445</v>
      </c>
      <c r="E227" s="9" t="s">
        <v>448</v>
      </c>
      <c r="F227" s="12">
        <v>1</v>
      </c>
      <c r="G227" s="14">
        <v>1276</v>
      </c>
      <c r="H227" s="18">
        <f t="shared" si="0"/>
        <v>1276</v>
      </c>
      <c r="I227" s="19">
        <v>0.18</v>
      </c>
      <c r="J227" s="18">
        <f t="shared" si="1"/>
        <v>1505.6799999999998</v>
      </c>
      <c r="K227" s="18">
        <v>1608</v>
      </c>
      <c r="L227" s="18">
        <f t="shared" si="2"/>
        <v>1608</v>
      </c>
      <c r="M227" s="18">
        <f t="shared" si="3"/>
        <v>1897.4399999999998</v>
      </c>
      <c r="N227" s="12">
        <v>100</v>
      </c>
      <c r="O227" s="19">
        <v>0.18</v>
      </c>
      <c r="P227" s="18">
        <f t="shared" si="4"/>
        <v>118</v>
      </c>
      <c r="Q227" s="12">
        <v>10</v>
      </c>
      <c r="R227" s="18">
        <f t="shared" si="5"/>
        <v>2015.4399999999998</v>
      </c>
      <c r="S227" s="22">
        <f t="shared" si="6"/>
        <v>1999</v>
      </c>
      <c r="T227" s="18">
        <f t="shared" si="7"/>
        <v>-16.439999999999827</v>
      </c>
      <c r="U227" s="18">
        <f t="shared" si="8"/>
        <v>483.32000000000016</v>
      </c>
      <c r="V227" s="18">
        <f t="shared" si="9"/>
        <v>409.5932203389832</v>
      </c>
      <c r="W227" s="24">
        <f t="shared" si="10"/>
        <v>0.32099782158227524</v>
      </c>
      <c r="X227" s="22"/>
    </row>
    <row r="228" spans="1:24" x14ac:dyDescent="0.25">
      <c r="A228" s="9" t="s">
        <v>24</v>
      </c>
      <c r="B228" s="9" t="s">
        <v>137</v>
      </c>
      <c r="C228" s="10"/>
      <c r="D228" s="9" t="s">
        <v>445</v>
      </c>
      <c r="E228" s="9" t="s">
        <v>449</v>
      </c>
      <c r="F228" s="12">
        <v>1</v>
      </c>
      <c r="G228" s="14">
        <v>1422</v>
      </c>
      <c r="H228" s="18">
        <f t="shared" si="0"/>
        <v>1422</v>
      </c>
      <c r="I228" s="19">
        <v>0.18</v>
      </c>
      <c r="J228" s="18">
        <f t="shared" si="1"/>
        <v>1677.9599999999998</v>
      </c>
      <c r="K228" s="18">
        <v>1792</v>
      </c>
      <c r="L228" s="18">
        <f t="shared" si="2"/>
        <v>1792</v>
      </c>
      <c r="M228" s="18">
        <f t="shared" si="3"/>
        <v>2114.56</v>
      </c>
      <c r="N228" s="12">
        <v>100</v>
      </c>
      <c r="O228" s="19">
        <v>0.18</v>
      </c>
      <c r="P228" s="18">
        <f t="shared" si="4"/>
        <v>118</v>
      </c>
      <c r="Q228" s="12">
        <v>10</v>
      </c>
      <c r="R228" s="18">
        <f t="shared" si="5"/>
        <v>2232.56</v>
      </c>
      <c r="S228" s="22">
        <f t="shared" si="6"/>
        <v>2249</v>
      </c>
      <c r="T228" s="18">
        <f t="shared" si="7"/>
        <v>16.440000000000055</v>
      </c>
      <c r="U228" s="18">
        <f t="shared" si="8"/>
        <v>561.04000000000019</v>
      </c>
      <c r="V228" s="18">
        <f t="shared" si="9"/>
        <v>475.45762711864427</v>
      </c>
      <c r="W228" s="24">
        <f t="shared" si="10"/>
        <v>0.3343583875658539</v>
      </c>
      <c r="X228" s="22"/>
    </row>
    <row r="229" spans="1:24" x14ac:dyDescent="0.25">
      <c r="A229" s="9" t="s">
        <v>24</v>
      </c>
      <c r="B229" s="9" t="s">
        <v>44</v>
      </c>
      <c r="C229" s="10"/>
      <c r="D229" s="9" t="s">
        <v>445</v>
      </c>
      <c r="E229" s="9" t="s">
        <v>450</v>
      </c>
      <c r="F229" s="12">
        <v>1</v>
      </c>
      <c r="G229" s="14">
        <v>953</v>
      </c>
      <c r="H229" s="18">
        <f t="shared" si="0"/>
        <v>953</v>
      </c>
      <c r="I229" s="19">
        <v>0.18</v>
      </c>
      <c r="J229" s="18">
        <f t="shared" si="1"/>
        <v>1124.54</v>
      </c>
      <c r="K229" s="18">
        <v>1262</v>
      </c>
      <c r="L229" s="18">
        <f t="shared" si="2"/>
        <v>1262</v>
      </c>
      <c r="M229" s="18">
        <f t="shared" si="3"/>
        <v>1489.1599999999999</v>
      </c>
      <c r="N229" s="12">
        <v>100</v>
      </c>
      <c r="O229" s="19">
        <v>0.18</v>
      </c>
      <c r="P229" s="18">
        <f t="shared" si="4"/>
        <v>118</v>
      </c>
      <c r="Q229" s="12">
        <v>10</v>
      </c>
      <c r="R229" s="18">
        <f t="shared" si="5"/>
        <v>1607.1599999999999</v>
      </c>
      <c r="S229" s="22">
        <f t="shared" si="6"/>
        <v>1599</v>
      </c>
      <c r="T229" s="18">
        <f t="shared" si="7"/>
        <v>-8.1599999999998545</v>
      </c>
      <c r="U229" s="18">
        <f t="shared" si="8"/>
        <v>464.46000000000004</v>
      </c>
      <c r="V229" s="18">
        <f t="shared" si="9"/>
        <v>393.61016949152548</v>
      </c>
      <c r="W229" s="24">
        <f t="shared" si="10"/>
        <v>0.413022213527309</v>
      </c>
      <c r="X229" s="22"/>
    </row>
    <row r="230" spans="1:24" x14ac:dyDescent="0.25">
      <c r="A230" s="9" t="s">
        <v>24</v>
      </c>
      <c r="B230" s="9" t="s">
        <v>52</v>
      </c>
      <c r="C230" s="10"/>
      <c r="D230" s="9" t="s">
        <v>445</v>
      </c>
      <c r="E230" s="9" t="s">
        <v>451</v>
      </c>
      <c r="F230" s="12">
        <v>1</v>
      </c>
      <c r="G230" s="14">
        <v>1654</v>
      </c>
      <c r="H230" s="18">
        <f t="shared" si="0"/>
        <v>1654</v>
      </c>
      <c r="I230" s="19">
        <v>0.18</v>
      </c>
      <c r="J230" s="18">
        <f t="shared" si="1"/>
        <v>1951.7199999999998</v>
      </c>
      <c r="K230" s="18">
        <v>2085</v>
      </c>
      <c r="L230" s="18">
        <f t="shared" si="2"/>
        <v>2085</v>
      </c>
      <c r="M230" s="18">
        <f t="shared" si="3"/>
        <v>2460.2999999999997</v>
      </c>
      <c r="N230" s="12">
        <v>100</v>
      </c>
      <c r="O230" s="19">
        <v>0.18</v>
      </c>
      <c r="P230" s="18">
        <f t="shared" si="4"/>
        <v>118</v>
      </c>
      <c r="Q230" s="12">
        <v>10</v>
      </c>
      <c r="R230" s="18">
        <f t="shared" si="5"/>
        <v>2578.2999999999997</v>
      </c>
      <c r="S230" s="22">
        <f t="shared" si="6"/>
        <v>2599</v>
      </c>
      <c r="T230" s="18">
        <f t="shared" si="7"/>
        <v>20.700000000000273</v>
      </c>
      <c r="U230" s="18">
        <f t="shared" si="8"/>
        <v>637.2800000000002</v>
      </c>
      <c r="V230" s="18">
        <f t="shared" si="9"/>
        <v>540.06779661016969</v>
      </c>
      <c r="W230" s="24">
        <f t="shared" si="10"/>
        <v>0.32652224704363342</v>
      </c>
      <c r="X230" s="22"/>
    </row>
    <row r="231" spans="1:24" x14ac:dyDescent="0.25">
      <c r="A231" s="9" t="s">
        <v>24</v>
      </c>
      <c r="B231" s="9" t="s">
        <v>58</v>
      </c>
      <c r="C231" s="10"/>
      <c r="D231" s="9" t="s">
        <v>445</v>
      </c>
      <c r="E231" s="9" t="s">
        <v>452</v>
      </c>
      <c r="F231" s="12">
        <v>1</v>
      </c>
      <c r="G231" s="14">
        <v>2728</v>
      </c>
      <c r="H231" s="18">
        <f t="shared" si="0"/>
        <v>2728</v>
      </c>
      <c r="I231" s="19">
        <v>0.18</v>
      </c>
      <c r="J231" s="18">
        <f t="shared" si="1"/>
        <v>3219.04</v>
      </c>
      <c r="K231" s="18">
        <v>3612</v>
      </c>
      <c r="L231" s="18">
        <f t="shared" si="2"/>
        <v>3612</v>
      </c>
      <c r="M231" s="18">
        <f t="shared" si="3"/>
        <v>4262.16</v>
      </c>
      <c r="N231" s="12">
        <v>100</v>
      </c>
      <c r="O231" s="19">
        <v>0.18</v>
      </c>
      <c r="P231" s="18">
        <f t="shared" si="4"/>
        <v>118</v>
      </c>
      <c r="Q231" s="12">
        <v>10</v>
      </c>
      <c r="R231" s="18">
        <f t="shared" si="5"/>
        <v>4380.16</v>
      </c>
      <c r="S231" s="22">
        <f t="shared" si="6"/>
        <v>4399</v>
      </c>
      <c r="T231" s="18">
        <f t="shared" si="7"/>
        <v>18.840000000000146</v>
      </c>
      <c r="U231" s="18">
        <f t="shared" si="8"/>
        <v>1169.96</v>
      </c>
      <c r="V231" s="18">
        <f t="shared" si="9"/>
        <v>991.49152542372894</v>
      </c>
      <c r="W231" s="24">
        <f t="shared" si="10"/>
        <v>0.36344997266265722</v>
      </c>
      <c r="X231" s="22"/>
    </row>
    <row r="232" spans="1:24" x14ac:dyDescent="0.25">
      <c r="A232" s="9" t="s">
        <v>24</v>
      </c>
      <c r="B232" s="9" t="s">
        <v>63</v>
      </c>
      <c r="C232" s="10"/>
      <c r="D232" s="9" t="s">
        <v>445</v>
      </c>
      <c r="E232" s="9" t="s">
        <v>453</v>
      </c>
      <c r="F232" s="12">
        <v>1</v>
      </c>
      <c r="G232" s="14">
        <v>3498</v>
      </c>
      <c r="H232" s="18">
        <f t="shared" si="0"/>
        <v>3498</v>
      </c>
      <c r="I232" s="19">
        <v>0.18</v>
      </c>
      <c r="J232" s="18">
        <f t="shared" si="1"/>
        <v>4127.6399999999994</v>
      </c>
      <c r="K232" s="18">
        <v>4408</v>
      </c>
      <c r="L232" s="18">
        <f t="shared" si="2"/>
        <v>4408</v>
      </c>
      <c r="M232" s="18">
        <f t="shared" si="3"/>
        <v>5201.4399999999996</v>
      </c>
      <c r="N232" s="12">
        <v>100</v>
      </c>
      <c r="O232" s="19">
        <v>0.18</v>
      </c>
      <c r="P232" s="18">
        <f t="shared" si="4"/>
        <v>118</v>
      </c>
      <c r="Q232" s="12">
        <v>10</v>
      </c>
      <c r="R232" s="18">
        <f t="shared" si="5"/>
        <v>5319.44</v>
      </c>
      <c r="S232" s="22">
        <f t="shared" si="6"/>
        <v>5299</v>
      </c>
      <c r="T232" s="18">
        <f t="shared" si="7"/>
        <v>-20.4399999999996</v>
      </c>
      <c r="U232" s="18">
        <f t="shared" si="8"/>
        <v>1161.3600000000006</v>
      </c>
      <c r="V232" s="18">
        <f t="shared" si="9"/>
        <v>984.20338983050897</v>
      </c>
      <c r="W232" s="24">
        <f t="shared" si="10"/>
        <v>0.28136174666395342</v>
      </c>
      <c r="X232" s="22"/>
    </row>
    <row r="233" spans="1:24" x14ac:dyDescent="0.25">
      <c r="A233" s="9" t="s">
        <v>24</v>
      </c>
      <c r="B233" s="9" t="s">
        <v>25</v>
      </c>
      <c r="C233" s="10"/>
      <c r="D233" s="9" t="s">
        <v>445</v>
      </c>
      <c r="E233" s="9" t="s">
        <v>454</v>
      </c>
      <c r="F233" s="12">
        <v>1</v>
      </c>
      <c r="G233" s="14">
        <v>1759</v>
      </c>
      <c r="H233" s="18">
        <f t="shared" si="0"/>
        <v>1759</v>
      </c>
      <c r="I233" s="19">
        <v>0.18</v>
      </c>
      <c r="J233" s="18">
        <f t="shared" si="1"/>
        <v>2075.62</v>
      </c>
      <c r="K233" s="18">
        <v>2070</v>
      </c>
      <c r="L233" s="18">
        <f t="shared" si="2"/>
        <v>2070</v>
      </c>
      <c r="M233" s="18">
        <f t="shared" si="3"/>
        <v>2442.6</v>
      </c>
      <c r="N233" s="12">
        <v>100</v>
      </c>
      <c r="O233" s="19">
        <v>0.18</v>
      </c>
      <c r="P233" s="18">
        <f t="shared" si="4"/>
        <v>118</v>
      </c>
      <c r="Q233" s="12">
        <v>0</v>
      </c>
      <c r="R233" s="18">
        <f t="shared" si="5"/>
        <v>2560.6</v>
      </c>
      <c r="S233" s="22">
        <f t="shared" si="6"/>
        <v>2549</v>
      </c>
      <c r="T233" s="18">
        <f t="shared" si="7"/>
        <v>-11.599999999999909</v>
      </c>
      <c r="U233" s="18">
        <f t="shared" si="8"/>
        <v>473.38000000000011</v>
      </c>
      <c r="V233" s="18">
        <f t="shared" si="9"/>
        <v>401.16949152542384</v>
      </c>
      <c r="W233" s="24">
        <f t="shared" si="10"/>
        <v>0.2280667944999567</v>
      </c>
      <c r="X233" s="22"/>
    </row>
    <row r="234" spans="1:24" x14ac:dyDescent="0.25">
      <c r="A234" s="9" t="s">
        <v>24</v>
      </c>
      <c r="B234" s="9" t="s">
        <v>40</v>
      </c>
      <c r="C234" s="10"/>
      <c r="D234" s="9" t="s">
        <v>455</v>
      </c>
      <c r="E234" s="9" t="s">
        <v>456</v>
      </c>
      <c r="F234" s="12">
        <v>1</v>
      </c>
      <c r="G234" s="14">
        <v>2814</v>
      </c>
      <c r="H234" s="18">
        <f t="shared" si="0"/>
        <v>2814</v>
      </c>
      <c r="I234" s="19">
        <v>0.18</v>
      </c>
      <c r="J234" s="18">
        <f t="shared" si="1"/>
        <v>3320.52</v>
      </c>
      <c r="K234" s="18">
        <v>3312</v>
      </c>
      <c r="L234" s="18">
        <f t="shared" si="2"/>
        <v>3312</v>
      </c>
      <c r="M234" s="18">
        <f t="shared" si="3"/>
        <v>3908.16</v>
      </c>
      <c r="N234" s="12">
        <v>100</v>
      </c>
      <c r="O234" s="19">
        <v>0.18</v>
      </c>
      <c r="P234" s="18">
        <f t="shared" si="4"/>
        <v>118</v>
      </c>
      <c r="Q234" s="12">
        <v>0</v>
      </c>
      <c r="R234" s="18">
        <f t="shared" si="5"/>
        <v>4026.16</v>
      </c>
      <c r="S234" s="22">
        <f t="shared" si="6"/>
        <v>4049</v>
      </c>
      <c r="T234" s="18">
        <f t="shared" si="7"/>
        <v>22.840000000000146</v>
      </c>
      <c r="U234" s="18">
        <f t="shared" si="8"/>
        <v>728.48</v>
      </c>
      <c r="V234" s="18">
        <f t="shared" si="9"/>
        <v>617.3559322033899</v>
      </c>
      <c r="W234" s="24">
        <f t="shared" si="10"/>
        <v>0.21938732487682655</v>
      </c>
      <c r="X234" s="22"/>
    </row>
    <row r="235" spans="1:24" x14ac:dyDescent="0.25">
      <c r="A235" s="9" t="s">
        <v>24</v>
      </c>
      <c r="B235" s="9" t="s">
        <v>43</v>
      </c>
      <c r="C235" s="10"/>
      <c r="D235" s="9" t="s">
        <v>457</v>
      </c>
      <c r="E235" s="9" t="s">
        <v>458</v>
      </c>
      <c r="F235" s="12">
        <v>1</v>
      </c>
      <c r="G235" s="14">
        <v>2825</v>
      </c>
      <c r="H235" s="18">
        <f t="shared" si="0"/>
        <v>2825</v>
      </c>
      <c r="I235" s="19">
        <v>0.18</v>
      </c>
      <c r="J235" s="18">
        <f t="shared" si="1"/>
        <v>3333.5</v>
      </c>
      <c r="K235" s="18">
        <v>3683</v>
      </c>
      <c r="L235" s="18">
        <f t="shared" si="2"/>
        <v>3683</v>
      </c>
      <c r="M235" s="18">
        <f t="shared" si="3"/>
        <v>4345.9399999999996</v>
      </c>
      <c r="N235" s="12">
        <v>300</v>
      </c>
      <c r="O235" s="19">
        <v>0.18</v>
      </c>
      <c r="P235" s="18">
        <f t="shared" si="4"/>
        <v>354</v>
      </c>
      <c r="Q235" s="12">
        <v>50</v>
      </c>
      <c r="R235" s="18">
        <f t="shared" si="5"/>
        <v>4699.9399999999996</v>
      </c>
      <c r="S235" s="22">
        <f t="shared" si="6"/>
        <v>4699</v>
      </c>
      <c r="T235" s="18">
        <f t="shared" si="7"/>
        <v>-0.93999999999959982</v>
      </c>
      <c r="U235" s="18">
        <f t="shared" si="8"/>
        <v>1315.5</v>
      </c>
      <c r="V235" s="18">
        <f t="shared" si="9"/>
        <v>1114.8305084745764</v>
      </c>
      <c r="W235" s="24">
        <f t="shared" si="10"/>
        <v>0.39463026848657573</v>
      </c>
      <c r="X235" s="22"/>
    </row>
    <row r="236" spans="1:24" x14ac:dyDescent="0.25">
      <c r="A236" s="9" t="s">
        <v>24</v>
      </c>
      <c r="B236" s="9" t="s">
        <v>52</v>
      </c>
      <c r="C236" s="10"/>
      <c r="D236" s="9" t="s">
        <v>459</v>
      </c>
      <c r="E236" s="9" t="s">
        <v>460</v>
      </c>
      <c r="F236" s="12">
        <v>1</v>
      </c>
      <c r="G236" s="14">
        <v>2545</v>
      </c>
      <c r="H236" s="18">
        <f t="shared" si="0"/>
        <v>2545</v>
      </c>
      <c r="I236" s="19">
        <v>0.18</v>
      </c>
      <c r="J236" s="18">
        <f t="shared" si="1"/>
        <v>3003.1</v>
      </c>
      <c r="K236" s="18">
        <v>3208</v>
      </c>
      <c r="L236" s="18">
        <f t="shared" si="2"/>
        <v>3208</v>
      </c>
      <c r="M236" s="18">
        <f t="shared" si="3"/>
        <v>3785.4399999999996</v>
      </c>
      <c r="N236" s="12">
        <v>100</v>
      </c>
      <c r="O236" s="19">
        <v>0.18</v>
      </c>
      <c r="P236" s="18">
        <f t="shared" si="4"/>
        <v>118</v>
      </c>
      <c r="Q236" s="12">
        <v>10</v>
      </c>
      <c r="R236" s="18">
        <f t="shared" si="5"/>
        <v>3903.4399999999996</v>
      </c>
      <c r="S236" s="22">
        <f t="shared" si="6"/>
        <v>3899</v>
      </c>
      <c r="T236" s="18">
        <f t="shared" si="7"/>
        <v>-4.4399999999995998</v>
      </c>
      <c r="U236" s="18">
        <f t="shared" si="8"/>
        <v>885.90000000000009</v>
      </c>
      <c r="V236" s="18">
        <f t="shared" si="9"/>
        <v>750.76271186440692</v>
      </c>
      <c r="W236" s="24">
        <f t="shared" si="10"/>
        <v>0.29499517165595557</v>
      </c>
      <c r="X236" s="22"/>
    </row>
    <row r="237" spans="1:24" x14ac:dyDescent="0.25">
      <c r="A237" s="9" t="s">
        <v>24</v>
      </c>
      <c r="B237" s="9" t="s">
        <v>81</v>
      </c>
      <c r="C237" s="10"/>
      <c r="D237" s="9" t="s">
        <v>461</v>
      </c>
      <c r="E237" s="9" t="s">
        <v>462</v>
      </c>
      <c r="F237" s="12">
        <v>1</v>
      </c>
      <c r="G237" s="14">
        <v>1608</v>
      </c>
      <c r="H237" s="18">
        <f t="shared" si="0"/>
        <v>1608</v>
      </c>
      <c r="I237" s="19">
        <v>0.18</v>
      </c>
      <c r="J237" s="18">
        <f t="shared" si="1"/>
        <v>1897.4399999999998</v>
      </c>
      <c r="K237" s="18">
        <v>2129</v>
      </c>
      <c r="L237" s="18">
        <f t="shared" si="2"/>
        <v>2129</v>
      </c>
      <c r="M237" s="18">
        <f t="shared" si="3"/>
        <v>2512.2199999999998</v>
      </c>
      <c r="N237" s="12">
        <v>100</v>
      </c>
      <c r="O237" s="19">
        <v>0.18</v>
      </c>
      <c r="P237" s="18">
        <f t="shared" si="4"/>
        <v>118</v>
      </c>
      <c r="Q237" s="12">
        <v>20</v>
      </c>
      <c r="R237" s="18">
        <f t="shared" si="5"/>
        <v>2630.22</v>
      </c>
      <c r="S237" s="22">
        <f t="shared" si="6"/>
        <v>2649</v>
      </c>
      <c r="T237" s="18">
        <f t="shared" si="7"/>
        <v>18.7800000000002</v>
      </c>
      <c r="U237" s="18">
        <f t="shared" si="8"/>
        <v>731.56000000000017</v>
      </c>
      <c r="V237" s="18">
        <f t="shared" si="9"/>
        <v>619.96610169491544</v>
      </c>
      <c r="W237" s="24">
        <f t="shared" si="10"/>
        <v>0.38555105826798225</v>
      </c>
      <c r="X237" s="22"/>
    </row>
    <row r="238" spans="1:24" x14ac:dyDescent="0.25">
      <c r="A238" s="9" t="s">
        <v>24</v>
      </c>
      <c r="B238" s="9" t="s">
        <v>77</v>
      </c>
      <c r="C238" s="10"/>
      <c r="D238" s="9" t="s">
        <v>463</v>
      </c>
      <c r="E238" s="9" t="s">
        <v>464</v>
      </c>
      <c r="F238" s="12">
        <v>1</v>
      </c>
      <c r="G238" s="14">
        <v>2168</v>
      </c>
      <c r="H238" s="18">
        <f t="shared" si="0"/>
        <v>2168</v>
      </c>
      <c r="I238" s="19">
        <v>0.18</v>
      </c>
      <c r="J238" s="18">
        <f t="shared" si="1"/>
        <v>2558.2399999999998</v>
      </c>
      <c r="K238" s="18">
        <v>2732</v>
      </c>
      <c r="L238" s="18">
        <f t="shared" si="2"/>
        <v>2732</v>
      </c>
      <c r="M238" s="18">
        <f t="shared" si="3"/>
        <v>3223.7599999999998</v>
      </c>
      <c r="N238" s="12">
        <v>100</v>
      </c>
      <c r="O238" s="19">
        <v>0.18</v>
      </c>
      <c r="P238" s="18">
        <f t="shared" si="4"/>
        <v>118</v>
      </c>
      <c r="Q238" s="12">
        <v>10</v>
      </c>
      <c r="R238" s="18">
        <f t="shared" si="5"/>
        <v>3341.7599999999998</v>
      </c>
      <c r="S238" s="22">
        <f t="shared" si="6"/>
        <v>3349</v>
      </c>
      <c r="T238" s="18">
        <f t="shared" si="7"/>
        <v>7.2400000000002365</v>
      </c>
      <c r="U238" s="18">
        <f t="shared" si="8"/>
        <v>780.76000000000022</v>
      </c>
      <c r="V238" s="18">
        <f t="shared" si="9"/>
        <v>661.66101694915278</v>
      </c>
      <c r="W238" s="24">
        <f t="shared" si="10"/>
        <v>0.30519419600975684</v>
      </c>
      <c r="X238" s="22"/>
    </row>
    <row r="239" spans="1:24" x14ac:dyDescent="0.25">
      <c r="A239" s="9" t="s">
        <v>24</v>
      </c>
      <c r="B239" s="9" t="s">
        <v>692</v>
      </c>
      <c r="C239" s="10"/>
      <c r="D239" s="9" t="s">
        <v>465</v>
      </c>
      <c r="E239" s="9" t="s">
        <v>466</v>
      </c>
      <c r="F239" s="12">
        <v>1</v>
      </c>
      <c r="G239" s="14">
        <v>3219</v>
      </c>
      <c r="H239" s="18">
        <f t="shared" si="0"/>
        <v>3219</v>
      </c>
      <c r="I239" s="19">
        <v>0.18</v>
      </c>
      <c r="J239" s="18">
        <f t="shared" si="1"/>
        <v>3798.4199999999996</v>
      </c>
      <c r="K239" s="18">
        <v>4056</v>
      </c>
      <c r="L239" s="18">
        <f t="shared" si="2"/>
        <v>4056</v>
      </c>
      <c r="M239" s="18">
        <f t="shared" si="3"/>
        <v>4786.08</v>
      </c>
      <c r="N239" s="12">
        <v>500</v>
      </c>
      <c r="O239" s="19">
        <v>0.18</v>
      </c>
      <c r="P239" s="18">
        <f t="shared" si="4"/>
        <v>590</v>
      </c>
      <c r="Q239" s="12">
        <v>100</v>
      </c>
      <c r="R239" s="18">
        <f t="shared" si="5"/>
        <v>5376.08</v>
      </c>
      <c r="S239" s="22">
        <f t="shared" si="6"/>
        <v>5399</v>
      </c>
      <c r="T239" s="18">
        <f t="shared" si="7"/>
        <v>22.920000000000073</v>
      </c>
      <c r="U239" s="18">
        <f t="shared" si="8"/>
        <v>1500.5800000000004</v>
      </c>
      <c r="V239" s="18">
        <f t="shared" si="9"/>
        <v>1271.6779661016953</v>
      </c>
      <c r="W239" s="24">
        <f t="shared" si="10"/>
        <v>0.39505373286787676</v>
      </c>
      <c r="X239" s="22"/>
    </row>
    <row r="240" spans="1:24" x14ac:dyDescent="0.25">
      <c r="A240" s="9" t="s">
        <v>24</v>
      </c>
      <c r="B240" s="9" t="s">
        <v>25</v>
      </c>
      <c r="C240" s="10"/>
      <c r="D240" s="9" t="s">
        <v>467</v>
      </c>
      <c r="E240" s="9" t="s">
        <v>468</v>
      </c>
      <c r="F240" s="12">
        <v>1</v>
      </c>
      <c r="G240" s="14">
        <v>2920</v>
      </c>
      <c r="H240" s="18">
        <f t="shared" si="0"/>
        <v>2920</v>
      </c>
      <c r="I240" s="19">
        <v>0.18</v>
      </c>
      <c r="J240" s="18">
        <f t="shared" si="1"/>
        <v>3445.6</v>
      </c>
      <c r="K240" s="18">
        <v>3437</v>
      </c>
      <c r="L240" s="18">
        <f t="shared" si="2"/>
        <v>3437</v>
      </c>
      <c r="M240" s="18">
        <f t="shared" si="3"/>
        <v>4055.66</v>
      </c>
      <c r="N240" s="12">
        <v>200</v>
      </c>
      <c r="O240" s="19">
        <v>0.18</v>
      </c>
      <c r="P240" s="18">
        <f t="shared" si="4"/>
        <v>236</v>
      </c>
      <c r="Q240" s="12">
        <v>0</v>
      </c>
      <c r="R240" s="18">
        <f t="shared" si="5"/>
        <v>4291.66</v>
      </c>
      <c r="S240" s="22">
        <f t="shared" si="6"/>
        <v>4299</v>
      </c>
      <c r="T240" s="18">
        <f t="shared" si="7"/>
        <v>7.3400000000001455</v>
      </c>
      <c r="U240" s="18">
        <f t="shared" si="8"/>
        <v>853.40000000000009</v>
      </c>
      <c r="V240" s="18">
        <f t="shared" si="9"/>
        <v>723.22033898305096</v>
      </c>
      <c r="W240" s="24">
        <f t="shared" si="10"/>
        <v>0.24767819828186677</v>
      </c>
      <c r="X240" s="22"/>
    </row>
    <row r="241" spans="1:24" x14ac:dyDescent="0.25">
      <c r="A241" s="9" t="s">
        <v>24</v>
      </c>
      <c r="B241" s="9" t="s">
        <v>25</v>
      </c>
      <c r="C241" s="10"/>
      <c r="D241" s="9" t="s">
        <v>469</v>
      </c>
      <c r="E241" s="9" t="s">
        <v>470</v>
      </c>
      <c r="F241" s="12">
        <v>1</v>
      </c>
      <c r="G241" s="14">
        <v>710</v>
      </c>
      <c r="H241" s="18">
        <f t="shared" si="0"/>
        <v>710</v>
      </c>
      <c r="I241" s="19">
        <v>0.18</v>
      </c>
      <c r="J241" s="18">
        <f t="shared" si="1"/>
        <v>837.8</v>
      </c>
      <c r="K241" s="18">
        <v>836</v>
      </c>
      <c r="L241" s="18">
        <f t="shared" si="2"/>
        <v>836</v>
      </c>
      <c r="M241" s="18">
        <f t="shared" si="3"/>
        <v>986.4799999999999</v>
      </c>
      <c r="N241" s="12">
        <v>100</v>
      </c>
      <c r="O241" s="19">
        <v>0.18</v>
      </c>
      <c r="P241" s="18">
        <f t="shared" si="4"/>
        <v>118</v>
      </c>
      <c r="Q241" s="12">
        <v>0</v>
      </c>
      <c r="R241" s="18">
        <f t="shared" si="5"/>
        <v>1104.48</v>
      </c>
      <c r="S241" s="22">
        <f t="shared" si="6"/>
        <v>1099</v>
      </c>
      <c r="T241" s="18">
        <f t="shared" si="7"/>
        <v>-5.4800000000000182</v>
      </c>
      <c r="U241" s="18">
        <f t="shared" si="8"/>
        <v>261.20000000000005</v>
      </c>
      <c r="V241" s="18">
        <f t="shared" si="9"/>
        <v>221.35593220338987</v>
      </c>
      <c r="W241" s="24">
        <f t="shared" si="10"/>
        <v>0.31176891859632377</v>
      </c>
      <c r="X241" s="22"/>
    </row>
    <row r="242" spans="1:24" x14ac:dyDescent="0.25">
      <c r="A242" s="9" t="s">
        <v>24</v>
      </c>
      <c r="B242" s="9" t="s">
        <v>44</v>
      </c>
      <c r="C242" s="10"/>
      <c r="D242" s="9" t="s">
        <v>471</v>
      </c>
      <c r="E242" s="9" t="s">
        <v>472</v>
      </c>
      <c r="F242" s="12">
        <v>1</v>
      </c>
      <c r="G242" s="14">
        <v>7556</v>
      </c>
      <c r="H242" s="18">
        <f t="shared" si="0"/>
        <v>7556</v>
      </c>
      <c r="I242" s="19">
        <v>0.18</v>
      </c>
      <c r="J242" s="18">
        <f t="shared" si="1"/>
        <v>8916.08</v>
      </c>
      <c r="K242" s="18">
        <v>10006</v>
      </c>
      <c r="L242" s="18">
        <f t="shared" si="2"/>
        <v>10006</v>
      </c>
      <c r="M242" s="18">
        <f t="shared" si="3"/>
        <v>11807.08</v>
      </c>
      <c r="N242" s="12">
        <v>600</v>
      </c>
      <c r="O242" s="19">
        <v>0.18</v>
      </c>
      <c r="P242" s="18">
        <f t="shared" si="4"/>
        <v>708</v>
      </c>
      <c r="Q242" s="12">
        <v>200</v>
      </c>
      <c r="R242" s="18">
        <f t="shared" si="5"/>
        <v>12515.08</v>
      </c>
      <c r="S242" s="22">
        <f t="shared" si="6"/>
        <v>12499</v>
      </c>
      <c r="T242" s="18">
        <f t="shared" si="7"/>
        <v>-16.079999999999927</v>
      </c>
      <c r="U242" s="18">
        <f t="shared" si="8"/>
        <v>3382.92</v>
      </c>
      <c r="V242" s="18">
        <f t="shared" si="9"/>
        <v>2866.8813559322034</v>
      </c>
      <c r="W242" s="24">
        <f t="shared" si="10"/>
        <v>0.37941786076392314</v>
      </c>
      <c r="X242" s="22"/>
    </row>
    <row r="243" spans="1:24" x14ac:dyDescent="0.25">
      <c r="A243" s="9" t="s">
        <v>24</v>
      </c>
      <c r="B243" s="9" t="s">
        <v>81</v>
      </c>
      <c r="C243" s="10"/>
      <c r="D243" s="9" t="s">
        <v>473</v>
      </c>
      <c r="E243" s="9" t="s">
        <v>474</v>
      </c>
      <c r="F243" s="12">
        <v>1</v>
      </c>
      <c r="G243" s="14">
        <v>3817</v>
      </c>
      <c r="H243" s="18">
        <f t="shared" si="0"/>
        <v>3817</v>
      </c>
      <c r="I243" s="19">
        <v>0.18</v>
      </c>
      <c r="J243" s="18">
        <f t="shared" si="1"/>
        <v>4504.0599999999995</v>
      </c>
      <c r="K243" s="18">
        <v>5054</v>
      </c>
      <c r="L243" s="18">
        <f t="shared" si="2"/>
        <v>5054</v>
      </c>
      <c r="M243" s="18">
        <f t="shared" si="3"/>
        <v>5963.7199999999993</v>
      </c>
      <c r="N243" s="12">
        <v>600</v>
      </c>
      <c r="O243" s="19">
        <v>0.18</v>
      </c>
      <c r="P243" s="18">
        <f t="shared" si="4"/>
        <v>708</v>
      </c>
      <c r="Q243" s="12">
        <v>75</v>
      </c>
      <c r="R243" s="18">
        <f t="shared" si="5"/>
        <v>6671.7199999999993</v>
      </c>
      <c r="S243" s="22">
        <f t="shared" si="6"/>
        <v>6649</v>
      </c>
      <c r="T243" s="18">
        <f t="shared" si="7"/>
        <v>-22.719999999999345</v>
      </c>
      <c r="U243" s="18">
        <f t="shared" si="8"/>
        <v>2069.9400000000005</v>
      </c>
      <c r="V243" s="18">
        <f t="shared" si="9"/>
        <v>1754.1864406779666</v>
      </c>
      <c r="W243" s="24">
        <f t="shared" si="10"/>
        <v>0.45957203056797657</v>
      </c>
      <c r="X243" s="22"/>
    </row>
    <row r="244" spans="1:24" x14ac:dyDescent="0.25">
      <c r="A244" s="9" t="s">
        <v>24</v>
      </c>
      <c r="B244" s="9" t="s">
        <v>25</v>
      </c>
      <c r="C244" s="10"/>
      <c r="D244" s="9" t="s">
        <v>475</v>
      </c>
      <c r="E244" s="9" t="s">
        <v>476</v>
      </c>
      <c r="F244" s="12">
        <v>1</v>
      </c>
      <c r="G244" s="14">
        <v>773</v>
      </c>
      <c r="H244" s="18">
        <f t="shared" si="0"/>
        <v>773</v>
      </c>
      <c r="I244" s="19">
        <v>0.18</v>
      </c>
      <c r="J244" s="18">
        <f t="shared" si="1"/>
        <v>912.14</v>
      </c>
      <c r="K244" s="18">
        <v>910</v>
      </c>
      <c r="L244" s="18">
        <f t="shared" si="2"/>
        <v>910</v>
      </c>
      <c r="M244" s="18">
        <f t="shared" si="3"/>
        <v>1073.8</v>
      </c>
      <c r="N244" s="12">
        <v>100</v>
      </c>
      <c r="O244" s="19">
        <v>0.18</v>
      </c>
      <c r="P244" s="18">
        <f t="shared" si="4"/>
        <v>118</v>
      </c>
      <c r="Q244" s="12">
        <v>0</v>
      </c>
      <c r="R244" s="18">
        <f t="shared" si="5"/>
        <v>1191.8</v>
      </c>
      <c r="S244" s="22">
        <f t="shared" si="6"/>
        <v>1199</v>
      </c>
      <c r="T244" s="18">
        <f t="shared" si="7"/>
        <v>7.2000000000000455</v>
      </c>
      <c r="U244" s="18">
        <f t="shared" si="8"/>
        <v>286.86</v>
      </c>
      <c r="V244" s="18">
        <f t="shared" si="9"/>
        <v>243.10169491525426</v>
      </c>
      <c r="W244" s="24">
        <f t="shared" si="10"/>
        <v>0.31449119652684898</v>
      </c>
      <c r="X244" s="22"/>
    </row>
    <row r="245" spans="1:24" x14ac:dyDescent="0.25">
      <c r="A245" s="9" t="s">
        <v>24</v>
      </c>
      <c r="B245" s="9" t="s">
        <v>692</v>
      </c>
      <c r="C245" s="10"/>
      <c r="D245" s="9" t="s">
        <v>477</v>
      </c>
      <c r="E245" s="9" t="s">
        <v>478</v>
      </c>
      <c r="F245" s="12">
        <v>1</v>
      </c>
      <c r="G245" s="14">
        <v>3645</v>
      </c>
      <c r="H245" s="18">
        <f t="shared" si="0"/>
        <v>3645</v>
      </c>
      <c r="I245" s="19">
        <v>0.18</v>
      </c>
      <c r="J245" s="18">
        <f t="shared" si="1"/>
        <v>4301.0999999999995</v>
      </c>
      <c r="K245" s="18">
        <v>4753</v>
      </c>
      <c r="L245" s="18">
        <f t="shared" si="2"/>
        <v>4753</v>
      </c>
      <c r="M245" s="18">
        <f t="shared" si="3"/>
        <v>5608.54</v>
      </c>
      <c r="N245" s="12">
        <v>600</v>
      </c>
      <c r="O245" s="19">
        <v>0.18</v>
      </c>
      <c r="P245" s="18">
        <f t="shared" si="4"/>
        <v>708</v>
      </c>
      <c r="Q245" s="12">
        <v>75</v>
      </c>
      <c r="R245" s="18">
        <f t="shared" si="5"/>
        <v>6316.54</v>
      </c>
      <c r="S245" s="22">
        <f t="shared" si="6"/>
        <v>6299</v>
      </c>
      <c r="T245" s="18">
        <f t="shared" si="7"/>
        <v>-17.539999999999964</v>
      </c>
      <c r="U245" s="18">
        <f t="shared" si="8"/>
        <v>1922.9000000000005</v>
      </c>
      <c r="V245" s="18">
        <f t="shared" si="9"/>
        <v>1629.5762711864413</v>
      </c>
      <c r="W245" s="24">
        <f t="shared" si="10"/>
        <v>0.44707167933784397</v>
      </c>
      <c r="X245" s="22"/>
    </row>
    <row r="246" spans="1:24" x14ac:dyDescent="0.25">
      <c r="A246" s="9" t="s">
        <v>24</v>
      </c>
      <c r="B246" s="9" t="s">
        <v>692</v>
      </c>
      <c r="C246" s="10"/>
      <c r="D246" s="9" t="s">
        <v>479</v>
      </c>
      <c r="E246" s="9" t="s">
        <v>480</v>
      </c>
      <c r="F246" s="12">
        <v>1</v>
      </c>
      <c r="G246" s="14">
        <v>3645</v>
      </c>
      <c r="H246" s="18">
        <f t="shared" si="0"/>
        <v>3645</v>
      </c>
      <c r="I246" s="19">
        <v>0.18</v>
      </c>
      <c r="J246" s="18">
        <f t="shared" si="1"/>
        <v>4301.0999999999995</v>
      </c>
      <c r="K246" s="18">
        <v>4753</v>
      </c>
      <c r="L246" s="18">
        <f t="shared" si="2"/>
        <v>4753</v>
      </c>
      <c r="M246" s="18">
        <f t="shared" si="3"/>
        <v>5608.54</v>
      </c>
      <c r="N246" s="12">
        <v>600</v>
      </c>
      <c r="O246" s="19">
        <v>0.18</v>
      </c>
      <c r="P246" s="18">
        <f t="shared" si="4"/>
        <v>708</v>
      </c>
      <c r="Q246" s="12">
        <v>75</v>
      </c>
      <c r="R246" s="18">
        <f t="shared" si="5"/>
        <v>6316.54</v>
      </c>
      <c r="S246" s="22">
        <f t="shared" si="6"/>
        <v>6299</v>
      </c>
      <c r="T246" s="18">
        <f t="shared" si="7"/>
        <v>-17.539999999999964</v>
      </c>
      <c r="U246" s="18">
        <f t="shared" si="8"/>
        <v>1922.9000000000005</v>
      </c>
      <c r="V246" s="18">
        <f t="shared" si="9"/>
        <v>1629.5762711864413</v>
      </c>
      <c r="W246" s="24">
        <f t="shared" si="10"/>
        <v>0.44707167933784397</v>
      </c>
      <c r="X246" s="22"/>
    </row>
    <row r="247" spans="1:24" x14ac:dyDescent="0.25">
      <c r="A247" s="9" t="s">
        <v>24</v>
      </c>
      <c r="B247" s="9" t="s">
        <v>150</v>
      </c>
      <c r="C247" s="10"/>
      <c r="D247" s="9" t="s">
        <v>481</v>
      </c>
      <c r="E247" s="9" t="s">
        <v>482</v>
      </c>
      <c r="F247" s="12">
        <v>1</v>
      </c>
      <c r="G247" s="14">
        <v>3449</v>
      </c>
      <c r="H247" s="18">
        <f t="shared" si="0"/>
        <v>3449</v>
      </c>
      <c r="I247" s="19">
        <v>0.18</v>
      </c>
      <c r="J247" s="18">
        <f t="shared" si="1"/>
        <v>4069.8199999999997</v>
      </c>
      <c r="K247" s="18">
        <v>4347</v>
      </c>
      <c r="L247" s="18">
        <f t="shared" si="2"/>
        <v>4347</v>
      </c>
      <c r="M247" s="18">
        <f t="shared" si="3"/>
        <v>5129.46</v>
      </c>
      <c r="N247" s="12">
        <v>600</v>
      </c>
      <c r="O247" s="19">
        <v>0.18</v>
      </c>
      <c r="P247" s="18">
        <f t="shared" si="4"/>
        <v>708</v>
      </c>
      <c r="Q247" s="12">
        <v>75</v>
      </c>
      <c r="R247" s="18">
        <f t="shared" si="5"/>
        <v>5837.46</v>
      </c>
      <c r="S247" s="22">
        <f t="shared" si="6"/>
        <v>5849</v>
      </c>
      <c r="T247" s="18">
        <f t="shared" si="7"/>
        <v>11.539999999999964</v>
      </c>
      <c r="U247" s="18">
        <f t="shared" si="8"/>
        <v>1704.1800000000003</v>
      </c>
      <c r="V247" s="18">
        <f t="shared" si="9"/>
        <v>1444.2203389830511</v>
      </c>
      <c r="W247" s="24">
        <f t="shared" si="10"/>
        <v>0.41873596375269673</v>
      </c>
      <c r="X247" s="22"/>
    </row>
    <row r="248" spans="1:24" x14ac:dyDescent="0.25">
      <c r="A248" s="9" t="s">
        <v>24</v>
      </c>
      <c r="B248" s="9" t="s">
        <v>134</v>
      </c>
      <c r="C248" s="10"/>
      <c r="D248" s="9" t="s">
        <v>481</v>
      </c>
      <c r="E248" s="9" t="s">
        <v>483</v>
      </c>
      <c r="F248" s="12">
        <v>1</v>
      </c>
      <c r="G248" s="14">
        <v>2328</v>
      </c>
      <c r="H248" s="18">
        <f t="shared" si="0"/>
        <v>2328</v>
      </c>
      <c r="I248" s="19">
        <v>0.18</v>
      </c>
      <c r="J248" s="18">
        <f t="shared" si="1"/>
        <v>2747.04</v>
      </c>
      <c r="K248" s="18">
        <v>2933</v>
      </c>
      <c r="L248" s="18">
        <f t="shared" si="2"/>
        <v>2933</v>
      </c>
      <c r="M248" s="18">
        <f t="shared" si="3"/>
        <v>3460.9399999999996</v>
      </c>
      <c r="N248" s="12">
        <v>600</v>
      </c>
      <c r="O248" s="19">
        <v>0.18</v>
      </c>
      <c r="P248" s="18">
        <f t="shared" si="4"/>
        <v>708</v>
      </c>
      <c r="Q248" s="12">
        <v>150</v>
      </c>
      <c r="R248" s="18">
        <f t="shared" si="5"/>
        <v>4168.9399999999996</v>
      </c>
      <c r="S248" s="22">
        <f t="shared" si="6"/>
        <v>4149</v>
      </c>
      <c r="T248" s="18">
        <f t="shared" si="7"/>
        <v>-19.9399999999996</v>
      </c>
      <c r="U248" s="18">
        <f t="shared" si="8"/>
        <v>1251.96</v>
      </c>
      <c r="V248" s="18">
        <f t="shared" si="9"/>
        <v>1060.9830508474577</v>
      </c>
      <c r="W248" s="24">
        <f t="shared" si="10"/>
        <v>0.45574873318189763</v>
      </c>
      <c r="X248" s="22"/>
    </row>
    <row r="249" spans="1:24" x14ac:dyDescent="0.25">
      <c r="A249" s="9" t="s">
        <v>24</v>
      </c>
      <c r="B249" s="9" t="s">
        <v>52</v>
      </c>
      <c r="C249" s="10"/>
      <c r="D249" s="9" t="s">
        <v>481</v>
      </c>
      <c r="E249" s="9" t="s">
        <v>484</v>
      </c>
      <c r="F249" s="12">
        <v>1</v>
      </c>
      <c r="G249" s="14">
        <v>3445</v>
      </c>
      <c r="H249" s="18">
        <f t="shared" si="0"/>
        <v>3445</v>
      </c>
      <c r="I249" s="19">
        <v>0.18</v>
      </c>
      <c r="J249" s="18">
        <f t="shared" si="1"/>
        <v>4065.1</v>
      </c>
      <c r="K249" s="18">
        <v>4341</v>
      </c>
      <c r="L249" s="18">
        <f t="shared" si="2"/>
        <v>4341</v>
      </c>
      <c r="M249" s="18">
        <f t="shared" si="3"/>
        <v>5122.38</v>
      </c>
      <c r="N249" s="12">
        <v>600</v>
      </c>
      <c r="O249" s="19">
        <v>0.18</v>
      </c>
      <c r="P249" s="18">
        <f t="shared" si="4"/>
        <v>708</v>
      </c>
      <c r="Q249" s="12">
        <v>75</v>
      </c>
      <c r="R249" s="18">
        <f t="shared" si="5"/>
        <v>5830.38</v>
      </c>
      <c r="S249" s="22">
        <f t="shared" si="6"/>
        <v>5849</v>
      </c>
      <c r="T249" s="18">
        <f t="shared" si="7"/>
        <v>18.619999999999891</v>
      </c>
      <c r="U249" s="18">
        <f t="shared" si="8"/>
        <v>1708.9</v>
      </c>
      <c r="V249" s="18">
        <f t="shared" si="9"/>
        <v>1448.2203389830511</v>
      </c>
      <c r="W249" s="24">
        <f t="shared" si="10"/>
        <v>0.42038326240436896</v>
      </c>
      <c r="X249" s="22"/>
    </row>
    <row r="250" spans="1:24" x14ac:dyDescent="0.25">
      <c r="A250" s="9" t="s">
        <v>24</v>
      </c>
      <c r="B250" s="9" t="s">
        <v>58</v>
      </c>
      <c r="C250" s="10"/>
      <c r="D250" s="9" t="s">
        <v>481</v>
      </c>
      <c r="E250" s="9" t="s">
        <v>485</v>
      </c>
      <c r="F250" s="12">
        <v>1</v>
      </c>
      <c r="G250" s="14">
        <v>4403</v>
      </c>
      <c r="H250" s="18">
        <f t="shared" si="0"/>
        <v>4403</v>
      </c>
      <c r="I250" s="19">
        <v>0.18</v>
      </c>
      <c r="J250" s="18">
        <f t="shared" si="1"/>
        <v>5195.54</v>
      </c>
      <c r="K250" s="18">
        <v>5548</v>
      </c>
      <c r="L250" s="18">
        <f t="shared" si="2"/>
        <v>5548</v>
      </c>
      <c r="M250" s="18">
        <f t="shared" si="3"/>
        <v>6546.6399999999994</v>
      </c>
      <c r="N250" s="12">
        <v>450</v>
      </c>
      <c r="O250" s="19">
        <v>0.18</v>
      </c>
      <c r="P250" s="18">
        <f t="shared" si="4"/>
        <v>531</v>
      </c>
      <c r="Q250" s="12">
        <v>75</v>
      </c>
      <c r="R250" s="18">
        <f t="shared" si="5"/>
        <v>7077.6399999999994</v>
      </c>
      <c r="S250" s="22">
        <f t="shared" si="6"/>
        <v>7099</v>
      </c>
      <c r="T250" s="18">
        <f t="shared" si="7"/>
        <v>21.360000000000582</v>
      </c>
      <c r="U250" s="18">
        <f t="shared" si="8"/>
        <v>1828.46</v>
      </c>
      <c r="V250" s="18">
        <f t="shared" si="9"/>
        <v>1549.542372881356</v>
      </c>
      <c r="W250" s="24">
        <f t="shared" si="10"/>
        <v>0.35192876967552938</v>
      </c>
      <c r="X250" s="22"/>
    </row>
    <row r="251" spans="1:24" x14ac:dyDescent="0.25">
      <c r="A251" s="9" t="s">
        <v>24</v>
      </c>
      <c r="B251" s="9" t="s">
        <v>63</v>
      </c>
      <c r="C251" s="10"/>
      <c r="D251" s="9" t="s">
        <v>481</v>
      </c>
      <c r="E251" s="9" t="s">
        <v>486</v>
      </c>
      <c r="F251" s="12">
        <v>1</v>
      </c>
      <c r="G251" s="14">
        <v>3592</v>
      </c>
      <c r="H251" s="18">
        <f t="shared" si="0"/>
        <v>3592</v>
      </c>
      <c r="I251" s="19">
        <v>0.18</v>
      </c>
      <c r="J251" s="18">
        <f t="shared" si="1"/>
        <v>4238.5599999999995</v>
      </c>
      <c r="K251" s="18">
        <v>4757</v>
      </c>
      <c r="L251" s="18">
        <f t="shared" si="2"/>
        <v>4757</v>
      </c>
      <c r="M251" s="18">
        <f t="shared" si="3"/>
        <v>5613.2599999999993</v>
      </c>
      <c r="N251" s="12">
        <v>600</v>
      </c>
      <c r="O251" s="19">
        <v>0.18</v>
      </c>
      <c r="P251" s="18">
        <f t="shared" si="4"/>
        <v>708</v>
      </c>
      <c r="Q251" s="12">
        <v>75</v>
      </c>
      <c r="R251" s="18">
        <f t="shared" si="5"/>
        <v>6321.2599999999993</v>
      </c>
      <c r="S251" s="22">
        <f t="shared" si="6"/>
        <v>6299</v>
      </c>
      <c r="T251" s="18">
        <f t="shared" si="7"/>
        <v>-22.259999999999309</v>
      </c>
      <c r="U251" s="18">
        <f t="shared" si="8"/>
        <v>1985.4400000000005</v>
      </c>
      <c r="V251" s="18">
        <f t="shared" si="9"/>
        <v>1682.5762711864411</v>
      </c>
      <c r="W251" s="24">
        <f t="shared" si="10"/>
        <v>0.46842323808085778</v>
      </c>
      <c r="X251" s="22"/>
    </row>
    <row r="252" spans="1:24" x14ac:dyDescent="0.25">
      <c r="A252" s="9" t="s">
        <v>24</v>
      </c>
      <c r="B252" s="9" t="s">
        <v>52</v>
      </c>
      <c r="C252" s="10"/>
      <c r="D252" s="9" t="s">
        <v>487</v>
      </c>
      <c r="E252" s="9" t="s">
        <v>484</v>
      </c>
      <c r="F252" s="12">
        <v>1</v>
      </c>
      <c r="G252" s="14">
        <v>3445</v>
      </c>
      <c r="H252" s="18">
        <f t="shared" si="0"/>
        <v>3445</v>
      </c>
      <c r="I252" s="19">
        <v>0.18</v>
      </c>
      <c r="J252" s="18">
        <f t="shared" si="1"/>
        <v>4065.1</v>
      </c>
      <c r="K252" s="18">
        <v>4341</v>
      </c>
      <c r="L252" s="18">
        <f t="shared" si="2"/>
        <v>4341</v>
      </c>
      <c r="M252" s="18">
        <f t="shared" si="3"/>
        <v>5122.38</v>
      </c>
      <c r="N252" s="12">
        <v>750</v>
      </c>
      <c r="O252" s="19">
        <v>0.18</v>
      </c>
      <c r="P252" s="18">
        <f t="shared" si="4"/>
        <v>885</v>
      </c>
      <c r="Q252" s="12">
        <v>75</v>
      </c>
      <c r="R252" s="18">
        <f t="shared" si="5"/>
        <v>6007.38</v>
      </c>
      <c r="S252" s="22">
        <f t="shared" si="6"/>
        <v>5999</v>
      </c>
      <c r="T252" s="18">
        <f t="shared" si="7"/>
        <v>-8.3800000000001091</v>
      </c>
      <c r="U252" s="18">
        <f t="shared" si="8"/>
        <v>1858.9</v>
      </c>
      <c r="V252" s="18">
        <f t="shared" si="9"/>
        <v>1575.3389830508477</v>
      </c>
      <c r="W252" s="24">
        <f t="shared" si="10"/>
        <v>0.45728272367223444</v>
      </c>
      <c r="X252" s="22"/>
    </row>
    <row r="253" spans="1:24" x14ac:dyDescent="0.25">
      <c r="A253" s="9" t="s">
        <v>24</v>
      </c>
      <c r="B253" s="9" t="s">
        <v>77</v>
      </c>
      <c r="C253" s="10"/>
      <c r="D253" s="9" t="s">
        <v>488</v>
      </c>
      <c r="E253" s="9" t="s">
        <v>489</v>
      </c>
      <c r="F253" s="12">
        <v>1</v>
      </c>
      <c r="G253" s="14">
        <v>624</v>
      </c>
      <c r="H253" s="18">
        <f t="shared" si="0"/>
        <v>624</v>
      </c>
      <c r="I253" s="19">
        <v>0.18</v>
      </c>
      <c r="J253" s="18">
        <f t="shared" si="1"/>
        <v>736.31999999999994</v>
      </c>
      <c r="K253" s="18">
        <v>786</v>
      </c>
      <c r="L253" s="18">
        <f t="shared" si="2"/>
        <v>786</v>
      </c>
      <c r="M253" s="18">
        <f t="shared" si="3"/>
        <v>927.4799999999999</v>
      </c>
      <c r="N253" s="12">
        <v>50</v>
      </c>
      <c r="O253" s="19">
        <v>0.18</v>
      </c>
      <c r="P253" s="18">
        <f t="shared" si="4"/>
        <v>59</v>
      </c>
      <c r="Q253" s="12">
        <v>10</v>
      </c>
      <c r="R253" s="18">
        <f t="shared" si="5"/>
        <v>986.4799999999999</v>
      </c>
      <c r="S253" s="22">
        <f t="shared" si="6"/>
        <v>999</v>
      </c>
      <c r="T253" s="18">
        <f t="shared" si="7"/>
        <v>12.520000000000095</v>
      </c>
      <c r="U253" s="18">
        <f t="shared" si="8"/>
        <v>252.68000000000006</v>
      </c>
      <c r="V253" s="18">
        <f t="shared" si="9"/>
        <v>214.13559322033905</v>
      </c>
      <c r="W253" s="24">
        <f t="shared" si="10"/>
        <v>0.34316601477618436</v>
      </c>
      <c r="X253" s="22"/>
    </row>
    <row r="254" spans="1:24" x14ac:dyDescent="0.25">
      <c r="A254" s="9" t="s">
        <v>24</v>
      </c>
      <c r="B254" s="9" t="s">
        <v>687</v>
      </c>
      <c r="C254" s="10"/>
      <c r="D254" s="9" t="s">
        <v>490</v>
      </c>
      <c r="E254" s="9" t="s">
        <v>491</v>
      </c>
      <c r="F254" s="12">
        <v>1</v>
      </c>
      <c r="G254" s="14">
        <v>2170</v>
      </c>
      <c r="H254" s="18">
        <f t="shared" si="0"/>
        <v>2170</v>
      </c>
      <c r="I254" s="19">
        <v>0.18</v>
      </c>
      <c r="J254" s="18">
        <f t="shared" si="1"/>
        <v>2560.6</v>
      </c>
      <c r="K254" s="18">
        <v>2830</v>
      </c>
      <c r="L254" s="18">
        <f t="shared" si="2"/>
        <v>2830</v>
      </c>
      <c r="M254" s="18">
        <f t="shared" si="3"/>
        <v>3339.3999999999996</v>
      </c>
      <c r="N254" s="12">
        <v>1000</v>
      </c>
      <c r="O254" s="19">
        <v>0.18</v>
      </c>
      <c r="P254" s="18">
        <f t="shared" si="4"/>
        <v>1180</v>
      </c>
      <c r="Q254" s="12">
        <v>150</v>
      </c>
      <c r="R254" s="18">
        <f t="shared" si="5"/>
        <v>4519.3999999999996</v>
      </c>
      <c r="S254" s="22">
        <f t="shared" si="6"/>
        <v>4499</v>
      </c>
      <c r="T254" s="18">
        <f t="shared" si="7"/>
        <v>-20.399999999999636</v>
      </c>
      <c r="U254" s="18">
        <f t="shared" si="8"/>
        <v>1788.4</v>
      </c>
      <c r="V254" s="18">
        <f t="shared" si="9"/>
        <v>1515.5932203389832</v>
      </c>
      <c r="W254" s="24">
        <f t="shared" si="10"/>
        <v>0.69843005545575265</v>
      </c>
      <c r="X254" s="22"/>
    </row>
    <row r="255" spans="1:24" x14ac:dyDescent="0.25">
      <c r="A255" s="9" t="s">
        <v>24</v>
      </c>
      <c r="B255" s="9" t="s">
        <v>81</v>
      </c>
      <c r="C255" s="10"/>
      <c r="D255" s="9" t="s">
        <v>685</v>
      </c>
      <c r="E255" s="9" t="s">
        <v>492</v>
      </c>
      <c r="F255" s="12">
        <v>1</v>
      </c>
      <c r="G255" s="14">
        <v>2170.35</v>
      </c>
      <c r="H255" s="18">
        <f t="shared" si="0"/>
        <v>2170.35</v>
      </c>
      <c r="I255" s="19">
        <v>0.18</v>
      </c>
      <c r="J255" s="18">
        <f t="shared" si="1"/>
        <v>2561.0129999999999</v>
      </c>
      <c r="K255" s="18">
        <v>2830</v>
      </c>
      <c r="L255" s="18">
        <f t="shared" si="2"/>
        <v>2830</v>
      </c>
      <c r="M255" s="18">
        <f t="shared" si="3"/>
        <v>3339.3999999999996</v>
      </c>
      <c r="N255" s="12">
        <v>1500</v>
      </c>
      <c r="O255" s="19">
        <v>0.18</v>
      </c>
      <c r="P255" s="18">
        <f t="shared" si="4"/>
        <v>1770</v>
      </c>
      <c r="Q255" s="12">
        <v>200</v>
      </c>
      <c r="R255" s="18">
        <f t="shared" si="5"/>
        <v>5109.3999999999996</v>
      </c>
      <c r="S255" s="22">
        <f t="shared" si="6"/>
        <v>5099</v>
      </c>
      <c r="T255" s="18">
        <f t="shared" si="7"/>
        <v>-10.399999999999636</v>
      </c>
      <c r="U255" s="18">
        <f t="shared" si="8"/>
        <v>2337.9870000000001</v>
      </c>
      <c r="V255" s="18">
        <f t="shared" si="9"/>
        <v>1981.3449152542375</v>
      </c>
      <c r="W255" s="24">
        <f t="shared" si="10"/>
        <v>0.91291492858489998</v>
      </c>
      <c r="X255" s="22"/>
    </row>
    <row r="256" spans="1:24" x14ac:dyDescent="0.25">
      <c r="A256" s="9" t="s">
        <v>24</v>
      </c>
      <c r="B256" s="9" t="s">
        <v>40</v>
      </c>
      <c r="C256" s="10"/>
      <c r="D256" s="9" t="s">
        <v>493</v>
      </c>
      <c r="E256" s="9" t="s">
        <v>494</v>
      </c>
      <c r="F256" s="12">
        <v>1</v>
      </c>
      <c r="G256" s="14">
        <v>5700</v>
      </c>
      <c r="H256" s="18">
        <f t="shared" si="0"/>
        <v>5700</v>
      </c>
      <c r="I256" s="19">
        <v>0.18</v>
      </c>
      <c r="J256" s="18">
        <f t="shared" si="1"/>
        <v>6726</v>
      </c>
      <c r="K256" s="18">
        <v>6708</v>
      </c>
      <c r="L256" s="18">
        <f t="shared" si="2"/>
        <v>6708</v>
      </c>
      <c r="M256" s="18">
        <f t="shared" si="3"/>
        <v>7915.44</v>
      </c>
      <c r="N256" s="12">
        <v>0</v>
      </c>
      <c r="O256" s="19">
        <v>0.18</v>
      </c>
      <c r="P256" s="18">
        <f t="shared" si="4"/>
        <v>0</v>
      </c>
      <c r="Q256" s="12">
        <v>0</v>
      </c>
      <c r="R256" s="18">
        <f t="shared" si="5"/>
        <v>7915.44</v>
      </c>
      <c r="S256" s="22">
        <f t="shared" si="6"/>
        <v>7899</v>
      </c>
      <c r="T256" s="18">
        <f t="shared" si="7"/>
        <v>-16.4399999999996</v>
      </c>
      <c r="U256" s="18">
        <f t="shared" si="8"/>
        <v>1173</v>
      </c>
      <c r="V256" s="18">
        <f t="shared" si="9"/>
        <v>994.06779661016958</v>
      </c>
      <c r="W256" s="24">
        <f t="shared" si="10"/>
        <v>0.17439785905441571</v>
      </c>
      <c r="X256" s="22"/>
    </row>
    <row r="257" spans="1:24" x14ac:dyDescent="0.25">
      <c r="A257" s="9" t="s">
        <v>24</v>
      </c>
      <c r="B257" s="9" t="s">
        <v>134</v>
      </c>
      <c r="C257" s="10"/>
      <c r="D257" s="9" t="s">
        <v>495</v>
      </c>
      <c r="E257" s="9" t="s">
        <v>496</v>
      </c>
      <c r="F257" s="12">
        <v>1</v>
      </c>
      <c r="G257" s="14">
        <v>1833</v>
      </c>
      <c r="H257" s="18">
        <f t="shared" si="0"/>
        <v>1833</v>
      </c>
      <c r="I257" s="19">
        <v>0.18</v>
      </c>
      <c r="J257" s="18">
        <f t="shared" si="1"/>
        <v>2162.94</v>
      </c>
      <c r="K257" s="18">
        <v>2505</v>
      </c>
      <c r="L257" s="18">
        <f t="shared" si="2"/>
        <v>2505</v>
      </c>
      <c r="M257" s="18">
        <f t="shared" si="3"/>
        <v>2955.8999999999996</v>
      </c>
      <c r="N257" s="12">
        <v>1500</v>
      </c>
      <c r="O257" s="19">
        <v>0.18</v>
      </c>
      <c r="P257" s="18">
        <f t="shared" si="4"/>
        <v>1770</v>
      </c>
      <c r="Q257" s="12">
        <v>200</v>
      </c>
      <c r="R257" s="18">
        <f t="shared" si="5"/>
        <v>4725.8999999999996</v>
      </c>
      <c r="S257" s="22">
        <f t="shared" si="6"/>
        <v>4749</v>
      </c>
      <c r="T257" s="18">
        <f t="shared" si="7"/>
        <v>23.100000000000364</v>
      </c>
      <c r="U257" s="18">
        <f t="shared" si="8"/>
        <v>2386.06</v>
      </c>
      <c r="V257" s="18">
        <f t="shared" si="9"/>
        <v>2022.0847457627119</v>
      </c>
      <c r="W257" s="24">
        <f t="shared" si="10"/>
        <v>1.1031558896686917</v>
      </c>
      <c r="X257" s="22"/>
    </row>
    <row r="258" spans="1:24" x14ac:dyDescent="0.25">
      <c r="A258" s="9" t="s">
        <v>24</v>
      </c>
      <c r="B258" s="9" t="s">
        <v>44</v>
      </c>
      <c r="C258" s="10"/>
      <c r="D258" s="9" t="s">
        <v>495</v>
      </c>
      <c r="E258" s="9" t="s">
        <v>497</v>
      </c>
      <c r="F258" s="12">
        <v>1</v>
      </c>
      <c r="G258" s="14">
        <v>2343</v>
      </c>
      <c r="H258" s="18">
        <f t="shared" si="0"/>
        <v>2343</v>
      </c>
      <c r="I258" s="19">
        <v>0.18</v>
      </c>
      <c r="J258" s="18">
        <f t="shared" si="1"/>
        <v>2764.74</v>
      </c>
      <c r="K258" s="18">
        <v>3054</v>
      </c>
      <c r="L258" s="18">
        <f t="shared" si="2"/>
        <v>3054</v>
      </c>
      <c r="M258" s="18">
        <f t="shared" si="3"/>
        <v>3603.72</v>
      </c>
      <c r="N258" s="12">
        <v>1500</v>
      </c>
      <c r="O258" s="19">
        <v>0.18</v>
      </c>
      <c r="P258" s="18">
        <f t="shared" si="4"/>
        <v>1770</v>
      </c>
      <c r="Q258" s="12">
        <v>200</v>
      </c>
      <c r="R258" s="18">
        <f t="shared" si="5"/>
        <v>5373.7199999999993</v>
      </c>
      <c r="S258" s="22">
        <f t="shared" si="6"/>
        <v>5349</v>
      </c>
      <c r="T258" s="18">
        <f t="shared" si="7"/>
        <v>-24.719999999999345</v>
      </c>
      <c r="U258" s="18">
        <f t="shared" si="8"/>
        <v>2384.2600000000002</v>
      </c>
      <c r="V258" s="18">
        <f t="shared" si="9"/>
        <v>2020.5593220338985</v>
      </c>
      <c r="W258" s="24">
        <f t="shared" si="10"/>
        <v>0.8623812727417407</v>
      </c>
      <c r="X258" s="22"/>
    </row>
    <row r="259" spans="1:24" x14ac:dyDescent="0.25">
      <c r="A259" s="9" t="s">
        <v>24</v>
      </c>
      <c r="B259" s="9" t="s">
        <v>52</v>
      </c>
      <c r="C259" s="10"/>
      <c r="D259" s="9" t="s">
        <v>495</v>
      </c>
      <c r="E259" s="9" t="s">
        <v>498</v>
      </c>
      <c r="F259" s="12">
        <v>1</v>
      </c>
      <c r="G259" s="14">
        <v>2343</v>
      </c>
      <c r="H259" s="18">
        <f t="shared" si="0"/>
        <v>2343</v>
      </c>
      <c r="I259" s="19">
        <v>0.18</v>
      </c>
      <c r="J259" s="18">
        <f t="shared" si="1"/>
        <v>2764.74</v>
      </c>
      <c r="K259" s="18">
        <v>3054</v>
      </c>
      <c r="L259" s="18">
        <f t="shared" si="2"/>
        <v>3054</v>
      </c>
      <c r="M259" s="18">
        <f t="shared" si="3"/>
        <v>3603.72</v>
      </c>
      <c r="N259" s="12">
        <v>1000</v>
      </c>
      <c r="O259" s="19">
        <v>0.18</v>
      </c>
      <c r="P259" s="18">
        <f t="shared" si="4"/>
        <v>1180</v>
      </c>
      <c r="Q259" s="12">
        <v>200</v>
      </c>
      <c r="R259" s="18">
        <f t="shared" si="5"/>
        <v>4783.7199999999993</v>
      </c>
      <c r="S259" s="22">
        <f t="shared" si="6"/>
        <v>4799</v>
      </c>
      <c r="T259" s="18">
        <f t="shared" si="7"/>
        <v>15.280000000000655</v>
      </c>
      <c r="U259" s="18">
        <f t="shared" si="8"/>
        <v>1834.2600000000002</v>
      </c>
      <c r="V259" s="18">
        <f t="shared" si="9"/>
        <v>1554.4576271186443</v>
      </c>
      <c r="W259" s="24">
        <f t="shared" si="10"/>
        <v>0.66344755745567408</v>
      </c>
      <c r="X259" s="22"/>
    </row>
    <row r="260" spans="1:24" x14ac:dyDescent="0.25">
      <c r="A260" s="9" t="s">
        <v>24</v>
      </c>
      <c r="B260" s="9" t="s">
        <v>58</v>
      </c>
      <c r="C260" s="10"/>
      <c r="D260" s="9" t="s">
        <v>495</v>
      </c>
      <c r="E260" s="9" t="s">
        <v>499</v>
      </c>
      <c r="F260" s="12">
        <v>1</v>
      </c>
      <c r="G260" s="14">
        <v>4701</v>
      </c>
      <c r="H260" s="18">
        <f t="shared" si="0"/>
        <v>4701</v>
      </c>
      <c r="I260" s="19">
        <v>0.18</v>
      </c>
      <c r="J260" s="18">
        <f t="shared" si="1"/>
        <v>5547.1799999999994</v>
      </c>
      <c r="K260" s="18">
        <v>6153</v>
      </c>
      <c r="L260" s="18">
        <f t="shared" si="2"/>
        <v>6153</v>
      </c>
      <c r="M260" s="18">
        <f t="shared" si="3"/>
        <v>7260.54</v>
      </c>
      <c r="N260" s="12">
        <v>1000</v>
      </c>
      <c r="O260" s="19">
        <v>0.18</v>
      </c>
      <c r="P260" s="18">
        <f t="shared" si="4"/>
        <v>1180</v>
      </c>
      <c r="Q260" s="12">
        <v>200</v>
      </c>
      <c r="R260" s="18">
        <f t="shared" si="5"/>
        <v>8440.5400000000009</v>
      </c>
      <c r="S260" s="22">
        <f t="shared" si="6"/>
        <v>8449</v>
      </c>
      <c r="T260" s="18">
        <f t="shared" si="7"/>
        <v>8.4599999999991269</v>
      </c>
      <c r="U260" s="18">
        <f t="shared" si="8"/>
        <v>2701.8200000000006</v>
      </c>
      <c r="V260" s="18">
        <f t="shared" si="9"/>
        <v>2289.6779661016953</v>
      </c>
      <c r="W260" s="24">
        <f t="shared" si="10"/>
        <v>0.48706189451216664</v>
      </c>
      <c r="X260" s="22"/>
    </row>
    <row r="261" spans="1:24" x14ac:dyDescent="0.25">
      <c r="A261" s="9" t="s">
        <v>24</v>
      </c>
      <c r="B261" s="9" t="s">
        <v>63</v>
      </c>
      <c r="C261" s="10"/>
      <c r="D261" s="9" t="s">
        <v>495</v>
      </c>
      <c r="E261" s="9" t="s">
        <v>500</v>
      </c>
      <c r="F261" s="12">
        <v>1</v>
      </c>
      <c r="G261" s="14">
        <v>2413</v>
      </c>
      <c r="H261" s="18">
        <f t="shared" si="0"/>
        <v>2413</v>
      </c>
      <c r="I261" s="19">
        <v>0.18</v>
      </c>
      <c r="J261" s="18">
        <f t="shared" si="1"/>
        <v>2847.3399999999997</v>
      </c>
      <c r="K261" s="18">
        <v>3147</v>
      </c>
      <c r="L261" s="18">
        <f t="shared" si="2"/>
        <v>3147</v>
      </c>
      <c r="M261" s="18">
        <f t="shared" si="3"/>
        <v>3713.4599999999996</v>
      </c>
      <c r="N261" s="12">
        <v>1500</v>
      </c>
      <c r="O261" s="19">
        <v>0.18</v>
      </c>
      <c r="P261" s="18">
        <f t="shared" si="4"/>
        <v>1770</v>
      </c>
      <c r="Q261" s="12">
        <v>200</v>
      </c>
      <c r="R261" s="18">
        <f t="shared" si="5"/>
        <v>5483.4599999999991</v>
      </c>
      <c r="S261" s="22">
        <f t="shared" si="6"/>
        <v>5499</v>
      </c>
      <c r="T261" s="18">
        <f t="shared" si="7"/>
        <v>15.540000000000873</v>
      </c>
      <c r="U261" s="18">
        <f t="shared" si="8"/>
        <v>2451.6600000000003</v>
      </c>
      <c r="V261" s="18">
        <f t="shared" si="9"/>
        <v>2077.6779661016953</v>
      </c>
      <c r="W261" s="24">
        <f t="shared" si="10"/>
        <v>0.86103521181172626</v>
      </c>
      <c r="X261" s="22"/>
    </row>
    <row r="262" spans="1:24" x14ac:dyDescent="0.25">
      <c r="A262" s="9" t="s">
        <v>345</v>
      </c>
      <c r="B262" s="9" t="s">
        <v>501</v>
      </c>
      <c r="C262" s="10"/>
      <c r="D262" s="9" t="s">
        <v>502</v>
      </c>
      <c r="E262" s="9" t="s">
        <v>503</v>
      </c>
      <c r="F262" s="12">
        <v>1</v>
      </c>
      <c r="G262" s="14">
        <v>3178</v>
      </c>
      <c r="H262" s="18">
        <f t="shared" si="0"/>
        <v>3178</v>
      </c>
      <c r="I262" s="19">
        <v>0.18</v>
      </c>
      <c r="J262" s="18">
        <f t="shared" si="1"/>
        <v>3750.04</v>
      </c>
      <c r="K262" s="18">
        <v>3960</v>
      </c>
      <c r="L262" s="18">
        <f t="shared" si="2"/>
        <v>3960</v>
      </c>
      <c r="M262" s="18">
        <f t="shared" si="3"/>
        <v>4672.8</v>
      </c>
      <c r="N262" s="12">
        <v>500</v>
      </c>
      <c r="O262" s="19">
        <v>0.18</v>
      </c>
      <c r="P262" s="18">
        <f t="shared" si="4"/>
        <v>590</v>
      </c>
      <c r="Q262" s="12">
        <v>100</v>
      </c>
      <c r="R262" s="18">
        <f t="shared" si="5"/>
        <v>5262.8</v>
      </c>
      <c r="S262" s="22">
        <f t="shared" si="6"/>
        <v>5249</v>
      </c>
      <c r="T262" s="18">
        <f t="shared" si="7"/>
        <v>-13.800000000000182</v>
      </c>
      <c r="U262" s="18">
        <f t="shared" si="8"/>
        <v>1398.96</v>
      </c>
      <c r="V262" s="18">
        <f t="shared" si="9"/>
        <v>1185.5593220338983</v>
      </c>
      <c r="W262" s="24">
        <f t="shared" si="10"/>
        <v>0.37305202077844501</v>
      </c>
      <c r="X262" s="22"/>
    </row>
    <row r="263" spans="1:24" x14ac:dyDescent="0.25">
      <c r="A263" s="9" t="s">
        <v>24</v>
      </c>
      <c r="B263" s="9" t="s">
        <v>150</v>
      </c>
      <c r="C263" s="10"/>
      <c r="D263" s="9" t="s">
        <v>504</v>
      </c>
      <c r="E263" s="9" t="s">
        <v>505</v>
      </c>
      <c r="F263" s="12">
        <v>1</v>
      </c>
      <c r="G263" s="14">
        <v>3243</v>
      </c>
      <c r="H263" s="18">
        <f t="shared" si="0"/>
        <v>3243</v>
      </c>
      <c r="I263" s="19">
        <v>0.18</v>
      </c>
      <c r="J263" s="18">
        <f t="shared" si="1"/>
        <v>3826.74</v>
      </c>
      <c r="K263" s="18">
        <v>3568</v>
      </c>
      <c r="L263" s="18">
        <f t="shared" si="2"/>
        <v>3568</v>
      </c>
      <c r="M263" s="18">
        <f t="shared" si="3"/>
        <v>4210.24</v>
      </c>
      <c r="N263" s="12">
        <v>500</v>
      </c>
      <c r="O263" s="19">
        <v>0.18</v>
      </c>
      <c r="P263" s="18">
        <f t="shared" si="4"/>
        <v>590</v>
      </c>
      <c r="Q263" s="12">
        <v>50</v>
      </c>
      <c r="R263" s="18">
        <f t="shared" si="5"/>
        <v>4800.24</v>
      </c>
      <c r="S263" s="22">
        <f t="shared" si="6"/>
        <v>4799</v>
      </c>
      <c r="T263" s="18">
        <f t="shared" si="7"/>
        <v>-1.2399999999997817</v>
      </c>
      <c r="U263" s="18">
        <f t="shared" si="8"/>
        <v>922.26000000000022</v>
      </c>
      <c r="V263" s="18">
        <f t="shared" si="9"/>
        <v>781.57627118644086</v>
      </c>
      <c r="W263" s="24">
        <f t="shared" si="10"/>
        <v>0.24100409225607181</v>
      </c>
      <c r="X263" s="22"/>
    </row>
    <row r="264" spans="1:24" x14ac:dyDescent="0.25">
      <c r="A264" s="9" t="s">
        <v>24</v>
      </c>
      <c r="B264" s="9" t="s">
        <v>52</v>
      </c>
      <c r="C264" s="10"/>
      <c r="D264" s="9" t="s">
        <v>504</v>
      </c>
      <c r="E264" s="9" t="s">
        <v>506</v>
      </c>
      <c r="F264" s="12">
        <v>1</v>
      </c>
      <c r="G264" s="14">
        <v>4411</v>
      </c>
      <c r="H264" s="18">
        <f t="shared" si="0"/>
        <v>4411</v>
      </c>
      <c r="I264" s="19">
        <v>0.18</v>
      </c>
      <c r="J264" s="18">
        <f t="shared" si="1"/>
        <v>5204.9799999999996</v>
      </c>
      <c r="K264" s="18">
        <v>5558</v>
      </c>
      <c r="L264" s="18">
        <f t="shared" si="2"/>
        <v>5558</v>
      </c>
      <c r="M264" s="18">
        <f t="shared" si="3"/>
        <v>6558.44</v>
      </c>
      <c r="N264" s="12">
        <v>600</v>
      </c>
      <c r="O264" s="19">
        <v>0.18</v>
      </c>
      <c r="P264" s="18">
        <f t="shared" si="4"/>
        <v>708</v>
      </c>
      <c r="Q264" s="12">
        <v>50</v>
      </c>
      <c r="R264" s="18">
        <f t="shared" si="5"/>
        <v>7266.44</v>
      </c>
      <c r="S264" s="22">
        <f t="shared" si="6"/>
        <v>7249</v>
      </c>
      <c r="T264" s="18">
        <f t="shared" si="7"/>
        <v>-17.4399999999996</v>
      </c>
      <c r="U264" s="18">
        <f t="shared" si="8"/>
        <v>1994.0200000000004</v>
      </c>
      <c r="V264" s="18">
        <f t="shared" si="9"/>
        <v>1689.8474576271192</v>
      </c>
      <c r="W264" s="24">
        <f t="shared" si="10"/>
        <v>0.38309849413446367</v>
      </c>
      <c r="X264" s="22"/>
    </row>
    <row r="265" spans="1:24" x14ac:dyDescent="0.25">
      <c r="A265" s="9" t="s">
        <v>24</v>
      </c>
      <c r="B265" s="9" t="s">
        <v>58</v>
      </c>
      <c r="C265" s="10"/>
      <c r="D265" s="9" t="s">
        <v>504</v>
      </c>
      <c r="E265" s="9" t="s">
        <v>507</v>
      </c>
      <c r="F265" s="12">
        <v>1</v>
      </c>
      <c r="G265" s="14">
        <v>3614.72</v>
      </c>
      <c r="H265" s="18">
        <f t="shared" si="0"/>
        <v>3614.72</v>
      </c>
      <c r="I265" s="19">
        <v>0.18</v>
      </c>
      <c r="J265" s="18">
        <f t="shared" si="1"/>
        <v>4265.3696</v>
      </c>
      <c r="K265" s="18">
        <v>4786</v>
      </c>
      <c r="L265" s="18">
        <f t="shared" si="2"/>
        <v>4786</v>
      </c>
      <c r="M265" s="18">
        <f t="shared" si="3"/>
        <v>5647.48</v>
      </c>
      <c r="N265" s="12">
        <v>1000</v>
      </c>
      <c r="O265" s="19">
        <v>0.18</v>
      </c>
      <c r="P265" s="18">
        <f t="shared" si="4"/>
        <v>1180</v>
      </c>
      <c r="Q265" s="12">
        <v>50</v>
      </c>
      <c r="R265" s="18">
        <f t="shared" si="5"/>
        <v>6827.48</v>
      </c>
      <c r="S265" s="22">
        <f t="shared" si="6"/>
        <v>6849</v>
      </c>
      <c r="T265" s="18">
        <f t="shared" si="7"/>
        <v>21.520000000000437</v>
      </c>
      <c r="U265" s="18">
        <f t="shared" si="8"/>
        <v>2533.6304</v>
      </c>
      <c r="V265" s="18">
        <f t="shared" si="9"/>
        <v>2147.144406779661</v>
      </c>
      <c r="W265" s="24">
        <f t="shared" si="10"/>
        <v>0.59400020106112261</v>
      </c>
      <c r="X265" s="22"/>
    </row>
    <row r="266" spans="1:24" x14ac:dyDescent="0.25">
      <c r="A266" s="9" t="s">
        <v>24</v>
      </c>
      <c r="B266" s="9" t="s">
        <v>40</v>
      </c>
      <c r="C266" s="10"/>
      <c r="D266" s="9" t="s">
        <v>508</v>
      </c>
      <c r="E266" s="9" t="s">
        <v>509</v>
      </c>
      <c r="F266" s="12">
        <v>1</v>
      </c>
      <c r="G266" s="14">
        <v>840</v>
      </c>
      <c r="H266" s="18">
        <f t="shared" si="0"/>
        <v>840</v>
      </c>
      <c r="I266" s="19">
        <v>0.18</v>
      </c>
      <c r="J266" s="18">
        <f t="shared" si="1"/>
        <v>991.19999999999993</v>
      </c>
      <c r="K266" s="18">
        <v>988</v>
      </c>
      <c r="L266" s="18">
        <f t="shared" si="2"/>
        <v>988</v>
      </c>
      <c r="M266" s="18">
        <f t="shared" si="3"/>
        <v>1165.8399999999999</v>
      </c>
      <c r="N266" s="12">
        <v>100</v>
      </c>
      <c r="O266" s="19">
        <v>0.18</v>
      </c>
      <c r="P266" s="18">
        <f t="shared" si="4"/>
        <v>118</v>
      </c>
      <c r="Q266" s="12">
        <v>0</v>
      </c>
      <c r="R266" s="18">
        <f t="shared" si="5"/>
        <v>1283.8399999999999</v>
      </c>
      <c r="S266" s="22">
        <f t="shared" si="6"/>
        <v>1299</v>
      </c>
      <c r="T266" s="18">
        <f t="shared" si="7"/>
        <v>15.160000000000082</v>
      </c>
      <c r="U266" s="18">
        <f t="shared" si="8"/>
        <v>307.80000000000007</v>
      </c>
      <c r="V266" s="18">
        <f t="shared" si="9"/>
        <v>260.84745762711873</v>
      </c>
      <c r="W266" s="24">
        <f t="shared" si="10"/>
        <v>0.3105326876513318</v>
      </c>
      <c r="X266" s="22"/>
    </row>
    <row r="267" spans="1:24" x14ac:dyDescent="0.25">
      <c r="A267" s="9" t="s">
        <v>24</v>
      </c>
      <c r="B267" s="9" t="s">
        <v>150</v>
      </c>
      <c r="C267" s="10"/>
      <c r="D267" s="9" t="s">
        <v>510</v>
      </c>
      <c r="E267" s="9" t="s">
        <v>511</v>
      </c>
      <c r="F267" s="12">
        <v>1</v>
      </c>
      <c r="G267" s="14">
        <v>447</v>
      </c>
      <c r="H267" s="18">
        <f t="shared" si="0"/>
        <v>447</v>
      </c>
      <c r="I267" s="19">
        <v>0.18</v>
      </c>
      <c r="J267" s="18">
        <f t="shared" si="1"/>
        <v>527.45999999999992</v>
      </c>
      <c r="K267" s="18">
        <v>564</v>
      </c>
      <c r="L267" s="18">
        <f t="shared" si="2"/>
        <v>564</v>
      </c>
      <c r="M267" s="18">
        <f t="shared" si="3"/>
        <v>665.52</v>
      </c>
      <c r="N267" s="12">
        <v>100</v>
      </c>
      <c r="O267" s="19">
        <v>0.18</v>
      </c>
      <c r="P267" s="18">
        <f t="shared" si="4"/>
        <v>118</v>
      </c>
      <c r="Q267" s="12">
        <v>20</v>
      </c>
      <c r="R267" s="18">
        <f t="shared" si="5"/>
        <v>783.52</v>
      </c>
      <c r="S267" s="22">
        <f t="shared" si="6"/>
        <v>799</v>
      </c>
      <c r="T267" s="18">
        <f t="shared" si="7"/>
        <v>15.480000000000018</v>
      </c>
      <c r="U267" s="18">
        <f t="shared" si="8"/>
        <v>251.54000000000008</v>
      </c>
      <c r="V267" s="18">
        <f t="shared" si="9"/>
        <v>213.16949152542381</v>
      </c>
      <c r="W267" s="24">
        <f t="shared" si="10"/>
        <v>0.476889242786183</v>
      </c>
      <c r="X267" s="22"/>
    </row>
    <row r="268" spans="1:24" x14ac:dyDescent="0.25">
      <c r="A268" s="9" t="s">
        <v>24</v>
      </c>
      <c r="B268" s="9" t="s">
        <v>134</v>
      </c>
      <c r="C268" s="10"/>
      <c r="D268" s="9" t="s">
        <v>510</v>
      </c>
      <c r="E268" s="9" t="s">
        <v>512</v>
      </c>
      <c r="F268" s="12">
        <v>1</v>
      </c>
      <c r="G268" s="14">
        <v>835</v>
      </c>
      <c r="H268" s="18">
        <f t="shared" si="0"/>
        <v>835</v>
      </c>
      <c r="I268" s="19">
        <v>0.18</v>
      </c>
      <c r="J268" s="18">
        <f t="shared" si="1"/>
        <v>985.3</v>
      </c>
      <c r="K268" s="18">
        <v>1053</v>
      </c>
      <c r="L268" s="18">
        <f t="shared" si="2"/>
        <v>1053</v>
      </c>
      <c r="M268" s="18">
        <f t="shared" si="3"/>
        <v>1242.54</v>
      </c>
      <c r="N268" s="12">
        <v>100</v>
      </c>
      <c r="O268" s="19">
        <v>0.18</v>
      </c>
      <c r="P268" s="18">
        <f t="shared" si="4"/>
        <v>118</v>
      </c>
      <c r="Q268" s="12">
        <v>20</v>
      </c>
      <c r="R268" s="18">
        <f t="shared" si="5"/>
        <v>1360.54</v>
      </c>
      <c r="S268" s="22">
        <f t="shared" si="6"/>
        <v>1349</v>
      </c>
      <c r="T268" s="18">
        <f t="shared" si="7"/>
        <v>-11.539999999999964</v>
      </c>
      <c r="U268" s="18">
        <f t="shared" si="8"/>
        <v>343.70000000000005</v>
      </c>
      <c r="V268" s="18">
        <f t="shared" si="9"/>
        <v>291.27118644067804</v>
      </c>
      <c r="W268" s="24">
        <f t="shared" si="10"/>
        <v>0.34882776819242878</v>
      </c>
      <c r="X268" s="22"/>
    </row>
    <row r="269" spans="1:24" x14ac:dyDescent="0.25">
      <c r="A269" s="9" t="s">
        <v>24</v>
      </c>
      <c r="B269" s="9" t="s">
        <v>137</v>
      </c>
      <c r="C269" s="10"/>
      <c r="D269" s="9" t="s">
        <v>510</v>
      </c>
      <c r="E269" s="9" t="s">
        <v>513</v>
      </c>
      <c r="F269" s="12">
        <v>1</v>
      </c>
      <c r="G269" s="14">
        <v>502</v>
      </c>
      <c r="H269" s="18">
        <f t="shared" si="0"/>
        <v>502</v>
      </c>
      <c r="I269" s="19">
        <v>0.18</v>
      </c>
      <c r="J269" s="18">
        <f t="shared" si="1"/>
        <v>592.36</v>
      </c>
      <c r="K269" s="18">
        <v>633</v>
      </c>
      <c r="L269" s="18">
        <f t="shared" si="2"/>
        <v>633</v>
      </c>
      <c r="M269" s="18">
        <f t="shared" si="3"/>
        <v>746.93999999999994</v>
      </c>
      <c r="N269" s="12">
        <v>100</v>
      </c>
      <c r="O269" s="19">
        <v>0.18</v>
      </c>
      <c r="P269" s="18">
        <f t="shared" si="4"/>
        <v>118</v>
      </c>
      <c r="Q269" s="12">
        <v>20</v>
      </c>
      <c r="R269" s="18">
        <f t="shared" si="5"/>
        <v>864.93999999999994</v>
      </c>
      <c r="S269" s="22">
        <f t="shared" si="6"/>
        <v>849</v>
      </c>
      <c r="T269" s="18">
        <f t="shared" si="7"/>
        <v>-15.939999999999941</v>
      </c>
      <c r="U269" s="18">
        <f t="shared" si="8"/>
        <v>236.64</v>
      </c>
      <c r="V269" s="18">
        <f t="shared" si="9"/>
        <v>200.54237288135593</v>
      </c>
      <c r="W269" s="24">
        <f t="shared" si="10"/>
        <v>0.39948679856843811</v>
      </c>
      <c r="X269" s="22"/>
    </row>
    <row r="270" spans="1:24" x14ac:dyDescent="0.25">
      <c r="A270" s="9" t="s">
        <v>24</v>
      </c>
      <c r="B270" s="9" t="s">
        <v>44</v>
      </c>
      <c r="C270" s="10"/>
      <c r="D270" s="9" t="s">
        <v>510</v>
      </c>
      <c r="E270" s="9" t="s">
        <v>514</v>
      </c>
      <c r="F270" s="12">
        <v>1</v>
      </c>
      <c r="G270" s="14">
        <v>452</v>
      </c>
      <c r="H270" s="18">
        <f t="shared" si="0"/>
        <v>452</v>
      </c>
      <c r="I270" s="19">
        <v>0.18</v>
      </c>
      <c r="J270" s="18">
        <f t="shared" si="1"/>
        <v>533.36</v>
      </c>
      <c r="K270" s="18">
        <v>598</v>
      </c>
      <c r="L270" s="18">
        <f t="shared" si="2"/>
        <v>598</v>
      </c>
      <c r="M270" s="18">
        <f t="shared" si="3"/>
        <v>705.64</v>
      </c>
      <c r="N270" s="12">
        <v>100</v>
      </c>
      <c r="O270" s="19">
        <v>0.18</v>
      </c>
      <c r="P270" s="18">
        <f t="shared" si="4"/>
        <v>118</v>
      </c>
      <c r="Q270" s="12">
        <v>20</v>
      </c>
      <c r="R270" s="18">
        <f t="shared" si="5"/>
        <v>823.64</v>
      </c>
      <c r="S270" s="22">
        <f t="shared" si="6"/>
        <v>799</v>
      </c>
      <c r="T270" s="18">
        <f t="shared" si="7"/>
        <v>-24.639999999999986</v>
      </c>
      <c r="U270" s="18">
        <f t="shared" si="8"/>
        <v>245.64</v>
      </c>
      <c r="V270" s="18">
        <f t="shared" si="9"/>
        <v>208.16949152542372</v>
      </c>
      <c r="W270" s="24">
        <f t="shared" si="10"/>
        <v>0.46055197240137991</v>
      </c>
      <c r="X270" s="22"/>
    </row>
    <row r="271" spans="1:24" x14ac:dyDescent="0.25">
      <c r="A271" s="9" t="s">
        <v>99</v>
      </c>
      <c r="B271" s="9" t="s">
        <v>515</v>
      </c>
      <c r="C271" s="10"/>
      <c r="D271" s="9" t="s">
        <v>516</v>
      </c>
      <c r="E271" s="9" t="s">
        <v>517</v>
      </c>
      <c r="F271" s="12">
        <v>1</v>
      </c>
      <c r="G271" s="14">
        <v>1600</v>
      </c>
      <c r="H271" s="18">
        <f t="shared" si="0"/>
        <v>1600</v>
      </c>
      <c r="I271" s="19">
        <v>0.18</v>
      </c>
      <c r="J271" s="18">
        <f t="shared" si="1"/>
        <v>1888</v>
      </c>
      <c r="K271" s="18">
        <v>2542</v>
      </c>
      <c r="L271" s="18">
        <f t="shared" si="2"/>
        <v>2542</v>
      </c>
      <c r="M271" s="18">
        <f t="shared" si="3"/>
        <v>2999.56</v>
      </c>
      <c r="N271" s="12">
        <v>300</v>
      </c>
      <c r="O271" s="19">
        <v>0.18</v>
      </c>
      <c r="P271" s="18">
        <f t="shared" si="4"/>
        <v>354</v>
      </c>
      <c r="Q271" s="12">
        <v>75</v>
      </c>
      <c r="R271" s="18">
        <f t="shared" si="5"/>
        <v>3353.56</v>
      </c>
      <c r="S271" s="22">
        <f t="shared" si="6"/>
        <v>3349</v>
      </c>
      <c r="T271" s="18">
        <f t="shared" si="7"/>
        <v>-4.5599999999999454</v>
      </c>
      <c r="U271" s="18">
        <f t="shared" si="8"/>
        <v>1386</v>
      </c>
      <c r="V271" s="18">
        <f t="shared" si="9"/>
        <v>1174.5762711864406</v>
      </c>
      <c r="W271" s="24">
        <f t="shared" si="10"/>
        <v>0.73411016949152541</v>
      </c>
      <c r="X271" s="22"/>
    </row>
    <row r="272" spans="1:24" x14ac:dyDescent="0.25">
      <c r="A272" s="9" t="s">
        <v>99</v>
      </c>
      <c r="B272" s="9" t="s">
        <v>518</v>
      </c>
      <c r="C272" s="10"/>
      <c r="D272" s="9" t="s">
        <v>516</v>
      </c>
      <c r="E272" s="9" t="s">
        <v>519</v>
      </c>
      <c r="F272" s="12">
        <v>1</v>
      </c>
      <c r="G272" s="14">
        <v>1924</v>
      </c>
      <c r="H272" s="18">
        <f t="shared" si="0"/>
        <v>1924</v>
      </c>
      <c r="I272" s="19">
        <v>0.18</v>
      </c>
      <c r="J272" s="18">
        <f t="shared" si="1"/>
        <v>2270.3199999999997</v>
      </c>
      <c r="K272" s="18">
        <v>2425</v>
      </c>
      <c r="L272" s="18">
        <f t="shared" si="2"/>
        <v>2425</v>
      </c>
      <c r="M272" s="18">
        <f t="shared" si="3"/>
        <v>2861.5</v>
      </c>
      <c r="N272" s="12">
        <v>300</v>
      </c>
      <c r="O272" s="19">
        <v>0.18</v>
      </c>
      <c r="P272" s="18">
        <f t="shared" si="4"/>
        <v>354</v>
      </c>
      <c r="Q272" s="12">
        <v>75</v>
      </c>
      <c r="R272" s="18">
        <f t="shared" si="5"/>
        <v>3215.5</v>
      </c>
      <c r="S272" s="22">
        <f t="shared" si="6"/>
        <v>3199</v>
      </c>
      <c r="T272" s="18">
        <f t="shared" si="7"/>
        <v>-16.5</v>
      </c>
      <c r="U272" s="18">
        <f t="shared" si="8"/>
        <v>853.68000000000029</v>
      </c>
      <c r="V272" s="18">
        <f t="shared" si="9"/>
        <v>723.45762711864438</v>
      </c>
      <c r="W272" s="24">
        <f t="shared" si="10"/>
        <v>0.37601747771239313</v>
      </c>
      <c r="X272" s="22"/>
    </row>
    <row r="273" spans="1:24" x14ac:dyDescent="0.25">
      <c r="A273" s="9" t="s">
        <v>99</v>
      </c>
      <c r="B273" s="9" t="s">
        <v>520</v>
      </c>
      <c r="C273" s="10"/>
      <c r="D273" s="9" t="s">
        <v>516</v>
      </c>
      <c r="E273" s="9" t="s">
        <v>519</v>
      </c>
      <c r="F273" s="12">
        <v>1</v>
      </c>
      <c r="G273" s="14">
        <v>1924</v>
      </c>
      <c r="H273" s="18">
        <f t="shared" si="0"/>
        <v>1924</v>
      </c>
      <c r="I273" s="19">
        <v>0.18</v>
      </c>
      <c r="J273" s="18">
        <f t="shared" si="1"/>
        <v>2270.3199999999997</v>
      </c>
      <c r="K273" s="18">
        <v>2425</v>
      </c>
      <c r="L273" s="18">
        <f t="shared" si="2"/>
        <v>2425</v>
      </c>
      <c r="M273" s="18">
        <f t="shared" si="3"/>
        <v>2861.5</v>
      </c>
      <c r="N273" s="12">
        <v>300</v>
      </c>
      <c r="O273" s="19">
        <v>0.18</v>
      </c>
      <c r="P273" s="18">
        <f t="shared" si="4"/>
        <v>354</v>
      </c>
      <c r="Q273" s="12">
        <v>75</v>
      </c>
      <c r="R273" s="18">
        <f t="shared" si="5"/>
        <v>3215.5</v>
      </c>
      <c r="S273" s="22">
        <f t="shared" si="6"/>
        <v>3199</v>
      </c>
      <c r="T273" s="18">
        <f t="shared" si="7"/>
        <v>-16.5</v>
      </c>
      <c r="U273" s="18">
        <f t="shared" si="8"/>
        <v>853.68000000000029</v>
      </c>
      <c r="V273" s="18">
        <f t="shared" si="9"/>
        <v>723.45762711864438</v>
      </c>
      <c r="W273" s="24">
        <f t="shared" si="10"/>
        <v>0.37601747771239313</v>
      </c>
      <c r="X273" s="22"/>
    </row>
    <row r="274" spans="1:24" x14ac:dyDescent="0.25">
      <c r="A274" s="9" t="s">
        <v>24</v>
      </c>
      <c r="B274" s="9" t="s">
        <v>137</v>
      </c>
      <c r="C274" s="10"/>
      <c r="D274" s="9" t="s">
        <v>516</v>
      </c>
      <c r="E274" s="9" t="s">
        <v>521</v>
      </c>
      <c r="F274" s="12">
        <v>1</v>
      </c>
      <c r="G274" s="14">
        <v>5619</v>
      </c>
      <c r="H274" s="18">
        <f t="shared" si="0"/>
        <v>5619</v>
      </c>
      <c r="I274" s="19">
        <v>0.18</v>
      </c>
      <c r="J274" s="18">
        <f t="shared" si="1"/>
        <v>6630.42</v>
      </c>
      <c r="K274" s="18">
        <v>7081</v>
      </c>
      <c r="L274" s="18">
        <f t="shared" si="2"/>
        <v>7081</v>
      </c>
      <c r="M274" s="18">
        <f t="shared" si="3"/>
        <v>8355.58</v>
      </c>
      <c r="N274" s="12">
        <v>1500</v>
      </c>
      <c r="O274" s="19">
        <v>0.18</v>
      </c>
      <c r="P274" s="18">
        <f t="shared" si="4"/>
        <v>1770</v>
      </c>
      <c r="Q274" s="12">
        <v>150</v>
      </c>
      <c r="R274" s="18">
        <f t="shared" si="5"/>
        <v>10125.58</v>
      </c>
      <c r="S274" s="22">
        <f t="shared" si="6"/>
        <v>10149</v>
      </c>
      <c r="T274" s="18">
        <f t="shared" si="7"/>
        <v>23.420000000000073</v>
      </c>
      <c r="U274" s="18">
        <f t="shared" si="8"/>
        <v>3368.58</v>
      </c>
      <c r="V274" s="18">
        <f t="shared" si="9"/>
        <v>2854.7288135593221</v>
      </c>
      <c r="W274" s="24">
        <f t="shared" si="10"/>
        <v>0.50804926384753912</v>
      </c>
      <c r="X274" s="22"/>
    </row>
    <row r="275" spans="1:24" x14ac:dyDescent="0.25">
      <c r="A275" s="9" t="s">
        <v>24</v>
      </c>
      <c r="B275" s="9" t="s">
        <v>81</v>
      </c>
      <c r="C275" s="10"/>
      <c r="D275" s="9" t="s">
        <v>516</v>
      </c>
      <c r="E275" s="9" t="s">
        <v>522</v>
      </c>
      <c r="F275" s="12">
        <v>1</v>
      </c>
      <c r="G275" s="14">
        <v>6904.56</v>
      </c>
      <c r="H275" s="18">
        <f t="shared" si="0"/>
        <v>6904.56</v>
      </c>
      <c r="I275" s="19">
        <v>0.18</v>
      </c>
      <c r="J275" s="18">
        <f t="shared" si="1"/>
        <v>8147.3807999999999</v>
      </c>
      <c r="K275" s="18">
        <v>8701</v>
      </c>
      <c r="L275" s="18">
        <f t="shared" si="2"/>
        <v>8701</v>
      </c>
      <c r="M275" s="18">
        <f t="shared" si="3"/>
        <v>10267.18</v>
      </c>
      <c r="N275" s="12">
        <v>1500</v>
      </c>
      <c r="O275" s="19">
        <v>0.18</v>
      </c>
      <c r="P275" s="18">
        <f t="shared" si="4"/>
        <v>1770</v>
      </c>
      <c r="Q275" s="12">
        <v>150</v>
      </c>
      <c r="R275" s="18">
        <f t="shared" si="5"/>
        <v>12037.18</v>
      </c>
      <c r="S275" s="22">
        <f t="shared" si="6"/>
        <v>12049</v>
      </c>
      <c r="T275" s="18">
        <f t="shared" si="7"/>
        <v>11.819999999999709</v>
      </c>
      <c r="U275" s="18">
        <f t="shared" si="8"/>
        <v>3751.6192000000001</v>
      </c>
      <c r="V275" s="18">
        <f t="shared" si="9"/>
        <v>3179.338305084746</v>
      </c>
      <c r="W275" s="24">
        <f t="shared" si="10"/>
        <v>0.46046935721968463</v>
      </c>
      <c r="X275" s="22"/>
    </row>
    <row r="276" spans="1:24" x14ac:dyDescent="0.25">
      <c r="A276" s="9" t="s">
        <v>24</v>
      </c>
      <c r="B276" s="9" t="s">
        <v>44</v>
      </c>
      <c r="C276" s="10"/>
      <c r="D276" s="9" t="s">
        <v>516</v>
      </c>
      <c r="E276" s="9" t="s">
        <v>523</v>
      </c>
      <c r="F276" s="12">
        <v>1</v>
      </c>
      <c r="G276" s="14">
        <v>5645</v>
      </c>
      <c r="H276" s="18">
        <f t="shared" si="0"/>
        <v>5645</v>
      </c>
      <c r="I276" s="19">
        <v>0.18</v>
      </c>
      <c r="J276" s="18">
        <f t="shared" si="1"/>
        <v>6661.0999999999995</v>
      </c>
      <c r="K276" s="18">
        <v>7475</v>
      </c>
      <c r="L276" s="18">
        <f t="shared" si="2"/>
        <v>7475</v>
      </c>
      <c r="M276" s="18">
        <f t="shared" si="3"/>
        <v>8820.5</v>
      </c>
      <c r="N276" s="12">
        <v>1000</v>
      </c>
      <c r="O276" s="19">
        <v>0.18</v>
      </c>
      <c r="P276" s="18">
        <f t="shared" si="4"/>
        <v>1180</v>
      </c>
      <c r="Q276" s="12">
        <v>150</v>
      </c>
      <c r="R276" s="18">
        <f t="shared" si="5"/>
        <v>10000.5</v>
      </c>
      <c r="S276" s="22">
        <f t="shared" si="6"/>
        <v>9999</v>
      </c>
      <c r="T276" s="18">
        <f t="shared" si="7"/>
        <v>-1.5</v>
      </c>
      <c r="U276" s="18">
        <f t="shared" si="8"/>
        <v>3187.9000000000005</v>
      </c>
      <c r="V276" s="18">
        <f t="shared" si="9"/>
        <v>2701.610169491526</v>
      </c>
      <c r="W276" s="24">
        <f t="shared" si="10"/>
        <v>0.47858461815616049</v>
      </c>
      <c r="X276" s="22"/>
    </row>
    <row r="277" spans="1:24" x14ac:dyDescent="0.25">
      <c r="A277" s="9" t="s">
        <v>99</v>
      </c>
      <c r="B277" s="9" t="s">
        <v>520</v>
      </c>
      <c r="C277" s="10"/>
      <c r="D277" s="9" t="s">
        <v>524</v>
      </c>
      <c r="E277" s="9" t="s">
        <v>525</v>
      </c>
      <c r="F277" s="12">
        <v>1</v>
      </c>
      <c r="G277" s="14">
        <v>1842.65</v>
      </c>
      <c r="H277" s="18">
        <f t="shared" si="0"/>
        <v>1842.65</v>
      </c>
      <c r="I277" s="19">
        <v>0.18</v>
      </c>
      <c r="J277" s="18">
        <f t="shared" si="1"/>
        <v>2174.3269999999998</v>
      </c>
      <c r="K277" s="18">
        <v>2322</v>
      </c>
      <c r="L277" s="18">
        <f t="shared" si="2"/>
        <v>2322</v>
      </c>
      <c r="M277" s="18">
        <f t="shared" si="3"/>
        <v>2739.96</v>
      </c>
      <c r="N277" s="12">
        <v>650</v>
      </c>
      <c r="O277" s="19">
        <v>0.18</v>
      </c>
      <c r="P277" s="18">
        <f t="shared" si="4"/>
        <v>767</v>
      </c>
      <c r="Q277" s="12">
        <v>75</v>
      </c>
      <c r="R277" s="18">
        <f t="shared" si="5"/>
        <v>3506.96</v>
      </c>
      <c r="S277" s="22">
        <f t="shared" si="6"/>
        <v>3499</v>
      </c>
      <c r="T277" s="18">
        <f t="shared" si="7"/>
        <v>-7.9600000000000364</v>
      </c>
      <c r="U277" s="18">
        <f t="shared" si="8"/>
        <v>1249.6730000000002</v>
      </c>
      <c r="V277" s="18">
        <f t="shared" si="9"/>
        <v>1059.0449152542376</v>
      </c>
      <c r="W277" s="24">
        <f t="shared" si="10"/>
        <v>0.57474013798292545</v>
      </c>
      <c r="X277" s="22"/>
    </row>
    <row r="278" spans="1:24" x14ac:dyDescent="0.25">
      <c r="A278" s="9" t="s">
        <v>99</v>
      </c>
      <c r="B278" s="9" t="s">
        <v>518</v>
      </c>
      <c r="C278" s="10"/>
      <c r="D278" s="9" t="s">
        <v>526</v>
      </c>
      <c r="E278" s="9" t="s">
        <v>527</v>
      </c>
      <c r="F278" s="12">
        <v>1</v>
      </c>
      <c r="G278" s="14">
        <v>1625.43</v>
      </c>
      <c r="H278" s="18">
        <f t="shared" si="0"/>
        <v>1625.43</v>
      </c>
      <c r="I278" s="19">
        <v>0.18</v>
      </c>
      <c r="J278" s="18">
        <f t="shared" si="1"/>
        <v>1918.0074</v>
      </c>
      <c r="K278" s="18">
        <v>2048</v>
      </c>
      <c r="L278" s="18">
        <f t="shared" si="2"/>
        <v>2048</v>
      </c>
      <c r="M278" s="18">
        <f t="shared" si="3"/>
        <v>2416.64</v>
      </c>
      <c r="N278" s="12">
        <v>650</v>
      </c>
      <c r="O278" s="19">
        <v>0.18</v>
      </c>
      <c r="P278" s="18">
        <f t="shared" si="4"/>
        <v>767</v>
      </c>
      <c r="Q278" s="12">
        <v>75</v>
      </c>
      <c r="R278" s="18">
        <f t="shared" si="5"/>
        <v>3183.64</v>
      </c>
      <c r="S278" s="22">
        <f t="shared" si="6"/>
        <v>3199</v>
      </c>
      <c r="T278" s="18">
        <f t="shared" si="7"/>
        <v>15.360000000000127</v>
      </c>
      <c r="U278" s="18">
        <f t="shared" si="8"/>
        <v>1205.9926</v>
      </c>
      <c r="V278" s="18">
        <f t="shared" si="9"/>
        <v>1022.0276271186442</v>
      </c>
      <c r="W278" s="24">
        <f t="shared" si="10"/>
        <v>0.62877369503371061</v>
      </c>
      <c r="X278" s="22"/>
    </row>
    <row r="279" spans="1:24" x14ac:dyDescent="0.25">
      <c r="A279" s="9" t="s">
        <v>24</v>
      </c>
      <c r="B279" s="9" t="s">
        <v>44</v>
      </c>
      <c r="C279" s="10"/>
      <c r="D279" s="9" t="s">
        <v>528</v>
      </c>
      <c r="E279" s="9" t="s">
        <v>523</v>
      </c>
      <c r="F279" s="12">
        <v>1</v>
      </c>
      <c r="G279" s="14">
        <v>5645</v>
      </c>
      <c r="H279" s="18">
        <f t="shared" si="0"/>
        <v>5645</v>
      </c>
      <c r="I279" s="19">
        <v>0.18</v>
      </c>
      <c r="J279" s="18">
        <f t="shared" si="1"/>
        <v>6661.0999999999995</v>
      </c>
      <c r="K279" s="18">
        <v>7475</v>
      </c>
      <c r="L279" s="18">
        <f t="shared" si="2"/>
        <v>7475</v>
      </c>
      <c r="M279" s="18">
        <f t="shared" si="3"/>
        <v>8820.5</v>
      </c>
      <c r="N279" s="12">
        <v>2500</v>
      </c>
      <c r="O279" s="19">
        <v>0.18</v>
      </c>
      <c r="P279" s="18">
        <f t="shared" si="4"/>
        <v>2950</v>
      </c>
      <c r="Q279" s="12">
        <v>1800</v>
      </c>
      <c r="R279" s="18">
        <f t="shared" si="5"/>
        <v>11770.5</v>
      </c>
      <c r="S279" s="22">
        <f t="shared" si="6"/>
        <v>11749</v>
      </c>
      <c r="T279" s="18">
        <f t="shared" si="7"/>
        <v>-21.5</v>
      </c>
      <c r="U279" s="18">
        <f t="shared" si="8"/>
        <v>3287.9000000000005</v>
      </c>
      <c r="V279" s="18">
        <f t="shared" si="9"/>
        <v>2786.3559322033902</v>
      </c>
      <c r="W279" s="24">
        <f t="shared" si="10"/>
        <v>0.4935971536232755</v>
      </c>
      <c r="X279" s="22"/>
    </row>
    <row r="280" spans="1:24" x14ac:dyDescent="0.25">
      <c r="A280" s="9" t="s">
        <v>99</v>
      </c>
      <c r="B280" s="9" t="s">
        <v>262</v>
      </c>
      <c r="C280" s="10"/>
      <c r="D280" s="9" t="s">
        <v>529</v>
      </c>
      <c r="E280" s="9" t="s">
        <v>530</v>
      </c>
      <c r="F280" s="12">
        <v>1</v>
      </c>
      <c r="G280" s="14">
        <v>4032</v>
      </c>
      <c r="H280" s="18">
        <f t="shared" si="0"/>
        <v>4032</v>
      </c>
      <c r="I280" s="19">
        <v>0.18</v>
      </c>
      <c r="J280" s="18">
        <f t="shared" si="1"/>
        <v>4757.7599999999993</v>
      </c>
      <c r="K280" s="18">
        <v>4846</v>
      </c>
      <c r="L280" s="18">
        <f t="shared" si="2"/>
        <v>4846</v>
      </c>
      <c r="M280" s="18">
        <f t="shared" si="3"/>
        <v>5718.28</v>
      </c>
      <c r="N280" s="12">
        <v>600</v>
      </c>
      <c r="O280" s="19">
        <v>0.18</v>
      </c>
      <c r="P280" s="18">
        <f t="shared" si="4"/>
        <v>708</v>
      </c>
      <c r="Q280" s="12">
        <v>100</v>
      </c>
      <c r="R280" s="18">
        <f t="shared" si="5"/>
        <v>6426.28</v>
      </c>
      <c r="S280" s="22">
        <f t="shared" si="6"/>
        <v>6449</v>
      </c>
      <c r="T280" s="18">
        <f t="shared" si="7"/>
        <v>22.720000000000255</v>
      </c>
      <c r="U280" s="18">
        <f t="shared" si="8"/>
        <v>1591.2400000000007</v>
      </c>
      <c r="V280" s="18">
        <f t="shared" si="9"/>
        <v>1348.5084745762717</v>
      </c>
      <c r="W280" s="24">
        <f t="shared" si="10"/>
        <v>0.33445150659133721</v>
      </c>
      <c r="X280" s="22"/>
    </row>
    <row r="281" spans="1:24" x14ac:dyDescent="0.25">
      <c r="A281" s="9" t="s">
        <v>99</v>
      </c>
      <c r="B281" s="9" t="s">
        <v>262</v>
      </c>
      <c r="C281" s="10"/>
      <c r="D281" s="9" t="s">
        <v>529</v>
      </c>
      <c r="E281" s="9" t="s">
        <v>531</v>
      </c>
      <c r="F281" s="12">
        <v>1</v>
      </c>
      <c r="G281" s="14">
        <v>4183</v>
      </c>
      <c r="H281" s="18">
        <f t="shared" si="0"/>
        <v>4183</v>
      </c>
      <c r="I281" s="19">
        <v>0.18</v>
      </c>
      <c r="J281" s="18">
        <f t="shared" si="1"/>
        <v>4935.9399999999996</v>
      </c>
      <c r="K281" s="18">
        <v>5027</v>
      </c>
      <c r="L281" s="18">
        <f t="shared" si="2"/>
        <v>5027</v>
      </c>
      <c r="M281" s="18">
        <f t="shared" si="3"/>
        <v>5931.86</v>
      </c>
      <c r="N281" s="12">
        <v>600</v>
      </c>
      <c r="O281" s="19">
        <v>0.18</v>
      </c>
      <c r="P281" s="18">
        <f t="shared" si="4"/>
        <v>708</v>
      </c>
      <c r="Q281" s="12">
        <v>100</v>
      </c>
      <c r="R281" s="18">
        <f t="shared" si="5"/>
        <v>6639.86</v>
      </c>
      <c r="S281" s="22">
        <f t="shared" si="6"/>
        <v>6649</v>
      </c>
      <c r="T281" s="18">
        <f t="shared" si="7"/>
        <v>9.1400000000003274</v>
      </c>
      <c r="U281" s="18">
        <f t="shared" si="8"/>
        <v>1613.0600000000004</v>
      </c>
      <c r="V281" s="18">
        <f t="shared" si="9"/>
        <v>1367.0000000000005</v>
      </c>
      <c r="W281" s="24">
        <f t="shared" si="10"/>
        <v>0.32679894812335653</v>
      </c>
      <c r="X281" s="22"/>
    </row>
    <row r="282" spans="1:24" x14ac:dyDescent="0.25">
      <c r="A282" s="9" t="s">
        <v>24</v>
      </c>
      <c r="B282" s="9" t="s">
        <v>63</v>
      </c>
      <c r="C282" s="10"/>
      <c r="D282" s="9" t="s">
        <v>532</v>
      </c>
      <c r="E282" s="9" t="s">
        <v>533</v>
      </c>
      <c r="F282" s="12">
        <v>1</v>
      </c>
      <c r="G282" s="14">
        <v>5566</v>
      </c>
      <c r="H282" s="18">
        <f t="shared" si="0"/>
        <v>5566</v>
      </c>
      <c r="I282" s="19">
        <v>0.18</v>
      </c>
      <c r="J282" s="18">
        <f t="shared" si="1"/>
        <v>6567.8799999999992</v>
      </c>
      <c r="K282" s="18">
        <v>7014</v>
      </c>
      <c r="L282" s="18">
        <f t="shared" si="2"/>
        <v>7014</v>
      </c>
      <c r="M282" s="18">
        <f t="shared" si="3"/>
        <v>8276.52</v>
      </c>
      <c r="N282" s="12">
        <v>2000</v>
      </c>
      <c r="O282" s="19">
        <v>0.18</v>
      </c>
      <c r="P282" s="18">
        <f t="shared" si="4"/>
        <v>2360</v>
      </c>
      <c r="Q282" s="12">
        <v>150</v>
      </c>
      <c r="R282" s="18">
        <f t="shared" si="5"/>
        <v>10636.52</v>
      </c>
      <c r="S282" s="22">
        <f t="shared" si="6"/>
        <v>10649</v>
      </c>
      <c r="T282" s="18">
        <f t="shared" si="7"/>
        <v>12.479999999999563</v>
      </c>
      <c r="U282" s="18">
        <f t="shared" si="8"/>
        <v>3931.1200000000008</v>
      </c>
      <c r="V282" s="18">
        <f t="shared" si="9"/>
        <v>3331.4576271186447</v>
      </c>
      <c r="W282" s="24">
        <f t="shared" si="10"/>
        <v>0.598537123089947</v>
      </c>
      <c r="X282" s="22"/>
    </row>
    <row r="283" spans="1:24" x14ac:dyDescent="0.25">
      <c r="A283" s="9" t="s">
        <v>24</v>
      </c>
      <c r="B283" s="9" t="s">
        <v>63</v>
      </c>
      <c r="C283" s="10"/>
      <c r="D283" s="9" t="s">
        <v>534</v>
      </c>
      <c r="E283" s="9" t="s">
        <v>535</v>
      </c>
      <c r="F283" s="12">
        <v>1</v>
      </c>
      <c r="G283" s="14">
        <v>7720</v>
      </c>
      <c r="H283" s="18">
        <f t="shared" si="0"/>
        <v>7720</v>
      </c>
      <c r="I283" s="19">
        <v>0.18</v>
      </c>
      <c r="J283" s="18">
        <f t="shared" si="1"/>
        <v>9109.6</v>
      </c>
      <c r="K283" s="18">
        <v>9728</v>
      </c>
      <c r="L283" s="18">
        <f t="shared" si="2"/>
        <v>9728</v>
      </c>
      <c r="M283" s="18">
        <f t="shared" si="3"/>
        <v>11479.039999999999</v>
      </c>
      <c r="N283" s="12">
        <v>3000</v>
      </c>
      <c r="O283" s="19">
        <v>0.18</v>
      </c>
      <c r="P283" s="18">
        <f t="shared" si="4"/>
        <v>3540</v>
      </c>
      <c r="Q283" s="12">
        <v>1800</v>
      </c>
      <c r="R283" s="18">
        <f t="shared" si="5"/>
        <v>15019.039999999999</v>
      </c>
      <c r="S283" s="22">
        <f t="shared" si="6"/>
        <v>14999</v>
      </c>
      <c r="T283" s="18">
        <f t="shared" si="7"/>
        <v>-20.039999999999054</v>
      </c>
      <c r="U283" s="18">
        <f t="shared" si="8"/>
        <v>4089.3999999999996</v>
      </c>
      <c r="V283" s="18">
        <f t="shared" si="9"/>
        <v>3465.593220338983</v>
      </c>
      <c r="W283" s="24">
        <f t="shared" si="10"/>
        <v>0.44891103890401335</v>
      </c>
      <c r="X283" s="22"/>
    </row>
    <row r="284" spans="1:24" x14ac:dyDescent="0.25">
      <c r="A284" s="9" t="s">
        <v>24</v>
      </c>
      <c r="B284" s="9" t="s">
        <v>150</v>
      </c>
      <c r="C284" s="10"/>
      <c r="D284" s="9" t="s">
        <v>536</v>
      </c>
      <c r="E284" s="9" t="s">
        <v>537</v>
      </c>
      <c r="F284" s="12">
        <v>1</v>
      </c>
      <c r="G284" s="14">
        <v>5835</v>
      </c>
      <c r="H284" s="18">
        <f t="shared" si="0"/>
        <v>5835</v>
      </c>
      <c r="I284" s="19">
        <v>0.18</v>
      </c>
      <c r="J284" s="18">
        <f t="shared" si="1"/>
        <v>6885.2999999999993</v>
      </c>
      <c r="K284" s="18">
        <v>7353</v>
      </c>
      <c r="L284" s="18">
        <f t="shared" si="2"/>
        <v>7353</v>
      </c>
      <c r="M284" s="18">
        <f t="shared" si="3"/>
        <v>8676.5399999999991</v>
      </c>
      <c r="N284" s="12">
        <v>1500</v>
      </c>
      <c r="O284" s="19">
        <v>0.18</v>
      </c>
      <c r="P284" s="18">
        <f t="shared" si="4"/>
        <v>1770</v>
      </c>
      <c r="Q284" s="12">
        <v>150</v>
      </c>
      <c r="R284" s="18">
        <f t="shared" si="5"/>
        <v>10446.539999999999</v>
      </c>
      <c r="S284" s="22">
        <f t="shared" si="6"/>
        <v>10449</v>
      </c>
      <c r="T284" s="18">
        <f t="shared" si="7"/>
        <v>2.4600000000009459</v>
      </c>
      <c r="U284" s="18">
        <f t="shared" si="8"/>
        <v>3413.7000000000007</v>
      </c>
      <c r="V284" s="18">
        <f t="shared" si="9"/>
        <v>2892.9661016949162</v>
      </c>
      <c r="W284" s="24">
        <f t="shared" si="10"/>
        <v>0.49579539017907731</v>
      </c>
      <c r="X284" s="22"/>
    </row>
    <row r="285" spans="1:24" x14ac:dyDescent="0.25">
      <c r="A285" s="9" t="s">
        <v>24</v>
      </c>
      <c r="B285" s="9" t="s">
        <v>150</v>
      </c>
      <c r="C285" s="10"/>
      <c r="D285" s="9" t="s">
        <v>536</v>
      </c>
      <c r="E285" s="9" t="s">
        <v>538</v>
      </c>
      <c r="F285" s="12">
        <v>1</v>
      </c>
      <c r="G285" s="14">
        <v>5784</v>
      </c>
      <c r="H285" s="18">
        <f t="shared" si="0"/>
        <v>5784</v>
      </c>
      <c r="I285" s="19">
        <v>0.18</v>
      </c>
      <c r="J285" s="18">
        <f t="shared" si="1"/>
        <v>6825.12</v>
      </c>
      <c r="K285" s="18">
        <v>7289</v>
      </c>
      <c r="L285" s="18">
        <f t="shared" si="2"/>
        <v>7289</v>
      </c>
      <c r="M285" s="18">
        <f t="shared" si="3"/>
        <v>8601.02</v>
      </c>
      <c r="N285" s="12">
        <v>1500</v>
      </c>
      <c r="O285" s="19">
        <v>0.18</v>
      </c>
      <c r="P285" s="18">
        <f t="shared" si="4"/>
        <v>1770</v>
      </c>
      <c r="Q285" s="12">
        <v>150</v>
      </c>
      <c r="R285" s="18">
        <f t="shared" si="5"/>
        <v>10371.02</v>
      </c>
      <c r="S285" s="22">
        <f t="shared" si="6"/>
        <v>10349</v>
      </c>
      <c r="T285" s="18">
        <f t="shared" si="7"/>
        <v>-22.020000000000437</v>
      </c>
      <c r="U285" s="18">
        <f t="shared" si="8"/>
        <v>3373.88</v>
      </c>
      <c r="V285" s="18">
        <f t="shared" si="9"/>
        <v>2859.2203389830511</v>
      </c>
      <c r="W285" s="24">
        <f t="shared" si="10"/>
        <v>0.49433270037742932</v>
      </c>
      <c r="X285" s="22"/>
    </row>
    <row r="286" spans="1:24" x14ac:dyDescent="0.25">
      <c r="A286" s="9" t="s">
        <v>24</v>
      </c>
      <c r="B286" s="9" t="s">
        <v>134</v>
      </c>
      <c r="C286" s="10"/>
      <c r="D286" s="9" t="s">
        <v>536</v>
      </c>
      <c r="E286" s="9" t="s">
        <v>539</v>
      </c>
      <c r="F286" s="12">
        <v>1</v>
      </c>
      <c r="G286" s="14">
        <v>5722</v>
      </c>
      <c r="H286" s="18">
        <f t="shared" si="0"/>
        <v>5722</v>
      </c>
      <c r="I286" s="19">
        <v>0.18</v>
      </c>
      <c r="J286" s="18">
        <f t="shared" si="1"/>
        <v>6751.96</v>
      </c>
      <c r="K286" s="18">
        <v>7211</v>
      </c>
      <c r="L286" s="18">
        <f t="shared" si="2"/>
        <v>7211</v>
      </c>
      <c r="M286" s="18">
        <f t="shared" si="3"/>
        <v>8508.98</v>
      </c>
      <c r="N286" s="12">
        <v>1500</v>
      </c>
      <c r="O286" s="19">
        <v>0.18</v>
      </c>
      <c r="P286" s="18">
        <f t="shared" si="4"/>
        <v>1770</v>
      </c>
      <c r="Q286" s="12">
        <v>150</v>
      </c>
      <c r="R286" s="18">
        <f t="shared" si="5"/>
        <v>10278.98</v>
      </c>
      <c r="S286" s="22">
        <f t="shared" si="6"/>
        <v>10299</v>
      </c>
      <c r="T286" s="18">
        <f t="shared" si="7"/>
        <v>20.020000000000437</v>
      </c>
      <c r="U286" s="18">
        <f t="shared" si="8"/>
        <v>3397.04</v>
      </c>
      <c r="V286" s="18">
        <f t="shared" si="9"/>
        <v>2878.8474576271187</v>
      </c>
      <c r="W286" s="24">
        <f t="shared" si="10"/>
        <v>0.50311909430743074</v>
      </c>
      <c r="X286" s="22"/>
    </row>
    <row r="287" spans="1:24" x14ac:dyDescent="0.25">
      <c r="A287" s="9" t="s">
        <v>24</v>
      </c>
      <c r="B287" s="9" t="s">
        <v>58</v>
      </c>
      <c r="C287" s="10"/>
      <c r="D287" s="9" t="s">
        <v>536</v>
      </c>
      <c r="E287" s="9" t="s">
        <v>540</v>
      </c>
      <c r="F287" s="12">
        <v>1</v>
      </c>
      <c r="G287" s="14">
        <v>7927</v>
      </c>
      <c r="H287" s="18">
        <f t="shared" si="0"/>
        <v>7927</v>
      </c>
      <c r="I287" s="19">
        <v>0.18</v>
      </c>
      <c r="J287" s="18">
        <f t="shared" si="1"/>
        <v>9353.8599999999988</v>
      </c>
      <c r="K287" s="18">
        <v>10497</v>
      </c>
      <c r="L287" s="18">
        <f t="shared" si="2"/>
        <v>10497</v>
      </c>
      <c r="M287" s="18">
        <f t="shared" si="3"/>
        <v>12386.46</v>
      </c>
      <c r="N287" s="12">
        <v>1500</v>
      </c>
      <c r="O287" s="19">
        <v>0.18</v>
      </c>
      <c r="P287" s="18">
        <f t="shared" si="4"/>
        <v>1770</v>
      </c>
      <c r="Q287" s="12">
        <v>150</v>
      </c>
      <c r="R287" s="18">
        <f t="shared" si="5"/>
        <v>14156.46</v>
      </c>
      <c r="S287" s="22">
        <f t="shared" si="6"/>
        <v>14149</v>
      </c>
      <c r="T287" s="18">
        <f t="shared" si="7"/>
        <v>-7.4599999999991269</v>
      </c>
      <c r="U287" s="18">
        <f t="shared" si="8"/>
        <v>4645.1400000000012</v>
      </c>
      <c r="V287" s="18">
        <f t="shared" si="9"/>
        <v>3936.5593220338997</v>
      </c>
      <c r="W287" s="24">
        <f t="shared" si="10"/>
        <v>0.49660140305713379</v>
      </c>
      <c r="X287" s="22"/>
    </row>
    <row r="288" spans="1:24" x14ac:dyDescent="0.25">
      <c r="A288" s="9" t="s">
        <v>24</v>
      </c>
      <c r="B288" s="9" t="s">
        <v>63</v>
      </c>
      <c r="C288" s="10"/>
      <c r="D288" s="9" t="s">
        <v>536</v>
      </c>
      <c r="E288" s="9" t="s">
        <v>535</v>
      </c>
      <c r="F288" s="12">
        <v>1</v>
      </c>
      <c r="G288" s="14">
        <v>7720</v>
      </c>
      <c r="H288" s="18">
        <f t="shared" si="0"/>
        <v>7720</v>
      </c>
      <c r="I288" s="19">
        <v>0.18</v>
      </c>
      <c r="J288" s="18">
        <f t="shared" si="1"/>
        <v>9109.6</v>
      </c>
      <c r="K288" s="18">
        <v>9728</v>
      </c>
      <c r="L288" s="18">
        <f t="shared" si="2"/>
        <v>9728</v>
      </c>
      <c r="M288" s="18">
        <f t="shared" si="3"/>
        <v>11479.039999999999</v>
      </c>
      <c r="N288" s="12">
        <v>2000</v>
      </c>
      <c r="O288" s="19">
        <v>0.18</v>
      </c>
      <c r="P288" s="18">
        <f t="shared" si="4"/>
        <v>2360</v>
      </c>
      <c r="Q288" s="12">
        <v>150</v>
      </c>
      <c r="R288" s="18">
        <f t="shared" si="5"/>
        <v>13839.039999999999</v>
      </c>
      <c r="S288" s="22">
        <f t="shared" si="6"/>
        <v>13849</v>
      </c>
      <c r="T288" s="18">
        <f t="shared" si="7"/>
        <v>9.9600000000009459</v>
      </c>
      <c r="U288" s="18">
        <f t="shared" si="8"/>
        <v>4589.3999999999996</v>
      </c>
      <c r="V288" s="18">
        <f t="shared" si="9"/>
        <v>3889.3220338983051</v>
      </c>
      <c r="W288" s="24">
        <f t="shared" si="10"/>
        <v>0.50379819091946954</v>
      </c>
      <c r="X288" s="22"/>
    </row>
    <row r="289" spans="1:24" x14ac:dyDescent="0.25">
      <c r="A289" s="9" t="s">
        <v>24</v>
      </c>
      <c r="B289" s="9" t="s">
        <v>58</v>
      </c>
      <c r="C289" s="10"/>
      <c r="D289" s="9" t="s">
        <v>541</v>
      </c>
      <c r="E289" s="9" t="s">
        <v>540</v>
      </c>
      <c r="F289" s="12">
        <v>1</v>
      </c>
      <c r="G289" s="14">
        <v>7927</v>
      </c>
      <c r="H289" s="18">
        <f t="shared" si="0"/>
        <v>7927</v>
      </c>
      <c r="I289" s="19">
        <v>0.18</v>
      </c>
      <c r="J289" s="18">
        <f t="shared" si="1"/>
        <v>9353.8599999999988</v>
      </c>
      <c r="K289" s="18">
        <v>10497</v>
      </c>
      <c r="L289" s="18">
        <f t="shared" si="2"/>
        <v>10497</v>
      </c>
      <c r="M289" s="18">
        <f t="shared" si="3"/>
        <v>12386.46</v>
      </c>
      <c r="N289" s="12">
        <v>3000</v>
      </c>
      <c r="O289" s="19">
        <v>0.18</v>
      </c>
      <c r="P289" s="18">
        <f t="shared" si="4"/>
        <v>3540</v>
      </c>
      <c r="Q289" s="12">
        <v>1800</v>
      </c>
      <c r="R289" s="18">
        <f t="shared" si="5"/>
        <v>15926.46</v>
      </c>
      <c r="S289" s="22">
        <f t="shared" si="6"/>
        <v>15949</v>
      </c>
      <c r="T289" s="18">
        <f t="shared" si="7"/>
        <v>22.540000000000873</v>
      </c>
      <c r="U289" s="18">
        <f t="shared" si="8"/>
        <v>4795.1400000000012</v>
      </c>
      <c r="V289" s="18">
        <f t="shared" si="9"/>
        <v>4063.6779661016963</v>
      </c>
      <c r="W289" s="24">
        <f t="shared" si="10"/>
        <v>0.51263756352992262</v>
      </c>
      <c r="X289" s="22"/>
    </row>
    <row r="290" spans="1:24" x14ac:dyDescent="0.25">
      <c r="A290" s="9" t="s">
        <v>24</v>
      </c>
      <c r="B290" s="9" t="s">
        <v>63</v>
      </c>
      <c r="C290" s="10"/>
      <c r="D290" s="9" t="s">
        <v>541</v>
      </c>
      <c r="E290" s="9" t="s">
        <v>533</v>
      </c>
      <c r="F290" s="12">
        <v>1</v>
      </c>
      <c r="G290" s="14">
        <v>5566</v>
      </c>
      <c r="H290" s="18">
        <f t="shared" si="0"/>
        <v>5566</v>
      </c>
      <c r="I290" s="19">
        <v>0.18</v>
      </c>
      <c r="J290" s="18">
        <f t="shared" si="1"/>
        <v>6567.8799999999992</v>
      </c>
      <c r="K290" s="18">
        <v>7014</v>
      </c>
      <c r="L290" s="18">
        <f t="shared" si="2"/>
        <v>7014</v>
      </c>
      <c r="M290" s="18">
        <f t="shared" si="3"/>
        <v>8276.52</v>
      </c>
      <c r="N290" s="12">
        <v>3000</v>
      </c>
      <c r="O290" s="19">
        <v>0.18</v>
      </c>
      <c r="P290" s="18">
        <f t="shared" si="4"/>
        <v>3540</v>
      </c>
      <c r="Q290" s="12">
        <v>1800</v>
      </c>
      <c r="R290" s="18">
        <f t="shared" si="5"/>
        <v>11816.52</v>
      </c>
      <c r="S290" s="22">
        <f t="shared" si="6"/>
        <v>11799</v>
      </c>
      <c r="T290" s="18">
        <f t="shared" si="7"/>
        <v>-17.520000000000437</v>
      </c>
      <c r="U290" s="18">
        <f t="shared" si="8"/>
        <v>3431.1200000000008</v>
      </c>
      <c r="V290" s="18">
        <f t="shared" si="9"/>
        <v>2907.728813559323</v>
      </c>
      <c r="W290" s="24">
        <f t="shared" si="10"/>
        <v>0.52240905741274224</v>
      </c>
      <c r="X290" s="22"/>
    </row>
    <row r="291" spans="1:24" x14ac:dyDescent="0.25">
      <c r="A291" s="9" t="s">
        <v>24</v>
      </c>
      <c r="B291" s="9" t="s">
        <v>58</v>
      </c>
      <c r="C291" s="10"/>
      <c r="D291" s="9" t="s">
        <v>542</v>
      </c>
      <c r="E291" s="9" t="s">
        <v>543</v>
      </c>
      <c r="F291" s="12">
        <v>1</v>
      </c>
      <c r="G291" s="14">
        <v>7927</v>
      </c>
      <c r="H291" s="18">
        <f t="shared" si="0"/>
        <v>7927</v>
      </c>
      <c r="I291" s="19">
        <v>0.18</v>
      </c>
      <c r="J291" s="18">
        <f t="shared" si="1"/>
        <v>9353.8599999999988</v>
      </c>
      <c r="K291" s="18">
        <v>10497</v>
      </c>
      <c r="L291" s="18">
        <f t="shared" si="2"/>
        <v>10497</v>
      </c>
      <c r="M291" s="18">
        <f t="shared" si="3"/>
        <v>12386.46</v>
      </c>
      <c r="N291" s="12">
        <v>1500</v>
      </c>
      <c r="O291" s="19">
        <v>0.18</v>
      </c>
      <c r="P291" s="18">
        <f t="shared" si="4"/>
        <v>1770</v>
      </c>
      <c r="Q291" s="12">
        <v>150</v>
      </c>
      <c r="R291" s="18">
        <f t="shared" si="5"/>
        <v>14156.46</v>
      </c>
      <c r="S291" s="22">
        <f t="shared" si="6"/>
        <v>14149</v>
      </c>
      <c r="T291" s="18">
        <f t="shared" si="7"/>
        <v>-7.4599999999991269</v>
      </c>
      <c r="U291" s="18">
        <f t="shared" si="8"/>
        <v>4645.1400000000012</v>
      </c>
      <c r="V291" s="18">
        <f t="shared" si="9"/>
        <v>3936.5593220338997</v>
      </c>
      <c r="W291" s="24">
        <f t="shared" si="10"/>
        <v>0.49660140305713379</v>
      </c>
      <c r="X291" s="22"/>
    </row>
    <row r="292" spans="1:24" x14ac:dyDescent="0.25">
      <c r="A292" s="9" t="s">
        <v>24</v>
      </c>
      <c r="B292" s="9" t="s">
        <v>58</v>
      </c>
      <c r="C292" s="10"/>
      <c r="D292" s="9" t="s">
        <v>544</v>
      </c>
      <c r="E292" s="9" t="s">
        <v>545</v>
      </c>
      <c r="F292" s="12">
        <v>1</v>
      </c>
      <c r="G292" s="14">
        <v>9155</v>
      </c>
      <c r="H292" s="18">
        <f t="shared" si="0"/>
        <v>9155</v>
      </c>
      <c r="I292" s="19">
        <v>0.18</v>
      </c>
      <c r="J292" s="18">
        <f t="shared" si="1"/>
        <v>10802.9</v>
      </c>
      <c r="K292" s="18">
        <v>11537</v>
      </c>
      <c r="L292" s="18">
        <f t="shared" si="2"/>
        <v>11537</v>
      </c>
      <c r="M292" s="18">
        <f t="shared" si="3"/>
        <v>13613.66</v>
      </c>
      <c r="N292" s="12">
        <v>3000</v>
      </c>
      <c r="O292" s="19">
        <v>0.18</v>
      </c>
      <c r="P292" s="18">
        <f t="shared" si="4"/>
        <v>3540</v>
      </c>
      <c r="Q292" s="12">
        <v>1800</v>
      </c>
      <c r="R292" s="18">
        <f t="shared" si="5"/>
        <v>17153.66</v>
      </c>
      <c r="S292" s="22">
        <f t="shared" si="6"/>
        <v>17149</v>
      </c>
      <c r="T292" s="18">
        <f t="shared" si="7"/>
        <v>-4.6599999999998545</v>
      </c>
      <c r="U292" s="18">
        <f t="shared" si="8"/>
        <v>4546.1000000000004</v>
      </c>
      <c r="V292" s="18">
        <f t="shared" si="9"/>
        <v>3852.6271186440681</v>
      </c>
      <c r="W292" s="24">
        <f t="shared" si="10"/>
        <v>0.42082218663507026</v>
      </c>
      <c r="X292" s="22"/>
    </row>
    <row r="293" spans="1:24" x14ac:dyDescent="0.25">
      <c r="A293" s="9" t="s">
        <v>24</v>
      </c>
      <c r="B293" s="9" t="s">
        <v>150</v>
      </c>
      <c r="C293" s="10"/>
      <c r="D293" s="9" t="s">
        <v>546</v>
      </c>
      <c r="E293" s="9" t="s">
        <v>547</v>
      </c>
      <c r="F293" s="12">
        <v>1</v>
      </c>
      <c r="G293" s="14">
        <v>5728</v>
      </c>
      <c r="H293" s="18">
        <f t="shared" si="0"/>
        <v>5728</v>
      </c>
      <c r="I293" s="19">
        <v>0.18</v>
      </c>
      <c r="J293" s="18">
        <f t="shared" si="1"/>
        <v>6759.04</v>
      </c>
      <c r="K293" s="18">
        <v>7139</v>
      </c>
      <c r="L293" s="18">
        <f t="shared" si="2"/>
        <v>7139</v>
      </c>
      <c r="M293" s="18">
        <f t="shared" si="3"/>
        <v>8424.02</v>
      </c>
      <c r="N293" s="12">
        <v>1500</v>
      </c>
      <c r="O293" s="19">
        <v>0.18</v>
      </c>
      <c r="P293" s="18">
        <f t="shared" si="4"/>
        <v>1770</v>
      </c>
      <c r="Q293" s="12">
        <v>150</v>
      </c>
      <c r="R293" s="18">
        <f t="shared" si="5"/>
        <v>10194.02</v>
      </c>
      <c r="S293" s="22">
        <f t="shared" si="6"/>
        <v>10199</v>
      </c>
      <c r="T293" s="18">
        <f t="shared" si="7"/>
        <v>4.9799999999995634</v>
      </c>
      <c r="U293" s="18">
        <f t="shared" si="8"/>
        <v>3289.96</v>
      </c>
      <c r="V293" s="18">
        <f t="shared" si="9"/>
        <v>2788.1016949152545</v>
      </c>
      <c r="W293" s="24">
        <f t="shared" si="10"/>
        <v>0.48674959757598718</v>
      </c>
      <c r="X293" s="22"/>
    </row>
    <row r="294" spans="1:24" x14ac:dyDescent="0.25">
      <c r="A294" s="9" t="s">
        <v>24</v>
      </c>
      <c r="B294" s="9" t="s">
        <v>150</v>
      </c>
      <c r="C294" s="10"/>
      <c r="D294" s="9" t="s">
        <v>546</v>
      </c>
      <c r="E294" s="9" t="s">
        <v>548</v>
      </c>
      <c r="F294" s="12">
        <v>1</v>
      </c>
      <c r="G294" s="14">
        <v>0</v>
      </c>
      <c r="H294" s="18">
        <f t="shared" si="0"/>
        <v>0</v>
      </c>
      <c r="I294" s="19">
        <v>0.18</v>
      </c>
      <c r="J294" s="18">
        <f t="shared" si="1"/>
        <v>0</v>
      </c>
      <c r="K294" s="18">
        <v>0</v>
      </c>
      <c r="L294" s="18">
        <f t="shared" si="2"/>
        <v>0</v>
      </c>
      <c r="M294" s="18">
        <f t="shared" si="3"/>
        <v>0</v>
      </c>
      <c r="N294" s="12">
        <v>0</v>
      </c>
      <c r="O294" s="19">
        <v>0.18</v>
      </c>
      <c r="P294" s="18">
        <f t="shared" si="4"/>
        <v>0</v>
      </c>
      <c r="Q294" s="12">
        <v>0</v>
      </c>
      <c r="R294" s="18">
        <f t="shared" si="5"/>
        <v>0</v>
      </c>
      <c r="S294" s="22">
        <f t="shared" si="6"/>
        <v>-1</v>
      </c>
      <c r="T294" s="18">
        <f t="shared" si="7"/>
        <v>-1</v>
      </c>
      <c r="U294" s="18">
        <f t="shared" si="8"/>
        <v>-1</v>
      </c>
      <c r="V294" s="18">
        <f t="shared" si="9"/>
        <v>-0.84745762711864414</v>
      </c>
      <c r="W294" s="24" t="e">
        <f t="shared" si="10"/>
        <v>#DIV/0!</v>
      </c>
      <c r="X294" s="22"/>
    </row>
    <row r="295" spans="1:24" x14ac:dyDescent="0.25">
      <c r="A295" s="9" t="s">
        <v>24</v>
      </c>
      <c r="B295" s="9" t="s">
        <v>150</v>
      </c>
      <c r="C295" s="10"/>
      <c r="D295" s="9" t="s">
        <v>546</v>
      </c>
      <c r="E295" s="9" t="s">
        <v>550</v>
      </c>
      <c r="F295" s="12">
        <v>1</v>
      </c>
      <c r="G295" s="14">
        <v>5728</v>
      </c>
      <c r="H295" s="18">
        <f t="shared" si="0"/>
        <v>5728</v>
      </c>
      <c r="I295" s="19">
        <v>0.18</v>
      </c>
      <c r="J295" s="18">
        <f t="shared" si="1"/>
        <v>6759.04</v>
      </c>
      <c r="K295" s="18">
        <v>7139</v>
      </c>
      <c r="L295" s="18">
        <f t="shared" si="2"/>
        <v>7139</v>
      </c>
      <c r="M295" s="18">
        <f t="shared" si="3"/>
        <v>8424.02</v>
      </c>
      <c r="N295" s="12">
        <v>1500</v>
      </c>
      <c r="O295" s="19">
        <v>0.18</v>
      </c>
      <c r="P295" s="18">
        <f t="shared" si="4"/>
        <v>1770</v>
      </c>
      <c r="Q295" s="12">
        <v>150</v>
      </c>
      <c r="R295" s="18">
        <f t="shared" si="5"/>
        <v>10194.02</v>
      </c>
      <c r="S295" s="22">
        <f t="shared" si="6"/>
        <v>10199</v>
      </c>
      <c r="T295" s="18">
        <f t="shared" si="7"/>
        <v>4.9799999999995634</v>
      </c>
      <c r="U295" s="18">
        <f t="shared" si="8"/>
        <v>3289.96</v>
      </c>
      <c r="V295" s="18">
        <f t="shared" si="9"/>
        <v>2788.1016949152545</v>
      </c>
      <c r="W295" s="24">
        <f t="shared" si="10"/>
        <v>0.48674959757598718</v>
      </c>
      <c r="X295" s="22"/>
    </row>
    <row r="296" spans="1:24" x14ac:dyDescent="0.25">
      <c r="A296" s="9" t="s">
        <v>24</v>
      </c>
      <c r="B296" s="9" t="s">
        <v>150</v>
      </c>
      <c r="C296" s="10"/>
      <c r="D296" s="9" t="s">
        <v>546</v>
      </c>
      <c r="E296" s="9" t="s">
        <v>551</v>
      </c>
      <c r="F296" s="12">
        <v>1</v>
      </c>
      <c r="G296" s="14">
        <v>5728</v>
      </c>
      <c r="H296" s="18">
        <f t="shared" si="0"/>
        <v>5728</v>
      </c>
      <c r="I296" s="19">
        <v>0.18</v>
      </c>
      <c r="J296" s="18">
        <f t="shared" si="1"/>
        <v>6759.04</v>
      </c>
      <c r="K296" s="18">
        <v>7139</v>
      </c>
      <c r="L296" s="18">
        <f t="shared" si="2"/>
        <v>7139</v>
      </c>
      <c r="M296" s="18">
        <f t="shared" si="3"/>
        <v>8424.02</v>
      </c>
      <c r="N296" s="12">
        <v>1500</v>
      </c>
      <c r="O296" s="19">
        <v>0.18</v>
      </c>
      <c r="P296" s="18">
        <f t="shared" si="4"/>
        <v>1770</v>
      </c>
      <c r="Q296" s="12">
        <v>150</v>
      </c>
      <c r="R296" s="18">
        <f t="shared" si="5"/>
        <v>10194.02</v>
      </c>
      <c r="S296" s="22">
        <f t="shared" si="6"/>
        <v>10199</v>
      </c>
      <c r="T296" s="18">
        <f t="shared" si="7"/>
        <v>4.9799999999995634</v>
      </c>
      <c r="U296" s="18">
        <f t="shared" si="8"/>
        <v>3289.96</v>
      </c>
      <c r="V296" s="18">
        <f t="shared" si="9"/>
        <v>2788.1016949152545</v>
      </c>
      <c r="W296" s="24">
        <f t="shared" si="10"/>
        <v>0.48674959757598718</v>
      </c>
      <c r="X296" s="22"/>
    </row>
    <row r="297" spans="1:24" x14ac:dyDescent="0.25">
      <c r="A297" s="9" t="s">
        <v>24</v>
      </c>
      <c r="B297" s="9" t="s">
        <v>81</v>
      </c>
      <c r="C297" s="10"/>
      <c r="D297" s="9" t="s">
        <v>552</v>
      </c>
      <c r="E297" s="9" t="s">
        <v>553</v>
      </c>
      <c r="F297" s="12">
        <v>1</v>
      </c>
      <c r="G297" s="14">
        <v>6905</v>
      </c>
      <c r="H297" s="18">
        <f t="shared" si="0"/>
        <v>6905</v>
      </c>
      <c r="I297" s="19">
        <v>0.18</v>
      </c>
      <c r="J297" s="18">
        <f t="shared" si="1"/>
        <v>8147.9</v>
      </c>
      <c r="K297" s="18">
        <v>8701</v>
      </c>
      <c r="L297" s="18">
        <f t="shared" si="2"/>
        <v>8701</v>
      </c>
      <c r="M297" s="18">
        <f t="shared" si="3"/>
        <v>10267.18</v>
      </c>
      <c r="N297" s="12">
        <v>1000</v>
      </c>
      <c r="O297" s="19">
        <v>0.18</v>
      </c>
      <c r="P297" s="18">
        <f t="shared" si="4"/>
        <v>1180</v>
      </c>
      <c r="Q297" s="12">
        <v>200</v>
      </c>
      <c r="R297" s="18">
        <f t="shared" si="5"/>
        <v>11447.18</v>
      </c>
      <c r="S297" s="22">
        <f t="shared" si="6"/>
        <v>11449</v>
      </c>
      <c r="T297" s="18">
        <f t="shared" si="7"/>
        <v>1.819999999999709</v>
      </c>
      <c r="U297" s="18">
        <f t="shared" si="8"/>
        <v>3101.1000000000004</v>
      </c>
      <c r="V297" s="18">
        <f t="shared" si="9"/>
        <v>2628.0508474576277</v>
      </c>
      <c r="W297" s="24">
        <f t="shared" si="10"/>
        <v>0.38060113648915678</v>
      </c>
      <c r="X297" s="22"/>
    </row>
    <row r="298" spans="1:24" x14ac:dyDescent="0.25">
      <c r="A298" s="9" t="s">
        <v>24</v>
      </c>
      <c r="B298" s="9" t="s">
        <v>81</v>
      </c>
      <c r="C298" s="10"/>
      <c r="D298" s="9" t="s">
        <v>554</v>
      </c>
      <c r="E298" s="9" t="s">
        <v>555</v>
      </c>
      <c r="F298" s="12">
        <v>1</v>
      </c>
      <c r="G298" s="14">
        <v>6703</v>
      </c>
      <c r="H298" s="18">
        <f t="shared" si="0"/>
        <v>6703</v>
      </c>
      <c r="I298" s="19">
        <v>0.18</v>
      </c>
      <c r="J298" s="18">
        <f t="shared" si="1"/>
        <v>7909.54</v>
      </c>
      <c r="K298" s="18">
        <v>8447</v>
      </c>
      <c r="L298" s="18">
        <f t="shared" si="2"/>
        <v>8447</v>
      </c>
      <c r="M298" s="18">
        <f t="shared" si="3"/>
        <v>9967.4599999999991</v>
      </c>
      <c r="N298" s="12">
        <v>1000</v>
      </c>
      <c r="O298" s="19">
        <v>0.18</v>
      </c>
      <c r="P298" s="18">
        <f t="shared" si="4"/>
        <v>1180</v>
      </c>
      <c r="Q298" s="12">
        <v>200</v>
      </c>
      <c r="R298" s="18">
        <f t="shared" si="5"/>
        <v>11147.46</v>
      </c>
      <c r="S298" s="22">
        <f t="shared" si="6"/>
        <v>11149</v>
      </c>
      <c r="T298" s="18">
        <f t="shared" si="7"/>
        <v>1.5400000000008731</v>
      </c>
      <c r="U298" s="18">
        <f t="shared" si="8"/>
        <v>3039.46</v>
      </c>
      <c r="V298" s="18">
        <f t="shared" si="9"/>
        <v>2575.8135593220341</v>
      </c>
      <c r="W298" s="24">
        <f t="shared" si="10"/>
        <v>0.3842777203225472</v>
      </c>
      <c r="X298" s="22"/>
    </row>
    <row r="299" spans="1:24" x14ac:dyDescent="0.25">
      <c r="A299" s="9" t="s">
        <v>24</v>
      </c>
      <c r="B299" s="9" t="s">
        <v>52</v>
      </c>
      <c r="C299" s="10"/>
      <c r="D299" s="9" t="s">
        <v>556</v>
      </c>
      <c r="E299" s="9" t="s">
        <v>557</v>
      </c>
      <c r="F299" s="12">
        <v>1</v>
      </c>
      <c r="G299" s="14">
        <v>6332</v>
      </c>
      <c r="H299" s="18">
        <f t="shared" si="0"/>
        <v>6332</v>
      </c>
      <c r="I299" s="19">
        <v>0.18</v>
      </c>
      <c r="J299" s="18">
        <f t="shared" si="1"/>
        <v>7471.7599999999993</v>
      </c>
      <c r="K299" s="18">
        <v>7979</v>
      </c>
      <c r="L299" s="18">
        <f t="shared" si="2"/>
        <v>7979</v>
      </c>
      <c r="M299" s="18">
        <f t="shared" si="3"/>
        <v>9415.2199999999993</v>
      </c>
      <c r="N299" s="12">
        <v>1500</v>
      </c>
      <c r="O299" s="19">
        <v>0.18</v>
      </c>
      <c r="P299" s="18">
        <f t="shared" si="4"/>
        <v>1770</v>
      </c>
      <c r="Q299" s="12">
        <v>150</v>
      </c>
      <c r="R299" s="18">
        <f t="shared" si="5"/>
        <v>11185.22</v>
      </c>
      <c r="S299" s="22">
        <f t="shared" si="6"/>
        <v>11199</v>
      </c>
      <c r="T299" s="18">
        <f t="shared" si="7"/>
        <v>13.780000000000655</v>
      </c>
      <c r="U299" s="18">
        <f t="shared" si="8"/>
        <v>3577.2400000000007</v>
      </c>
      <c r="V299" s="18">
        <f t="shared" si="9"/>
        <v>3031.5593220338992</v>
      </c>
      <c r="W299" s="24">
        <f t="shared" si="10"/>
        <v>0.47876805464843641</v>
      </c>
      <c r="X299" s="22"/>
    </row>
    <row r="300" spans="1:24" x14ac:dyDescent="0.25">
      <c r="A300" s="9" t="s">
        <v>24</v>
      </c>
      <c r="B300" s="9" t="s">
        <v>52</v>
      </c>
      <c r="C300" s="10"/>
      <c r="D300" s="9" t="s">
        <v>556</v>
      </c>
      <c r="E300" s="9" t="s">
        <v>558</v>
      </c>
      <c r="F300" s="12">
        <v>1</v>
      </c>
      <c r="G300" s="14">
        <v>6704</v>
      </c>
      <c r="H300" s="18">
        <f t="shared" si="0"/>
        <v>6704</v>
      </c>
      <c r="I300" s="19">
        <v>0.18</v>
      </c>
      <c r="J300" s="18">
        <f t="shared" si="1"/>
        <v>7910.7199999999993</v>
      </c>
      <c r="K300" s="18">
        <v>8448</v>
      </c>
      <c r="L300" s="18">
        <f t="shared" si="2"/>
        <v>8448</v>
      </c>
      <c r="M300" s="18">
        <f t="shared" si="3"/>
        <v>9968.64</v>
      </c>
      <c r="N300" s="12">
        <v>1500</v>
      </c>
      <c r="O300" s="19">
        <v>0.18</v>
      </c>
      <c r="P300" s="18">
        <f t="shared" si="4"/>
        <v>1770</v>
      </c>
      <c r="Q300" s="12">
        <v>150</v>
      </c>
      <c r="R300" s="18">
        <f t="shared" si="5"/>
        <v>11738.64</v>
      </c>
      <c r="S300" s="22">
        <f t="shared" si="6"/>
        <v>11749</v>
      </c>
      <c r="T300" s="18">
        <f t="shared" si="7"/>
        <v>10.360000000000582</v>
      </c>
      <c r="U300" s="18">
        <f t="shared" si="8"/>
        <v>3688.2800000000007</v>
      </c>
      <c r="V300" s="18">
        <f t="shared" si="9"/>
        <v>3125.6610169491532</v>
      </c>
      <c r="W300" s="24">
        <f t="shared" si="10"/>
        <v>0.46623821851866842</v>
      </c>
      <c r="X300" s="22"/>
    </row>
    <row r="301" spans="1:24" x14ac:dyDescent="0.25">
      <c r="A301" s="9" t="s">
        <v>24</v>
      </c>
      <c r="B301" s="9" t="s">
        <v>52</v>
      </c>
      <c r="C301" s="10"/>
      <c r="D301" s="9" t="s">
        <v>559</v>
      </c>
      <c r="E301" s="9" t="s">
        <v>560</v>
      </c>
      <c r="F301" s="12">
        <v>1</v>
      </c>
      <c r="G301" s="14">
        <v>6092</v>
      </c>
      <c r="H301" s="18">
        <f t="shared" si="0"/>
        <v>6092</v>
      </c>
      <c r="I301" s="19">
        <v>0.18</v>
      </c>
      <c r="J301" s="18">
        <f t="shared" si="1"/>
        <v>7188.5599999999995</v>
      </c>
      <c r="K301" s="18">
        <v>7676</v>
      </c>
      <c r="L301" s="18">
        <f t="shared" si="2"/>
        <v>7676</v>
      </c>
      <c r="M301" s="18">
        <f t="shared" si="3"/>
        <v>9057.68</v>
      </c>
      <c r="N301" s="12">
        <v>1500</v>
      </c>
      <c r="O301" s="19">
        <v>0.18</v>
      </c>
      <c r="P301" s="18">
        <f t="shared" si="4"/>
        <v>1770</v>
      </c>
      <c r="Q301" s="12">
        <v>150</v>
      </c>
      <c r="R301" s="18">
        <f t="shared" si="5"/>
        <v>10827.68</v>
      </c>
      <c r="S301" s="22">
        <f t="shared" si="6"/>
        <v>10849</v>
      </c>
      <c r="T301" s="18">
        <f t="shared" si="7"/>
        <v>21.319999999999709</v>
      </c>
      <c r="U301" s="18">
        <f t="shared" si="8"/>
        <v>3510.4400000000005</v>
      </c>
      <c r="V301" s="18">
        <f t="shared" si="9"/>
        <v>2974.9491525423737</v>
      </c>
      <c r="W301" s="24">
        <f t="shared" si="10"/>
        <v>0.48833702438318677</v>
      </c>
      <c r="X301" s="22"/>
    </row>
    <row r="302" spans="1:24" x14ac:dyDescent="0.25">
      <c r="A302" s="9" t="s">
        <v>24</v>
      </c>
      <c r="B302" s="9" t="s">
        <v>52</v>
      </c>
      <c r="C302" s="10"/>
      <c r="D302" s="9" t="s">
        <v>561</v>
      </c>
      <c r="E302" s="9" t="s">
        <v>562</v>
      </c>
      <c r="F302" s="12">
        <v>1</v>
      </c>
      <c r="G302" s="14">
        <v>6430</v>
      </c>
      <c r="H302" s="18">
        <f t="shared" si="0"/>
        <v>6430</v>
      </c>
      <c r="I302" s="19">
        <v>0.18</v>
      </c>
      <c r="J302" s="18">
        <f t="shared" si="1"/>
        <v>7587.4</v>
      </c>
      <c r="K302" s="18">
        <v>8103</v>
      </c>
      <c r="L302" s="18">
        <f t="shared" si="2"/>
        <v>8103</v>
      </c>
      <c r="M302" s="18">
        <f t="shared" si="3"/>
        <v>9561.5399999999991</v>
      </c>
      <c r="N302" s="12">
        <v>1500</v>
      </c>
      <c r="O302" s="19">
        <v>0.18</v>
      </c>
      <c r="P302" s="18">
        <f t="shared" si="4"/>
        <v>1770</v>
      </c>
      <c r="Q302" s="12">
        <v>150</v>
      </c>
      <c r="R302" s="18">
        <f t="shared" si="5"/>
        <v>11331.539999999999</v>
      </c>
      <c r="S302" s="22">
        <f t="shared" si="6"/>
        <v>11349</v>
      </c>
      <c r="T302" s="18">
        <f t="shared" si="7"/>
        <v>17.460000000000946</v>
      </c>
      <c r="U302" s="18">
        <f t="shared" si="8"/>
        <v>3611.6000000000004</v>
      </c>
      <c r="V302" s="18">
        <f t="shared" si="9"/>
        <v>3060.6779661016953</v>
      </c>
      <c r="W302" s="24">
        <f t="shared" si="10"/>
        <v>0.47599968368611123</v>
      </c>
      <c r="X302" s="22"/>
    </row>
    <row r="303" spans="1:24" x14ac:dyDescent="0.25">
      <c r="A303" s="9" t="s">
        <v>24</v>
      </c>
      <c r="B303" s="9" t="s">
        <v>52</v>
      </c>
      <c r="C303" s="10"/>
      <c r="D303" s="9" t="s">
        <v>563</v>
      </c>
      <c r="E303" s="9" t="s">
        <v>564</v>
      </c>
      <c r="F303" s="12">
        <v>1</v>
      </c>
      <c r="G303" s="14">
        <v>5540</v>
      </c>
      <c r="H303" s="18">
        <f t="shared" si="0"/>
        <v>5540</v>
      </c>
      <c r="I303" s="19">
        <v>0.18</v>
      </c>
      <c r="J303" s="18">
        <f t="shared" si="1"/>
        <v>6537.2</v>
      </c>
      <c r="K303" s="18">
        <v>6981</v>
      </c>
      <c r="L303" s="18">
        <f t="shared" si="2"/>
        <v>6981</v>
      </c>
      <c r="M303" s="18">
        <f t="shared" si="3"/>
        <v>8237.58</v>
      </c>
      <c r="N303" s="12">
        <v>1500</v>
      </c>
      <c r="O303" s="19">
        <v>0.18</v>
      </c>
      <c r="P303" s="18">
        <f t="shared" si="4"/>
        <v>1770</v>
      </c>
      <c r="Q303" s="12">
        <v>150</v>
      </c>
      <c r="R303" s="18">
        <f t="shared" si="5"/>
        <v>10007.58</v>
      </c>
      <c r="S303" s="22">
        <f t="shared" si="6"/>
        <v>9999</v>
      </c>
      <c r="T303" s="18">
        <f t="shared" si="7"/>
        <v>-8.5799999999999272</v>
      </c>
      <c r="U303" s="18">
        <f t="shared" si="8"/>
        <v>3311.8</v>
      </c>
      <c r="V303" s="18">
        <f t="shared" si="9"/>
        <v>2806.6101694915255</v>
      </c>
      <c r="W303" s="24">
        <f t="shared" si="10"/>
        <v>0.50660833384323567</v>
      </c>
      <c r="X303" s="22"/>
    </row>
    <row r="304" spans="1:24" x14ac:dyDescent="0.25">
      <c r="A304" s="9" t="s">
        <v>24</v>
      </c>
      <c r="B304" s="9" t="s">
        <v>134</v>
      </c>
      <c r="C304" s="10"/>
      <c r="D304" s="9" t="s">
        <v>565</v>
      </c>
      <c r="E304" s="9" t="s">
        <v>566</v>
      </c>
      <c r="F304" s="12">
        <v>1</v>
      </c>
      <c r="G304" s="14">
        <v>4646</v>
      </c>
      <c r="H304" s="18">
        <f t="shared" si="0"/>
        <v>4646</v>
      </c>
      <c r="I304" s="19">
        <v>0.18</v>
      </c>
      <c r="J304" s="18">
        <f t="shared" si="1"/>
        <v>5482.28</v>
      </c>
      <c r="K304" s="18">
        <v>5791</v>
      </c>
      <c r="L304" s="18">
        <f t="shared" si="2"/>
        <v>5791</v>
      </c>
      <c r="M304" s="18">
        <f t="shared" si="3"/>
        <v>6833.3799999999992</v>
      </c>
      <c r="N304" s="12">
        <v>1500</v>
      </c>
      <c r="O304" s="19">
        <v>0.18</v>
      </c>
      <c r="P304" s="18">
        <f t="shared" si="4"/>
        <v>1770</v>
      </c>
      <c r="Q304" s="12">
        <v>150</v>
      </c>
      <c r="R304" s="18">
        <f t="shared" si="5"/>
        <v>8603.3799999999992</v>
      </c>
      <c r="S304" s="22">
        <f t="shared" si="6"/>
        <v>8599</v>
      </c>
      <c r="T304" s="18">
        <f t="shared" si="7"/>
        <v>-4.3799999999991996</v>
      </c>
      <c r="U304" s="18">
        <f t="shared" si="8"/>
        <v>2966.7200000000003</v>
      </c>
      <c r="V304" s="18">
        <f t="shared" si="9"/>
        <v>2514.1694915254243</v>
      </c>
      <c r="W304" s="24">
        <f t="shared" si="10"/>
        <v>0.5411471139744779</v>
      </c>
      <c r="X304" s="22"/>
    </row>
    <row r="305" spans="1:24" x14ac:dyDescent="0.25">
      <c r="A305" s="9" t="s">
        <v>24</v>
      </c>
      <c r="B305" s="9" t="s">
        <v>134</v>
      </c>
      <c r="C305" s="10"/>
      <c r="D305" s="9" t="s">
        <v>567</v>
      </c>
      <c r="E305" s="9" t="s">
        <v>568</v>
      </c>
      <c r="F305" s="12">
        <v>1</v>
      </c>
      <c r="G305" s="14">
        <v>5516</v>
      </c>
      <c r="H305" s="18">
        <f t="shared" si="0"/>
        <v>5516</v>
      </c>
      <c r="I305" s="19">
        <v>0.18</v>
      </c>
      <c r="J305" s="18">
        <f t="shared" si="1"/>
        <v>6508.88</v>
      </c>
      <c r="K305" s="18">
        <v>6875</v>
      </c>
      <c r="L305" s="18">
        <f t="shared" si="2"/>
        <v>6875</v>
      </c>
      <c r="M305" s="18">
        <f t="shared" si="3"/>
        <v>8112.5</v>
      </c>
      <c r="N305" s="12">
        <v>1500</v>
      </c>
      <c r="O305" s="19">
        <v>0.18</v>
      </c>
      <c r="P305" s="18">
        <f t="shared" si="4"/>
        <v>1770</v>
      </c>
      <c r="Q305" s="12">
        <v>150</v>
      </c>
      <c r="R305" s="18">
        <f t="shared" si="5"/>
        <v>9882.5</v>
      </c>
      <c r="S305" s="22">
        <f t="shared" si="6"/>
        <v>9899</v>
      </c>
      <c r="T305" s="18">
        <f t="shared" si="7"/>
        <v>16.5</v>
      </c>
      <c r="U305" s="18">
        <f t="shared" si="8"/>
        <v>3240.12</v>
      </c>
      <c r="V305" s="18">
        <f t="shared" si="9"/>
        <v>2745.8644067796613</v>
      </c>
      <c r="W305" s="24">
        <f t="shared" si="10"/>
        <v>0.49779992871277401</v>
      </c>
      <c r="X305" s="22"/>
    </row>
    <row r="306" spans="1:24" x14ac:dyDescent="0.25">
      <c r="A306" s="9" t="s">
        <v>24</v>
      </c>
      <c r="B306" s="9" t="s">
        <v>44</v>
      </c>
      <c r="C306" s="10"/>
      <c r="D306" s="9" t="s">
        <v>569</v>
      </c>
      <c r="E306" s="9" t="s">
        <v>570</v>
      </c>
      <c r="F306" s="12">
        <v>1</v>
      </c>
      <c r="G306" s="14">
        <v>5675</v>
      </c>
      <c r="H306" s="18">
        <f t="shared" si="0"/>
        <v>5675</v>
      </c>
      <c r="I306" s="19">
        <v>0.18</v>
      </c>
      <c r="J306" s="18">
        <f t="shared" si="1"/>
        <v>6696.5</v>
      </c>
      <c r="K306" s="18">
        <v>7514</v>
      </c>
      <c r="L306" s="18">
        <f t="shared" si="2"/>
        <v>7514</v>
      </c>
      <c r="M306" s="18">
        <f t="shared" si="3"/>
        <v>8866.52</v>
      </c>
      <c r="N306" s="12">
        <v>1500</v>
      </c>
      <c r="O306" s="19">
        <v>0.18</v>
      </c>
      <c r="P306" s="18">
        <f t="shared" si="4"/>
        <v>1770</v>
      </c>
      <c r="Q306" s="12">
        <v>200</v>
      </c>
      <c r="R306" s="18">
        <f t="shared" si="5"/>
        <v>10636.52</v>
      </c>
      <c r="S306" s="22">
        <f t="shared" si="6"/>
        <v>10649</v>
      </c>
      <c r="T306" s="18">
        <f t="shared" si="7"/>
        <v>12.479999999999563</v>
      </c>
      <c r="U306" s="18">
        <f t="shared" si="8"/>
        <v>3752.5</v>
      </c>
      <c r="V306" s="18">
        <f t="shared" si="9"/>
        <v>3180.0847457627119</v>
      </c>
      <c r="W306" s="24">
        <f t="shared" si="10"/>
        <v>0.5603673560815351</v>
      </c>
      <c r="X306" s="22"/>
    </row>
    <row r="307" spans="1:24" x14ac:dyDescent="0.25">
      <c r="A307" s="9" t="s">
        <v>99</v>
      </c>
      <c r="B307" s="9" t="s">
        <v>103</v>
      </c>
      <c r="C307" s="10"/>
      <c r="D307" s="9" t="s">
        <v>571</v>
      </c>
      <c r="E307" s="9" t="s">
        <v>572</v>
      </c>
      <c r="F307" s="12">
        <v>1</v>
      </c>
      <c r="G307" s="14">
        <v>1874</v>
      </c>
      <c r="H307" s="18">
        <f t="shared" si="0"/>
        <v>1874</v>
      </c>
      <c r="I307" s="19">
        <v>0.18</v>
      </c>
      <c r="J307" s="18">
        <f t="shared" si="1"/>
        <v>2211.3199999999997</v>
      </c>
      <c r="K307" s="18">
        <v>2361</v>
      </c>
      <c r="L307" s="18">
        <f t="shared" si="2"/>
        <v>2361</v>
      </c>
      <c r="M307" s="18">
        <f t="shared" si="3"/>
        <v>2785.98</v>
      </c>
      <c r="N307" s="12">
        <v>300</v>
      </c>
      <c r="O307" s="19">
        <v>0.18</v>
      </c>
      <c r="P307" s="18">
        <f t="shared" si="4"/>
        <v>354</v>
      </c>
      <c r="Q307" s="12">
        <v>75</v>
      </c>
      <c r="R307" s="18">
        <f t="shared" si="5"/>
        <v>3139.98</v>
      </c>
      <c r="S307" s="22">
        <f t="shared" si="6"/>
        <v>3149</v>
      </c>
      <c r="T307" s="18">
        <f t="shared" si="7"/>
        <v>9.0199999999999818</v>
      </c>
      <c r="U307" s="18">
        <f t="shared" si="8"/>
        <v>862.68000000000029</v>
      </c>
      <c r="V307" s="18">
        <f t="shared" si="9"/>
        <v>731.08474576271215</v>
      </c>
      <c r="W307" s="24">
        <f t="shared" si="10"/>
        <v>0.3901199283685764</v>
      </c>
      <c r="X307" s="22"/>
    </row>
    <row r="308" spans="1:24" x14ac:dyDescent="0.25">
      <c r="A308" s="9" t="s">
        <v>99</v>
      </c>
      <c r="B308" s="9" t="s">
        <v>103</v>
      </c>
      <c r="C308" s="10"/>
      <c r="D308" s="9" t="s">
        <v>573</v>
      </c>
      <c r="E308" s="9" t="s">
        <v>574</v>
      </c>
      <c r="F308" s="12">
        <v>1</v>
      </c>
      <c r="G308" s="14">
        <v>1851</v>
      </c>
      <c r="H308" s="18">
        <f t="shared" si="0"/>
        <v>1851</v>
      </c>
      <c r="I308" s="19">
        <v>0.18</v>
      </c>
      <c r="J308" s="18">
        <f t="shared" si="1"/>
        <v>2184.1799999999998</v>
      </c>
      <c r="K308" s="18">
        <v>2332</v>
      </c>
      <c r="L308" s="18">
        <f t="shared" si="2"/>
        <v>2332</v>
      </c>
      <c r="M308" s="18">
        <f t="shared" si="3"/>
        <v>2751.7599999999998</v>
      </c>
      <c r="N308" s="12">
        <v>300</v>
      </c>
      <c r="O308" s="19">
        <v>0.18</v>
      </c>
      <c r="P308" s="18">
        <f t="shared" si="4"/>
        <v>354</v>
      </c>
      <c r="Q308" s="12">
        <v>75</v>
      </c>
      <c r="R308" s="18">
        <f t="shared" si="5"/>
        <v>3105.7599999999998</v>
      </c>
      <c r="S308" s="22">
        <f t="shared" si="6"/>
        <v>3099</v>
      </c>
      <c r="T308" s="18">
        <f t="shared" si="7"/>
        <v>-6.7599999999997635</v>
      </c>
      <c r="U308" s="18">
        <f t="shared" si="8"/>
        <v>839.82000000000016</v>
      </c>
      <c r="V308" s="18">
        <f t="shared" si="9"/>
        <v>711.7118644067798</v>
      </c>
      <c r="W308" s="24">
        <f t="shared" si="10"/>
        <v>0.38450127736725004</v>
      </c>
      <c r="X308" s="22"/>
    </row>
    <row r="309" spans="1:24" x14ac:dyDescent="0.25">
      <c r="A309" s="9" t="s">
        <v>24</v>
      </c>
      <c r="B309" s="9" t="s">
        <v>44</v>
      </c>
      <c r="C309" s="10"/>
      <c r="D309" s="9" t="s">
        <v>575</v>
      </c>
      <c r="E309" s="9" t="s">
        <v>576</v>
      </c>
      <c r="F309" s="12">
        <v>1</v>
      </c>
      <c r="G309" s="14">
        <v>5882</v>
      </c>
      <c r="H309" s="18">
        <f t="shared" si="0"/>
        <v>5882</v>
      </c>
      <c r="I309" s="19">
        <v>0.18</v>
      </c>
      <c r="J309" s="18">
        <f t="shared" si="1"/>
        <v>6940.7599999999993</v>
      </c>
      <c r="K309" s="18">
        <v>7789</v>
      </c>
      <c r="L309" s="18">
        <f t="shared" si="2"/>
        <v>7789</v>
      </c>
      <c r="M309" s="18">
        <f t="shared" si="3"/>
        <v>9191.0199999999986</v>
      </c>
      <c r="N309" s="12">
        <v>500</v>
      </c>
      <c r="O309" s="19">
        <v>0.18</v>
      </c>
      <c r="P309" s="18">
        <f t="shared" si="4"/>
        <v>590</v>
      </c>
      <c r="Q309" s="12">
        <v>50</v>
      </c>
      <c r="R309" s="18">
        <f t="shared" si="5"/>
        <v>9781.0199999999986</v>
      </c>
      <c r="S309" s="22">
        <f t="shared" si="6"/>
        <v>9799</v>
      </c>
      <c r="T309" s="18">
        <f t="shared" si="7"/>
        <v>17.980000000001382</v>
      </c>
      <c r="U309" s="18">
        <f t="shared" si="8"/>
        <v>2808.2400000000007</v>
      </c>
      <c r="V309" s="18">
        <f t="shared" si="9"/>
        <v>2379.8644067796617</v>
      </c>
      <c r="W309" s="24">
        <f t="shared" si="10"/>
        <v>0.40460122522605607</v>
      </c>
      <c r="X309" s="22"/>
    </row>
    <row r="310" spans="1:24" x14ac:dyDescent="0.25">
      <c r="A310" s="9" t="s">
        <v>24</v>
      </c>
      <c r="B310" s="9" t="s">
        <v>43</v>
      </c>
      <c r="C310" s="10"/>
      <c r="D310" s="9" t="s">
        <v>577</v>
      </c>
      <c r="E310" s="9" t="s">
        <v>578</v>
      </c>
      <c r="F310" s="12">
        <v>1</v>
      </c>
      <c r="G310" s="14">
        <v>14286</v>
      </c>
      <c r="H310" s="18">
        <f t="shared" si="0"/>
        <v>14286</v>
      </c>
      <c r="I310" s="19">
        <v>0.18</v>
      </c>
      <c r="J310" s="18">
        <f t="shared" si="1"/>
        <v>16857.48</v>
      </c>
      <c r="K310" s="18">
        <v>17804</v>
      </c>
      <c r="L310" s="18">
        <f t="shared" si="2"/>
        <v>17804</v>
      </c>
      <c r="M310" s="18">
        <f t="shared" si="3"/>
        <v>21008.719999999998</v>
      </c>
      <c r="N310" s="12">
        <v>650</v>
      </c>
      <c r="O310" s="19">
        <v>0.18</v>
      </c>
      <c r="P310" s="18">
        <f t="shared" si="4"/>
        <v>767</v>
      </c>
      <c r="Q310" s="12">
        <v>100</v>
      </c>
      <c r="R310" s="18">
        <f t="shared" si="5"/>
        <v>21775.719999999998</v>
      </c>
      <c r="S310" s="22">
        <f t="shared" si="6"/>
        <v>21799</v>
      </c>
      <c r="T310" s="18">
        <f t="shared" si="7"/>
        <v>23.280000000002474</v>
      </c>
      <c r="U310" s="18">
        <f t="shared" si="8"/>
        <v>4841.5200000000004</v>
      </c>
      <c r="V310" s="18">
        <f t="shared" si="9"/>
        <v>4102.9830508474579</v>
      </c>
      <c r="W310" s="24">
        <f t="shared" si="10"/>
        <v>0.28720306949793212</v>
      </c>
      <c r="X310" s="22"/>
    </row>
    <row r="311" spans="1:24" x14ac:dyDescent="0.25">
      <c r="A311" s="9" t="s">
        <v>24</v>
      </c>
      <c r="B311" s="9" t="s">
        <v>40</v>
      </c>
      <c r="C311" s="10"/>
      <c r="D311" s="9" t="s">
        <v>577</v>
      </c>
      <c r="E311" s="9" t="s">
        <v>579</v>
      </c>
      <c r="F311" s="12">
        <v>1</v>
      </c>
      <c r="G311" s="14">
        <v>15126</v>
      </c>
      <c r="H311" s="18">
        <f t="shared" si="0"/>
        <v>15126</v>
      </c>
      <c r="I311" s="19">
        <v>0.18</v>
      </c>
      <c r="J311" s="18">
        <f t="shared" si="1"/>
        <v>17848.68</v>
      </c>
      <c r="K311" s="18">
        <v>17804</v>
      </c>
      <c r="L311" s="18">
        <f t="shared" si="2"/>
        <v>17804</v>
      </c>
      <c r="M311" s="18">
        <f t="shared" si="3"/>
        <v>21008.719999999998</v>
      </c>
      <c r="N311" s="12">
        <v>650</v>
      </c>
      <c r="O311" s="19">
        <v>0.18</v>
      </c>
      <c r="P311" s="18">
        <f t="shared" si="4"/>
        <v>767</v>
      </c>
      <c r="Q311" s="12">
        <v>100</v>
      </c>
      <c r="R311" s="18">
        <f t="shared" si="5"/>
        <v>21775.719999999998</v>
      </c>
      <c r="S311" s="22">
        <f t="shared" si="6"/>
        <v>21799</v>
      </c>
      <c r="T311" s="18">
        <f t="shared" si="7"/>
        <v>23.280000000002474</v>
      </c>
      <c r="U311" s="18">
        <f t="shared" si="8"/>
        <v>3850.3199999999997</v>
      </c>
      <c r="V311" s="18">
        <f t="shared" si="9"/>
        <v>3262.9830508474574</v>
      </c>
      <c r="W311" s="24">
        <f t="shared" si="10"/>
        <v>0.21572015409542888</v>
      </c>
      <c r="X311" s="22"/>
    </row>
    <row r="312" spans="1:24" x14ac:dyDescent="0.25">
      <c r="A312" s="9" t="s">
        <v>24</v>
      </c>
      <c r="B312" s="9" t="s">
        <v>63</v>
      </c>
      <c r="C312" s="10"/>
      <c r="D312" s="9" t="s">
        <v>577</v>
      </c>
      <c r="E312" s="9" t="s">
        <v>580</v>
      </c>
      <c r="F312" s="12">
        <v>1</v>
      </c>
      <c r="G312" s="14">
        <v>11829</v>
      </c>
      <c r="H312" s="18">
        <f t="shared" si="0"/>
        <v>11829</v>
      </c>
      <c r="I312" s="19">
        <v>0.18</v>
      </c>
      <c r="J312" s="18">
        <f t="shared" si="1"/>
        <v>13958.22</v>
      </c>
      <c r="K312" s="18">
        <v>14907</v>
      </c>
      <c r="L312" s="18">
        <f t="shared" si="2"/>
        <v>14907</v>
      </c>
      <c r="M312" s="18">
        <f t="shared" si="3"/>
        <v>17590.259999999998</v>
      </c>
      <c r="N312" s="12">
        <v>650</v>
      </c>
      <c r="O312" s="19">
        <v>0.18</v>
      </c>
      <c r="P312" s="18">
        <f t="shared" si="4"/>
        <v>767</v>
      </c>
      <c r="Q312" s="12">
        <v>100</v>
      </c>
      <c r="R312" s="18">
        <f t="shared" si="5"/>
        <v>18357.259999999998</v>
      </c>
      <c r="S312" s="22">
        <f t="shared" si="6"/>
        <v>18349</v>
      </c>
      <c r="T312" s="18">
        <f t="shared" si="7"/>
        <v>-8.2599999999983993</v>
      </c>
      <c r="U312" s="18">
        <f t="shared" si="8"/>
        <v>4290.7800000000007</v>
      </c>
      <c r="V312" s="18">
        <f t="shared" si="9"/>
        <v>3636.2542372881362</v>
      </c>
      <c r="W312" s="24">
        <f t="shared" si="10"/>
        <v>0.30740166009706116</v>
      </c>
      <c r="X312" s="22"/>
    </row>
    <row r="313" spans="1:24" x14ac:dyDescent="0.25">
      <c r="A313" s="9" t="s">
        <v>24</v>
      </c>
      <c r="B313" s="9" t="s">
        <v>137</v>
      </c>
      <c r="C313" s="10"/>
      <c r="D313" s="9" t="s">
        <v>581</v>
      </c>
      <c r="E313" s="9" t="s">
        <v>582</v>
      </c>
      <c r="F313" s="12">
        <v>1</v>
      </c>
      <c r="G313" s="14">
        <v>1401</v>
      </c>
      <c r="H313" s="18">
        <f t="shared" si="0"/>
        <v>1401</v>
      </c>
      <c r="I313" s="19">
        <v>0.18</v>
      </c>
      <c r="J313" s="18">
        <f t="shared" si="1"/>
        <v>1653.1799999999998</v>
      </c>
      <c r="K313" s="18">
        <v>1765</v>
      </c>
      <c r="L313" s="18">
        <f t="shared" si="2"/>
        <v>1765</v>
      </c>
      <c r="M313" s="18">
        <f t="shared" si="3"/>
        <v>2082.6999999999998</v>
      </c>
      <c r="N313" s="12">
        <v>100</v>
      </c>
      <c r="O313" s="19">
        <v>0.18</v>
      </c>
      <c r="P313" s="18">
        <f t="shared" si="4"/>
        <v>118</v>
      </c>
      <c r="Q313" s="12">
        <v>20</v>
      </c>
      <c r="R313" s="18">
        <f t="shared" si="5"/>
        <v>2200.6999999999998</v>
      </c>
      <c r="S313" s="22">
        <f t="shared" si="6"/>
        <v>2199</v>
      </c>
      <c r="T313" s="18">
        <f t="shared" si="7"/>
        <v>-1.6999999999998181</v>
      </c>
      <c r="U313" s="18">
        <f t="shared" si="8"/>
        <v>525.82000000000016</v>
      </c>
      <c r="V313" s="18">
        <f t="shared" si="9"/>
        <v>445.6101694915256</v>
      </c>
      <c r="W313" s="24">
        <f t="shared" si="10"/>
        <v>0.31806578835940441</v>
      </c>
      <c r="X313" s="22"/>
    </row>
    <row r="314" spans="1:24" x14ac:dyDescent="0.25">
      <c r="A314" s="9" t="s">
        <v>24</v>
      </c>
      <c r="B314" s="9" t="s">
        <v>63</v>
      </c>
      <c r="C314" s="10"/>
      <c r="D314" s="9" t="s">
        <v>581</v>
      </c>
      <c r="E314" s="9" t="s">
        <v>583</v>
      </c>
      <c r="F314" s="12">
        <v>1</v>
      </c>
      <c r="G314" s="14">
        <v>3519</v>
      </c>
      <c r="H314" s="18">
        <f t="shared" si="0"/>
        <v>3519</v>
      </c>
      <c r="I314" s="19">
        <v>0.18</v>
      </c>
      <c r="J314" s="18">
        <f t="shared" si="1"/>
        <v>4152.42</v>
      </c>
      <c r="K314" s="18">
        <v>4434</v>
      </c>
      <c r="L314" s="18">
        <f t="shared" si="2"/>
        <v>4434</v>
      </c>
      <c r="M314" s="18">
        <f t="shared" si="3"/>
        <v>5232.12</v>
      </c>
      <c r="N314" s="12">
        <v>100</v>
      </c>
      <c r="O314" s="19">
        <v>0.18</v>
      </c>
      <c r="P314" s="18">
        <f t="shared" si="4"/>
        <v>118</v>
      </c>
      <c r="Q314" s="12">
        <v>20</v>
      </c>
      <c r="R314" s="18">
        <f t="shared" si="5"/>
        <v>5350.12</v>
      </c>
      <c r="S314" s="22">
        <f t="shared" si="6"/>
        <v>5349</v>
      </c>
      <c r="T314" s="18">
        <f t="shared" si="7"/>
        <v>-1.1199999999998909</v>
      </c>
      <c r="U314" s="18">
        <f t="shared" si="8"/>
        <v>1176.58</v>
      </c>
      <c r="V314" s="18">
        <f t="shared" si="9"/>
        <v>997.10169491525426</v>
      </c>
      <c r="W314" s="24">
        <f t="shared" si="10"/>
        <v>0.28334802356216376</v>
      </c>
      <c r="X314" s="22"/>
    </row>
    <row r="315" spans="1:24" x14ac:dyDescent="0.25">
      <c r="A315" s="9" t="s">
        <v>24</v>
      </c>
      <c r="B315" s="9" t="s">
        <v>81</v>
      </c>
      <c r="C315" s="10"/>
      <c r="D315" s="9" t="s">
        <v>581</v>
      </c>
      <c r="E315" s="9" t="s">
        <v>584</v>
      </c>
      <c r="F315" s="12">
        <v>1</v>
      </c>
      <c r="G315" s="14">
        <v>1347</v>
      </c>
      <c r="H315" s="18">
        <f t="shared" si="0"/>
        <v>1347</v>
      </c>
      <c r="I315" s="19">
        <v>0.18</v>
      </c>
      <c r="J315" s="18">
        <f t="shared" si="1"/>
        <v>1589.4599999999998</v>
      </c>
      <c r="K315" s="18">
        <v>1697</v>
      </c>
      <c r="L315" s="18">
        <f t="shared" si="2"/>
        <v>1697</v>
      </c>
      <c r="M315" s="18">
        <f t="shared" si="3"/>
        <v>2002.4599999999998</v>
      </c>
      <c r="N315" s="12">
        <v>100</v>
      </c>
      <c r="O315" s="19">
        <v>0.18</v>
      </c>
      <c r="P315" s="18">
        <f t="shared" si="4"/>
        <v>118</v>
      </c>
      <c r="Q315" s="12">
        <v>20</v>
      </c>
      <c r="R315" s="18">
        <f t="shared" si="5"/>
        <v>2120.46</v>
      </c>
      <c r="S315" s="22">
        <f t="shared" si="6"/>
        <v>2099</v>
      </c>
      <c r="T315" s="18">
        <f t="shared" si="7"/>
        <v>-21.460000000000036</v>
      </c>
      <c r="U315" s="18">
        <f t="shared" si="8"/>
        <v>489.54000000000019</v>
      </c>
      <c r="V315" s="18">
        <f t="shared" si="9"/>
        <v>414.86440677966118</v>
      </c>
      <c r="W315" s="24">
        <f t="shared" si="10"/>
        <v>0.30799139330338615</v>
      </c>
      <c r="X315" s="22"/>
    </row>
    <row r="316" spans="1:24" x14ac:dyDescent="0.25">
      <c r="A316" s="9" t="s">
        <v>24</v>
      </c>
      <c r="B316" s="9" t="s">
        <v>40</v>
      </c>
      <c r="C316" s="10"/>
      <c r="D316" s="9" t="s">
        <v>585</v>
      </c>
      <c r="E316" s="9" t="s">
        <v>586</v>
      </c>
      <c r="F316" s="12">
        <v>1</v>
      </c>
      <c r="G316" s="14">
        <v>1159</v>
      </c>
      <c r="H316" s="18">
        <f t="shared" si="0"/>
        <v>1159</v>
      </c>
      <c r="I316" s="19">
        <v>0.18</v>
      </c>
      <c r="J316" s="18">
        <f t="shared" si="1"/>
        <v>1367.62</v>
      </c>
      <c r="K316" s="18">
        <v>1673</v>
      </c>
      <c r="L316" s="18">
        <f t="shared" si="2"/>
        <v>1673</v>
      </c>
      <c r="M316" s="18">
        <f t="shared" si="3"/>
        <v>1974.1399999999999</v>
      </c>
      <c r="N316" s="12">
        <v>0</v>
      </c>
      <c r="O316" s="19">
        <v>0.18</v>
      </c>
      <c r="P316" s="18">
        <f t="shared" si="4"/>
        <v>0</v>
      </c>
      <c r="Q316" s="12">
        <v>0</v>
      </c>
      <c r="R316" s="18">
        <f t="shared" si="5"/>
        <v>1974.1399999999999</v>
      </c>
      <c r="S316" s="22">
        <f t="shared" si="6"/>
        <v>1949</v>
      </c>
      <c r="T316" s="18">
        <f t="shared" si="7"/>
        <v>-25.139999999999873</v>
      </c>
      <c r="U316" s="18">
        <f t="shared" si="8"/>
        <v>581.38000000000011</v>
      </c>
      <c r="V316" s="18">
        <f t="shared" si="9"/>
        <v>492.6949152542374</v>
      </c>
      <c r="W316" s="24">
        <f t="shared" si="10"/>
        <v>0.42510346441262936</v>
      </c>
      <c r="X316" s="22"/>
    </row>
    <row r="317" spans="1:24" x14ac:dyDescent="0.25">
      <c r="A317" s="9" t="s">
        <v>24</v>
      </c>
      <c r="B317" s="9" t="s">
        <v>81</v>
      </c>
      <c r="C317" s="10"/>
      <c r="D317" s="9" t="s">
        <v>585</v>
      </c>
      <c r="E317" s="9" t="s">
        <v>587</v>
      </c>
      <c r="F317" s="12">
        <v>1</v>
      </c>
      <c r="G317" s="14">
        <v>1141</v>
      </c>
      <c r="H317" s="18">
        <f t="shared" si="0"/>
        <v>1141</v>
      </c>
      <c r="I317" s="19">
        <v>0.18</v>
      </c>
      <c r="J317" s="18">
        <f t="shared" si="1"/>
        <v>1346.3799999999999</v>
      </c>
      <c r="K317" s="18">
        <v>1194</v>
      </c>
      <c r="L317" s="18">
        <f t="shared" si="2"/>
        <v>1194</v>
      </c>
      <c r="M317" s="18">
        <f t="shared" si="3"/>
        <v>1408.9199999999998</v>
      </c>
      <c r="N317" s="12">
        <v>0</v>
      </c>
      <c r="O317" s="19">
        <v>0.18</v>
      </c>
      <c r="P317" s="18">
        <f t="shared" si="4"/>
        <v>0</v>
      </c>
      <c r="Q317" s="12">
        <v>0</v>
      </c>
      <c r="R317" s="18">
        <f t="shared" si="5"/>
        <v>1408.9199999999998</v>
      </c>
      <c r="S317" s="22">
        <f t="shared" si="6"/>
        <v>1399</v>
      </c>
      <c r="T317" s="18">
        <f t="shared" si="7"/>
        <v>-9.9199999999998454</v>
      </c>
      <c r="U317" s="18">
        <f t="shared" si="8"/>
        <v>52.620000000000118</v>
      </c>
      <c r="V317" s="18">
        <f t="shared" si="9"/>
        <v>44.593220338983151</v>
      </c>
      <c r="W317" s="24">
        <f t="shared" si="10"/>
        <v>3.9082576984209597E-2</v>
      </c>
      <c r="X317" s="22"/>
    </row>
    <row r="318" spans="1:24" x14ac:dyDescent="0.25">
      <c r="A318" s="9" t="s">
        <v>24</v>
      </c>
      <c r="B318" s="9" t="s">
        <v>77</v>
      </c>
      <c r="C318" s="10"/>
      <c r="D318" s="9" t="s">
        <v>585</v>
      </c>
      <c r="E318" s="9" t="s">
        <v>588</v>
      </c>
      <c r="F318" s="12">
        <v>1</v>
      </c>
      <c r="G318" s="14">
        <v>1218</v>
      </c>
      <c r="H318" s="18">
        <f t="shared" si="0"/>
        <v>1218</v>
      </c>
      <c r="I318" s="19">
        <v>0.18</v>
      </c>
      <c r="J318" s="18">
        <f t="shared" si="1"/>
        <v>1437.24</v>
      </c>
      <c r="K318" s="18">
        <v>1275</v>
      </c>
      <c r="L318" s="18">
        <f t="shared" si="2"/>
        <v>1275</v>
      </c>
      <c r="M318" s="18">
        <f t="shared" si="3"/>
        <v>1504.5</v>
      </c>
      <c r="N318" s="12">
        <v>0</v>
      </c>
      <c r="O318" s="19">
        <v>0.18</v>
      </c>
      <c r="P318" s="18">
        <f t="shared" si="4"/>
        <v>0</v>
      </c>
      <c r="Q318" s="12">
        <v>0</v>
      </c>
      <c r="R318" s="18">
        <f t="shared" si="5"/>
        <v>1504.5</v>
      </c>
      <c r="S318" s="22">
        <f t="shared" si="6"/>
        <v>1499</v>
      </c>
      <c r="T318" s="18">
        <f t="shared" si="7"/>
        <v>-5.5</v>
      </c>
      <c r="U318" s="18">
        <f t="shared" si="8"/>
        <v>61.759999999999991</v>
      </c>
      <c r="V318" s="18">
        <f t="shared" si="9"/>
        <v>52.338983050847453</v>
      </c>
      <c r="W318" s="24">
        <f t="shared" si="10"/>
        <v>4.2971250452255708E-2</v>
      </c>
      <c r="X318" s="22"/>
    </row>
    <row r="319" spans="1:24" x14ac:dyDescent="0.25">
      <c r="A319" s="9" t="s">
        <v>24</v>
      </c>
      <c r="B319" s="9" t="s">
        <v>40</v>
      </c>
      <c r="C319" s="10"/>
      <c r="D319" s="9" t="s">
        <v>589</v>
      </c>
      <c r="E319" s="9" t="s">
        <v>590</v>
      </c>
      <c r="F319" s="12">
        <v>1</v>
      </c>
      <c r="G319" s="14">
        <v>5700</v>
      </c>
      <c r="H319" s="18">
        <f t="shared" si="0"/>
        <v>5700</v>
      </c>
      <c r="I319" s="19">
        <v>0.18</v>
      </c>
      <c r="J319" s="18">
        <f t="shared" si="1"/>
        <v>6726</v>
      </c>
      <c r="K319" s="18">
        <v>6708</v>
      </c>
      <c r="L319" s="18">
        <f t="shared" si="2"/>
        <v>6708</v>
      </c>
      <c r="M319" s="18">
        <f t="shared" si="3"/>
        <v>7915.44</v>
      </c>
      <c r="N319" s="12">
        <v>0</v>
      </c>
      <c r="O319" s="19">
        <v>0.18</v>
      </c>
      <c r="P319" s="18">
        <f t="shared" si="4"/>
        <v>0</v>
      </c>
      <c r="Q319" s="12">
        <v>0</v>
      </c>
      <c r="R319" s="18">
        <f t="shared" si="5"/>
        <v>7915.44</v>
      </c>
      <c r="S319" s="22">
        <f t="shared" si="6"/>
        <v>7899</v>
      </c>
      <c r="T319" s="18">
        <f t="shared" si="7"/>
        <v>-16.4399999999996</v>
      </c>
      <c r="U319" s="18">
        <f t="shared" si="8"/>
        <v>1173</v>
      </c>
      <c r="V319" s="18">
        <f t="shared" si="9"/>
        <v>994.06779661016958</v>
      </c>
      <c r="W319" s="24">
        <f t="shared" si="10"/>
        <v>0.17439785905441571</v>
      </c>
      <c r="X319" s="22"/>
    </row>
    <row r="320" spans="1:24" x14ac:dyDescent="0.25">
      <c r="A320" s="9" t="s">
        <v>24</v>
      </c>
      <c r="B320" s="9" t="s">
        <v>137</v>
      </c>
      <c r="C320" s="10"/>
      <c r="D320" s="9" t="s">
        <v>591</v>
      </c>
      <c r="E320" s="9" t="s">
        <v>592</v>
      </c>
      <c r="F320" s="12">
        <v>1</v>
      </c>
      <c r="G320" s="14">
        <v>3449</v>
      </c>
      <c r="H320" s="18">
        <f t="shared" si="0"/>
        <v>3449</v>
      </c>
      <c r="I320" s="19">
        <v>0.18</v>
      </c>
      <c r="J320" s="18">
        <f t="shared" si="1"/>
        <v>4069.8199999999997</v>
      </c>
      <c r="K320" s="18">
        <v>4346</v>
      </c>
      <c r="L320" s="18">
        <f t="shared" si="2"/>
        <v>4346</v>
      </c>
      <c r="M320" s="18">
        <f t="shared" si="3"/>
        <v>5128.28</v>
      </c>
      <c r="N320" s="12">
        <v>300</v>
      </c>
      <c r="O320" s="19">
        <v>0.18</v>
      </c>
      <c r="P320" s="18">
        <f t="shared" si="4"/>
        <v>354</v>
      </c>
      <c r="Q320" s="12">
        <v>50</v>
      </c>
      <c r="R320" s="18">
        <f t="shared" si="5"/>
        <v>5482.28</v>
      </c>
      <c r="S320" s="22">
        <f t="shared" si="6"/>
        <v>5499</v>
      </c>
      <c r="T320" s="18">
        <f t="shared" si="7"/>
        <v>16.720000000000255</v>
      </c>
      <c r="U320" s="18">
        <f t="shared" si="8"/>
        <v>1379.1800000000003</v>
      </c>
      <c r="V320" s="18">
        <f t="shared" si="9"/>
        <v>1168.7966101694919</v>
      </c>
      <c r="W320" s="24">
        <f t="shared" si="10"/>
        <v>0.33887985218019484</v>
      </c>
      <c r="X320" s="22"/>
    </row>
    <row r="321" spans="1:24" x14ac:dyDescent="0.25">
      <c r="A321" s="9" t="s">
        <v>24</v>
      </c>
      <c r="B321" s="9" t="s">
        <v>81</v>
      </c>
      <c r="C321" s="10"/>
      <c r="D321" s="9" t="s">
        <v>591</v>
      </c>
      <c r="E321" s="9" t="s">
        <v>593</v>
      </c>
      <c r="F321" s="12">
        <v>1</v>
      </c>
      <c r="G321" s="14">
        <v>2781</v>
      </c>
      <c r="H321" s="18">
        <f t="shared" si="0"/>
        <v>2781</v>
      </c>
      <c r="I321" s="19">
        <v>0.18</v>
      </c>
      <c r="J321" s="18">
        <f t="shared" si="1"/>
        <v>3281.58</v>
      </c>
      <c r="K321" s="18">
        <v>3683</v>
      </c>
      <c r="L321" s="18">
        <f t="shared" si="2"/>
        <v>3683</v>
      </c>
      <c r="M321" s="18">
        <f t="shared" si="3"/>
        <v>4345.9399999999996</v>
      </c>
      <c r="N321" s="12">
        <v>300</v>
      </c>
      <c r="O321" s="19">
        <v>0.18</v>
      </c>
      <c r="P321" s="18">
        <f t="shared" si="4"/>
        <v>354</v>
      </c>
      <c r="Q321" s="12">
        <v>50</v>
      </c>
      <c r="R321" s="18">
        <f t="shared" si="5"/>
        <v>4699.9399999999996</v>
      </c>
      <c r="S321" s="22">
        <f t="shared" si="6"/>
        <v>4699</v>
      </c>
      <c r="T321" s="18">
        <f t="shared" si="7"/>
        <v>-0.93999999999959982</v>
      </c>
      <c r="U321" s="18">
        <f t="shared" si="8"/>
        <v>1367.42</v>
      </c>
      <c r="V321" s="18">
        <f t="shared" si="9"/>
        <v>1158.8305084745764</v>
      </c>
      <c r="W321" s="24">
        <f t="shared" si="10"/>
        <v>0.4166956161361296</v>
      </c>
      <c r="X321" s="22"/>
    </row>
    <row r="322" spans="1:24" x14ac:dyDescent="0.25">
      <c r="A322" s="9" t="s">
        <v>99</v>
      </c>
      <c r="B322" s="9" t="s">
        <v>94</v>
      </c>
      <c r="C322" s="10"/>
      <c r="D322" s="9" t="s">
        <v>594</v>
      </c>
      <c r="E322" s="9" t="s">
        <v>595</v>
      </c>
      <c r="F322" s="12">
        <v>1</v>
      </c>
      <c r="G322" s="14">
        <v>363</v>
      </c>
      <c r="H322" s="18">
        <f t="shared" si="0"/>
        <v>363</v>
      </c>
      <c r="I322" s="19">
        <v>0.18</v>
      </c>
      <c r="J322" s="18">
        <f t="shared" si="1"/>
        <v>428.34</v>
      </c>
      <c r="K322" s="18">
        <v>1059</v>
      </c>
      <c r="L322" s="18">
        <f t="shared" si="2"/>
        <v>1059</v>
      </c>
      <c r="M322" s="18">
        <f t="shared" si="3"/>
        <v>1249.6199999999999</v>
      </c>
      <c r="N322" s="12">
        <v>0</v>
      </c>
      <c r="O322" s="19">
        <v>0.18</v>
      </c>
      <c r="P322" s="18">
        <f t="shared" si="4"/>
        <v>0</v>
      </c>
      <c r="Q322" s="12">
        <v>0</v>
      </c>
      <c r="R322" s="18">
        <f t="shared" si="5"/>
        <v>1249.6199999999999</v>
      </c>
      <c r="S322" s="22">
        <f t="shared" si="6"/>
        <v>1249</v>
      </c>
      <c r="T322" s="18">
        <f t="shared" si="7"/>
        <v>-0.61999999999989086</v>
      </c>
      <c r="U322" s="18">
        <f t="shared" si="8"/>
        <v>820.66000000000008</v>
      </c>
      <c r="V322" s="18">
        <f t="shared" si="9"/>
        <v>695.47457627118649</v>
      </c>
      <c r="W322" s="24">
        <f t="shared" si="10"/>
        <v>1.915907923612084</v>
      </c>
      <c r="X322" s="22"/>
    </row>
    <row r="323" spans="1:24" x14ac:dyDescent="0.25">
      <c r="A323" s="9" t="s">
        <v>24</v>
      </c>
      <c r="B323" s="9" t="s">
        <v>150</v>
      </c>
      <c r="C323" s="10"/>
      <c r="D323" s="9" t="s">
        <v>596</v>
      </c>
      <c r="E323" s="9" t="s">
        <v>597</v>
      </c>
      <c r="F323" s="12">
        <v>1</v>
      </c>
      <c r="G323" s="14">
        <v>14252</v>
      </c>
      <c r="H323" s="18">
        <f t="shared" si="0"/>
        <v>14252</v>
      </c>
      <c r="I323" s="19">
        <v>0.18</v>
      </c>
      <c r="J323" s="18">
        <f t="shared" si="1"/>
        <v>16817.36</v>
      </c>
      <c r="K323" s="18">
        <v>17144</v>
      </c>
      <c r="L323" s="18">
        <f t="shared" si="2"/>
        <v>17144</v>
      </c>
      <c r="M323" s="18">
        <f t="shared" si="3"/>
        <v>20229.919999999998</v>
      </c>
      <c r="N323" s="12">
        <v>2500</v>
      </c>
      <c r="O323" s="19">
        <v>0.18</v>
      </c>
      <c r="P323" s="18">
        <f t="shared" si="4"/>
        <v>2950</v>
      </c>
      <c r="Q323" s="12">
        <v>350</v>
      </c>
      <c r="R323" s="18">
        <f t="shared" si="5"/>
        <v>23179.919999999998</v>
      </c>
      <c r="S323" s="22">
        <f t="shared" si="6"/>
        <v>23199</v>
      </c>
      <c r="T323" s="18">
        <f t="shared" si="7"/>
        <v>19.080000000001746</v>
      </c>
      <c r="U323" s="18">
        <f t="shared" si="8"/>
        <v>6031.6399999999994</v>
      </c>
      <c r="V323" s="18">
        <f t="shared" si="9"/>
        <v>5111.5593220338978</v>
      </c>
      <c r="W323" s="24">
        <f t="shared" si="10"/>
        <v>0.35865557971048961</v>
      </c>
      <c r="X323" s="22"/>
    </row>
    <row r="324" spans="1:24" x14ac:dyDescent="0.25">
      <c r="A324" s="9" t="s">
        <v>24</v>
      </c>
      <c r="B324" s="9" t="s">
        <v>134</v>
      </c>
      <c r="C324" s="10"/>
      <c r="D324" s="9" t="s">
        <v>596</v>
      </c>
      <c r="E324" s="9" t="s">
        <v>598</v>
      </c>
      <c r="F324" s="12">
        <v>1</v>
      </c>
      <c r="G324" s="14">
        <v>27300</v>
      </c>
      <c r="H324" s="18">
        <f t="shared" si="0"/>
        <v>27300</v>
      </c>
      <c r="I324" s="19">
        <v>0.18</v>
      </c>
      <c r="J324" s="18">
        <f t="shared" si="1"/>
        <v>32214</v>
      </c>
      <c r="K324" s="18">
        <v>32812</v>
      </c>
      <c r="L324" s="18">
        <f t="shared" si="2"/>
        <v>32812</v>
      </c>
      <c r="M324" s="18">
        <f t="shared" si="3"/>
        <v>38718.159999999996</v>
      </c>
      <c r="N324" s="12">
        <v>3500</v>
      </c>
      <c r="O324" s="19">
        <v>0.18</v>
      </c>
      <c r="P324" s="18">
        <f t="shared" si="4"/>
        <v>4130</v>
      </c>
      <c r="Q324" s="12">
        <v>500</v>
      </c>
      <c r="R324" s="18">
        <f t="shared" si="5"/>
        <v>42848.159999999996</v>
      </c>
      <c r="S324" s="22">
        <f t="shared" si="6"/>
        <v>42849</v>
      </c>
      <c r="T324" s="18">
        <f t="shared" si="7"/>
        <v>0.8400000000037835</v>
      </c>
      <c r="U324" s="18">
        <f t="shared" si="8"/>
        <v>10135</v>
      </c>
      <c r="V324" s="18">
        <f t="shared" si="9"/>
        <v>8588.9830508474588</v>
      </c>
      <c r="W324" s="24">
        <f t="shared" si="10"/>
        <v>0.31461476376730618</v>
      </c>
      <c r="X324" s="22"/>
    </row>
    <row r="325" spans="1:24" x14ac:dyDescent="0.25">
      <c r="A325" s="9" t="s">
        <v>99</v>
      </c>
      <c r="B325" s="9" t="s">
        <v>103</v>
      </c>
      <c r="C325" s="10"/>
      <c r="D325" s="9" t="s">
        <v>599</v>
      </c>
      <c r="E325" s="9" t="s">
        <v>600</v>
      </c>
      <c r="F325" s="12">
        <v>1</v>
      </c>
      <c r="G325" s="14">
        <v>997</v>
      </c>
      <c r="H325" s="18">
        <f t="shared" si="0"/>
        <v>997</v>
      </c>
      <c r="I325" s="19">
        <v>0.18</v>
      </c>
      <c r="J325" s="18">
        <f t="shared" si="1"/>
        <v>1176.46</v>
      </c>
      <c r="K325" s="18">
        <v>1256</v>
      </c>
      <c r="L325" s="18">
        <f t="shared" si="2"/>
        <v>1256</v>
      </c>
      <c r="M325" s="18">
        <f t="shared" si="3"/>
        <v>1482.08</v>
      </c>
      <c r="N325" s="12">
        <v>0</v>
      </c>
      <c r="O325" s="19">
        <v>0.18</v>
      </c>
      <c r="P325" s="18">
        <f t="shared" si="4"/>
        <v>0</v>
      </c>
      <c r="Q325" s="12">
        <v>0</v>
      </c>
      <c r="R325" s="18">
        <f t="shared" si="5"/>
        <v>1482.08</v>
      </c>
      <c r="S325" s="22">
        <f t="shared" si="6"/>
        <v>1499</v>
      </c>
      <c r="T325" s="18">
        <f t="shared" si="7"/>
        <v>16.920000000000073</v>
      </c>
      <c r="U325" s="18">
        <f t="shared" si="8"/>
        <v>322.53999999999996</v>
      </c>
      <c r="V325" s="18">
        <f t="shared" si="9"/>
        <v>273.33898305084745</v>
      </c>
      <c r="W325" s="24">
        <f t="shared" si="10"/>
        <v>0.27416146745320708</v>
      </c>
      <c r="X325" s="22"/>
    </row>
    <row r="326" spans="1:24" x14ac:dyDescent="0.25">
      <c r="A326" s="9" t="s">
        <v>99</v>
      </c>
      <c r="B326" s="9" t="s">
        <v>103</v>
      </c>
      <c r="C326" s="10"/>
      <c r="D326" s="9" t="s">
        <v>601</v>
      </c>
      <c r="E326" s="9" t="s">
        <v>602</v>
      </c>
      <c r="F326" s="12">
        <v>1</v>
      </c>
      <c r="G326" s="14">
        <v>997</v>
      </c>
      <c r="H326" s="18">
        <f t="shared" si="0"/>
        <v>997</v>
      </c>
      <c r="I326" s="19">
        <v>0.18</v>
      </c>
      <c r="J326" s="18">
        <f t="shared" si="1"/>
        <v>1176.46</v>
      </c>
      <c r="K326" s="18">
        <v>1256</v>
      </c>
      <c r="L326" s="18">
        <f t="shared" si="2"/>
        <v>1256</v>
      </c>
      <c r="M326" s="18">
        <f t="shared" si="3"/>
        <v>1482.08</v>
      </c>
      <c r="N326" s="12">
        <v>0</v>
      </c>
      <c r="O326" s="19">
        <v>0.18</v>
      </c>
      <c r="P326" s="18">
        <f t="shared" si="4"/>
        <v>0</v>
      </c>
      <c r="Q326" s="12">
        <v>0</v>
      </c>
      <c r="R326" s="18">
        <f t="shared" si="5"/>
        <v>1482.08</v>
      </c>
      <c r="S326" s="22">
        <f t="shared" si="6"/>
        <v>1499</v>
      </c>
      <c r="T326" s="18">
        <f t="shared" si="7"/>
        <v>16.920000000000073</v>
      </c>
      <c r="U326" s="18">
        <f t="shared" si="8"/>
        <v>322.53999999999996</v>
      </c>
      <c r="V326" s="18">
        <f t="shared" si="9"/>
        <v>273.33898305084745</v>
      </c>
      <c r="W326" s="24">
        <f t="shared" si="10"/>
        <v>0.27416146745320708</v>
      </c>
      <c r="X326" s="22"/>
    </row>
    <row r="327" spans="1:24" x14ac:dyDescent="0.25">
      <c r="A327" s="9" t="s">
        <v>24</v>
      </c>
      <c r="B327" s="9" t="s">
        <v>150</v>
      </c>
      <c r="C327" s="10"/>
      <c r="D327" s="9" t="s">
        <v>603</v>
      </c>
      <c r="E327" s="9" t="s">
        <v>604</v>
      </c>
      <c r="F327" s="12">
        <v>1</v>
      </c>
      <c r="G327" s="14">
        <v>4007</v>
      </c>
      <c r="H327" s="18">
        <f t="shared" si="0"/>
        <v>4007</v>
      </c>
      <c r="I327" s="19">
        <v>0.18</v>
      </c>
      <c r="J327" s="18">
        <f t="shared" si="1"/>
        <v>4728.2599999999993</v>
      </c>
      <c r="K327" s="18">
        <v>4408</v>
      </c>
      <c r="L327" s="18">
        <f t="shared" si="2"/>
        <v>4408</v>
      </c>
      <c r="M327" s="18">
        <f t="shared" si="3"/>
        <v>5201.4399999999996</v>
      </c>
      <c r="N327" s="12">
        <v>300</v>
      </c>
      <c r="O327" s="19">
        <v>0.18</v>
      </c>
      <c r="P327" s="18">
        <f t="shared" si="4"/>
        <v>354</v>
      </c>
      <c r="Q327" s="12">
        <v>100</v>
      </c>
      <c r="R327" s="18">
        <f t="shared" si="5"/>
        <v>5555.44</v>
      </c>
      <c r="S327" s="22">
        <f t="shared" si="6"/>
        <v>5549</v>
      </c>
      <c r="T327" s="18">
        <f t="shared" si="7"/>
        <v>-6.4399999999995998</v>
      </c>
      <c r="U327" s="18">
        <f t="shared" si="8"/>
        <v>720.74000000000069</v>
      </c>
      <c r="V327" s="18">
        <f t="shared" si="9"/>
        <v>610.79661016949217</v>
      </c>
      <c r="W327" s="24">
        <f t="shared" si="10"/>
        <v>0.15243239584963617</v>
      </c>
      <c r="X327" s="22"/>
    </row>
    <row r="328" spans="1:24" x14ac:dyDescent="0.25">
      <c r="A328" s="9" t="s">
        <v>24</v>
      </c>
      <c r="B328" s="9" t="s">
        <v>134</v>
      </c>
      <c r="C328" s="10"/>
      <c r="D328" s="9" t="s">
        <v>603</v>
      </c>
      <c r="E328" s="9" t="s">
        <v>605</v>
      </c>
      <c r="F328" s="12">
        <v>1</v>
      </c>
      <c r="G328" s="14">
        <v>2563</v>
      </c>
      <c r="H328" s="18">
        <f t="shared" si="0"/>
        <v>2563</v>
      </c>
      <c r="I328" s="19">
        <v>0.18</v>
      </c>
      <c r="J328" s="18">
        <f t="shared" si="1"/>
        <v>3024.3399999999997</v>
      </c>
      <c r="K328" s="18">
        <v>3394</v>
      </c>
      <c r="L328" s="18">
        <f t="shared" si="2"/>
        <v>3394</v>
      </c>
      <c r="M328" s="18">
        <f t="shared" si="3"/>
        <v>4004.9199999999996</v>
      </c>
      <c r="N328" s="12">
        <v>4525</v>
      </c>
      <c r="O328" s="19">
        <v>0.18</v>
      </c>
      <c r="P328" s="18">
        <f t="shared" si="4"/>
        <v>5339.5</v>
      </c>
      <c r="Q328" s="12">
        <v>100</v>
      </c>
      <c r="R328" s="18">
        <f t="shared" si="5"/>
        <v>9344.42</v>
      </c>
      <c r="S328" s="22">
        <f t="shared" si="6"/>
        <v>9349</v>
      </c>
      <c r="T328" s="18">
        <f t="shared" si="7"/>
        <v>4.5799999999999272</v>
      </c>
      <c r="U328" s="18">
        <f t="shared" si="8"/>
        <v>6224.66</v>
      </c>
      <c r="V328" s="18">
        <f t="shared" si="9"/>
        <v>5275.1355932203387</v>
      </c>
      <c r="W328" s="24">
        <f t="shared" si="10"/>
        <v>2.0581879021538581</v>
      </c>
      <c r="X328" s="22"/>
    </row>
    <row r="329" spans="1:24" x14ac:dyDescent="0.25">
      <c r="A329" s="9" t="s">
        <v>24</v>
      </c>
      <c r="B329" s="9" t="s">
        <v>52</v>
      </c>
      <c r="C329" s="10"/>
      <c r="D329" s="9" t="s">
        <v>603</v>
      </c>
      <c r="E329" s="9" t="s">
        <v>606</v>
      </c>
      <c r="F329" s="12">
        <v>1</v>
      </c>
      <c r="G329" s="14">
        <v>3629</v>
      </c>
      <c r="H329" s="18">
        <f t="shared" si="0"/>
        <v>3629</v>
      </c>
      <c r="I329" s="19">
        <v>0.18</v>
      </c>
      <c r="J329" s="18">
        <f t="shared" si="1"/>
        <v>4282.2199999999993</v>
      </c>
      <c r="K329" s="18">
        <v>4573</v>
      </c>
      <c r="L329" s="18">
        <f t="shared" si="2"/>
        <v>4573</v>
      </c>
      <c r="M329" s="18">
        <f t="shared" si="3"/>
        <v>5396.1399999999994</v>
      </c>
      <c r="N329" s="12">
        <v>4450</v>
      </c>
      <c r="O329" s="19">
        <v>0.18</v>
      </c>
      <c r="P329" s="18">
        <f t="shared" si="4"/>
        <v>5251</v>
      </c>
      <c r="Q329" s="12">
        <v>100</v>
      </c>
      <c r="R329" s="18">
        <f t="shared" si="5"/>
        <v>10647.14</v>
      </c>
      <c r="S329" s="22">
        <f t="shared" si="6"/>
        <v>10649</v>
      </c>
      <c r="T329" s="18">
        <f t="shared" si="7"/>
        <v>1.8600000000005821</v>
      </c>
      <c r="U329" s="18">
        <f t="shared" si="8"/>
        <v>6266.7800000000007</v>
      </c>
      <c r="V329" s="18">
        <f t="shared" si="9"/>
        <v>5310.8305084745771</v>
      </c>
      <c r="W329" s="24">
        <f t="shared" si="10"/>
        <v>1.4634418595961909</v>
      </c>
      <c r="X329" s="22"/>
    </row>
    <row r="330" spans="1:24" x14ac:dyDescent="0.25">
      <c r="A330" s="9" t="s">
        <v>24</v>
      </c>
      <c r="B330" s="9" t="s">
        <v>58</v>
      </c>
      <c r="C330" s="10"/>
      <c r="D330" s="9" t="s">
        <v>603</v>
      </c>
      <c r="E330" s="9" t="s">
        <v>607</v>
      </c>
      <c r="F330" s="12">
        <v>1</v>
      </c>
      <c r="G330" s="14">
        <v>3649.28</v>
      </c>
      <c r="H330" s="18">
        <f t="shared" si="0"/>
        <v>3649.28</v>
      </c>
      <c r="I330" s="19">
        <v>0.18</v>
      </c>
      <c r="J330" s="18">
        <f t="shared" si="1"/>
        <v>4306.1504000000004</v>
      </c>
      <c r="K330" s="18">
        <v>4832</v>
      </c>
      <c r="L330" s="18">
        <f t="shared" si="2"/>
        <v>4832</v>
      </c>
      <c r="M330" s="18">
        <f t="shared" si="3"/>
        <v>5701.7599999999993</v>
      </c>
      <c r="N330" s="12">
        <v>5100</v>
      </c>
      <c r="O330" s="19">
        <v>0.18</v>
      </c>
      <c r="P330" s="18">
        <f t="shared" si="4"/>
        <v>6018</v>
      </c>
      <c r="Q330" s="12">
        <v>100</v>
      </c>
      <c r="R330" s="18">
        <f t="shared" si="5"/>
        <v>11719.759999999998</v>
      </c>
      <c r="S330" s="22">
        <f t="shared" si="6"/>
        <v>11699</v>
      </c>
      <c r="T330" s="18">
        <f t="shared" si="7"/>
        <v>-20.759999999998399</v>
      </c>
      <c r="U330" s="18">
        <f t="shared" si="8"/>
        <v>7292.8495999999996</v>
      </c>
      <c r="V330" s="18">
        <f t="shared" si="9"/>
        <v>6180.3810169491526</v>
      </c>
      <c r="W330" s="24">
        <f t="shared" si="10"/>
        <v>1.6935891509966767</v>
      </c>
      <c r="X330" s="22"/>
    </row>
    <row r="331" spans="1:24" x14ac:dyDescent="0.25">
      <c r="A331" s="9" t="s">
        <v>24</v>
      </c>
      <c r="B331" s="9" t="s">
        <v>81</v>
      </c>
      <c r="C331" s="10"/>
      <c r="D331" s="9" t="s">
        <v>603</v>
      </c>
      <c r="E331" s="9" t="s">
        <v>608</v>
      </c>
      <c r="F331" s="12">
        <v>1</v>
      </c>
      <c r="G331" s="14">
        <v>3126</v>
      </c>
      <c r="H331" s="18">
        <f t="shared" si="0"/>
        <v>3126</v>
      </c>
      <c r="I331" s="19">
        <v>0.18</v>
      </c>
      <c r="J331" s="18">
        <f t="shared" si="1"/>
        <v>3688.68</v>
      </c>
      <c r="K331" s="18">
        <v>4140</v>
      </c>
      <c r="L331" s="18">
        <f t="shared" si="2"/>
        <v>4140</v>
      </c>
      <c r="M331" s="18">
        <f t="shared" si="3"/>
        <v>4885.2</v>
      </c>
      <c r="N331" s="12">
        <v>4500</v>
      </c>
      <c r="O331" s="19">
        <v>0.18</v>
      </c>
      <c r="P331" s="18">
        <f t="shared" si="4"/>
        <v>5310</v>
      </c>
      <c r="Q331" s="12">
        <v>150</v>
      </c>
      <c r="R331" s="18">
        <f t="shared" si="5"/>
        <v>10195.200000000001</v>
      </c>
      <c r="S331" s="22">
        <f t="shared" si="6"/>
        <v>10199</v>
      </c>
      <c r="T331" s="18">
        <f t="shared" si="7"/>
        <v>3.7999999999992724</v>
      </c>
      <c r="U331" s="18">
        <f t="shared" si="8"/>
        <v>6360.32</v>
      </c>
      <c r="V331" s="18">
        <f t="shared" si="9"/>
        <v>5390.1016949152545</v>
      </c>
      <c r="W331" s="24">
        <f t="shared" si="10"/>
        <v>1.7242807725256732</v>
      </c>
      <c r="X331" s="22"/>
    </row>
    <row r="332" spans="1:24" x14ac:dyDescent="0.25">
      <c r="A332" s="9" t="s">
        <v>24</v>
      </c>
      <c r="B332" s="9" t="s">
        <v>692</v>
      </c>
      <c r="C332" s="10"/>
      <c r="D332" s="9" t="s">
        <v>609</v>
      </c>
      <c r="E332" s="9" t="s">
        <v>610</v>
      </c>
      <c r="F332" s="12">
        <v>1</v>
      </c>
      <c r="G332" s="14">
        <v>1873</v>
      </c>
      <c r="H332" s="18">
        <f t="shared" si="0"/>
        <v>1873</v>
      </c>
      <c r="I332" s="19">
        <v>0.18</v>
      </c>
      <c r="J332" s="18">
        <f t="shared" si="1"/>
        <v>2210.14</v>
      </c>
      <c r="K332" s="18">
        <v>2334</v>
      </c>
      <c r="L332" s="18">
        <f t="shared" si="2"/>
        <v>2334</v>
      </c>
      <c r="M332" s="18">
        <f t="shared" si="3"/>
        <v>2754.12</v>
      </c>
      <c r="N332" s="12">
        <v>0</v>
      </c>
      <c r="O332" s="19">
        <v>0.18</v>
      </c>
      <c r="P332" s="18">
        <f t="shared" si="4"/>
        <v>0</v>
      </c>
      <c r="Q332" s="12">
        <v>0</v>
      </c>
      <c r="R332" s="18">
        <f t="shared" si="5"/>
        <v>2754.12</v>
      </c>
      <c r="S332" s="22">
        <f t="shared" si="6"/>
        <v>2749</v>
      </c>
      <c r="T332" s="18">
        <f t="shared" si="7"/>
        <v>-5.1199999999998909</v>
      </c>
      <c r="U332" s="18">
        <f t="shared" si="8"/>
        <v>538.86000000000013</v>
      </c>
      <c r="V332" s="18">
        <f t="shared" si="9"/>
        <v>456.66101694915267</v>
      </c>
      <c r="W332" s="24">
        <f t="shared" si="10"/>
        <v>0.24381260915598113</v>
      </c>
      <c r="X332" s="22"/>
    </row>
    <row r="333" spans="1:24" x14ac:dyDescent="0.25">
      <c r="A333" s="9" t="s">
        <v>24</v>
      </c>
      <c r="B333" s="9" t="s">
        <v>25</v>
      </c>
      <c r="C333" s="10"/>
      <c r="D333" s="9" t="s">
        <v>611</v>
      </c>
      <c r="E333" s="9" t="s">
        <v>612</v>
      </c>
      <c r="F333" s="12">
        <v>1</v>
      </c>
      <c r="G333" s="14">
        <v>571</v>
      </c>
      <c r="H333" s="18">
        <f t="shared" si="0"/>
        <v>571</v>
      </c>
      <c r="I333" s="19">
        <v>0.18</v>
      </c>
      <c r="J333" s="18">
        <f t="shared" si="1"/>
        <v>673.78</v>
      </c>
      <c r="K333" s="18">
        <v>629</v>
      </c>
      <c r="L333" s="18">
        <f t="shared" si="2"/>
        <v>629</v>
      </c>
      <c r="M333" s="18">
        <f t="shared" si="3"/>
        <v>742.21999999999991</v>
      </c>
      <c r="N333" s="12">
        <v>150</v>
      </c>
      <c r="O333" s="19">
        <v>0.18</v>
      </c>
      <c r="P333" s="18">
        <f t="shared" si="4"/>
        <v>177</v>
      </c>
      <c r="Q333" s="12">
        <v>0</v>
      </c>
      <c r="R333" s="18">
        <f t="shared" si="5"/>
        <v>919.21999999999991</v>
      </c>
      <c r="S333" s="22">
        <f t="shared" si="6"/>
        <v>899</v>
      </c>
      <c r="T333" s="18">
        <f t="shared" si="7"/>
        <v>-20.219999999999914</v>
      </c>
      <c r="U333" s="18">
        <f t="shared" si="8"/>
        <v>225.22000000000003</v>
      </c>
      <c r="V333" s="18">
        <f t="shared" si="9"/>
        <v>190.86440677966104</v>
      </c>
      <c r="W333" s="24">
        <f t="shared" si="10"/>
        <v>0.33426340942147292</v>
      </c>
      <c r="X333" s="22"/>
    </row>
    <row r="334" spans="1:24" x14ac:dyDescent="0.25">
      <c r="A334" s="9" t="s">
        <v>24</v>
      </c>
      <c r="B334" s="9" t="s">
        <v>134</v>
      </c>
      <c r="C334" s="10"/>
      <c r="D334" s="9" t="s">
        <v>613</v>
      </c>
      <c r="E334" s="9" t="s">
        <v>614</v>
      </c>
      <c r="F334" s="12">
        <v>1</v>
      </c>
      <c r="G334" s="14">
        <v>2055</v>
      </c>
      <c r="H334" s="18">
        <f t="shared" si="0"/>
        <v>2055</v>
      </c>
      <c r="I334" s="19">
        <v>0.18</v>
      </c>
      <c r="J334" s="18">
        <f t="shared" si="1"/>
        <v>2424.9</v>
      </c>
      <c r="K334" s="18">
        <v>2753</v>
      </c>
      <c r="L334" s="18">
        <f t="shared" si="2"/>
        <v>2753</v>
      </c>
      <c r="M334" s="18">
        <f t="shared" si="3"/>
        <v>3248.54</v>
      </c>
      <c r="N334" s="12">
        <v>1000</v>
      </c>
      <c r="O334" s="19">
        <v>0.18</v>
      </c>
      <c r="P334" s="18">
        <f t="shared" si="4"/>
        <v>1180</v>
      </c>
      <c r="Q334" s="12">
        <v>150</v>
      </c>
      <c r="R334" s="18">
        <f t="shared" si="5"/>
        <v>4428.54</v>
      </c>
      <c r="S334" s="22">
        <f t="shared" si="6"/>
        <v>4449</v>
      </c>
      <c r="T334" s="18">
        <f t="shared" si="7"/>
        <v>20.460000000000036</v>
      </c>
      <c r="U334" s="18">
        <f t="shared" si="8"/>
        <v>1874.1</v>
      </c>
      <c r="V334" s="18">
        <f t="shared" si="9"/>
        <v>1588.2203389830509</v>
      </c>
      <c r="W334" s="24">
        <f t="shared" si="10"/>
        <v>0.77285661264382033</v>
      </c>
      <c r="X334" s="22"/>
    </row>
    <row r="335" spans="1:24" x14ac:dyDescent="0.25">
      <c r="A335" s="9" t="s">
        <v>24</v>
      </c>
      <c r="B335" s="9" t="s">
        <v>81</v>
      </c>
      <c r="C335" s="10"/>
      <c r="D335" s="9" t="s">
        <v>615</v>
      </c>
      <c r="E335" s="9" t="s">
        <v>616</v>
      </c>
      <c r="F335" s="12">
        <v>1</v>
      </c>
      <c r="G335" s="14">
        <v>2284</v>
      </c>
      <c r="H335" s="18">
        <f t="shared" si="0"/>
        <v>2284</v>
      </c>
      <c r="I335" s="19">
        <v>0.18</v>
      </c>
      <c r="J335" s="18">
        <f t="shared" si="1"/>
        <v>2695.12</v>
      </c>
      <c r="K335" s="18">
        <v>2879</v>
      </c>
      <c r="L335" s="18">
        <f t="shared" si="2"/>
        <v>2879</v>
      </c>
      <c r="M335" s="18">
        <f t="shared" si="3"/>
        <v>3397.22</v>
      </c>
      <c r="N335" s="12">
        <v>600</v>
      </c>
      <c r="O335" s="19">
        <v>0.18</v>
      </c>
      <c r="P335" s="18">
        <f t="shared" si="4"/>
        <v>708</v>
      </c>
      <c r="Q335" s="12">
        <v>50</v>
      </c>
      <c r="R335" s="18">
        <f t="shared" si="5"/>
        <v>4105.2199999999993</v>
      </c>
      <c r="S335" s="22">
        <f t="shared" si="6"/>
        <v>4099</v>
      </c>
      <c r="T335" s="18">
        <f t="shared" si="7"/>
        <v>-6.2199999999993452</v>
      </c>
      <c r="U335" s="18">
        <f t="shared" si="8"/>
        <v>1353.88</v>
      </c>
      <c r="V335" s="18">
        <f t="shared" si="9"/>
        <v>1147.35593220339</v>
      </c>
      <c r="W335" s="24">
        <f t="shared" si="10"/>
        <v>0.50234497907328812</v>
      </c>
      <c r="X335" s="22"/>
    </row>
    <row r="336" spans="1:24" x14ac:dyDescent="0.25">
      <c r="A336" s="9" t="s">
        <v>24</v>
      </c>
      <c r="B336" s="9" t="s">
        <v>77</v>
      </c>
      <c r="C336" s="10"/>
      <c r="D336" s="9" t="s">
        <v>617</v>
      </c>
      <c r="E336" s="9" t="s">
        <v>618</v>
      </c>
      <c r="F336" s="12">
        <v>1</v>
      </c>
      <c r="G336" s="14">
        <v>580</v>
      </c>
      <c r="H336" s="18">
        <f t="shared" si="0"/>
        <v>580</v>
      </c>
      <c r="I336" s="19">
        <v>0.18</v>
      </c>
      <c r="J336" s="18">
        <f t="shared" si="1"/>
        <v>684.4</v>
      </c>
      <c r="K336" s="18">
        <v>731</v>
      </c>
      <c r="L336" s="18">
        <f t="shared" si="2"/>
        <v>731</v>
      </c>
      <c r="M336" s="18">
        <f t="shared" si="3"/>
        <v>862.57999999999993</v>
      </c>
      <c r="N336" s="12">
        <v>300</v>
      </c>
      <c r="O336" s="19">
        <v>0.18</v>
      </c>
      <c r="P336" s="18">
        <f t="shared" si="4"/>
        <v>354</v>
      </c>
      <c r="Q336" s="12">
        <v>50</v>
      </c>
      <c r="R336" s="18">
        <f t="shared" si="5"/>
        <v>1216.58</v>
      </c>
      <c r="S336" s="22">
        <f t="shared" si="6"/>
        <v>1199</v>
      </c>
      <c r="T336" s="18">
        <f t="shared" si="7"/>
        <v>-17.579999999999927</v>
      </c>
      <c r="U336" s="18">
        <f t="shared" si="8"/>
        <v>464.6</v>
      </c>
      <c r="V336" s="18">
        <f t="shared" si="9"/>
        <v>393.72881355932208</v>
      </c>
      <c r="W336" s="24">
        <f t="shared" si="10"/>
        <v>0.67884278199883119</v>
      </c>
      <c r="X336" s="22"/>
    </row>
    <row r="337" spans="1:24" x14ac:dyDescent="0.25">
      <c r="A337" s="9" t="s">
        <v>24</v>
      </c>
      <c r="B337" s="9" t="s">
        <v>81</v>
      </c>
      <c r="C337" s="10"/>
      <c r="D337" s="9" t="s">
        <v>617</v>
      </c>
      <c r="E337" s="9" t="s">
        <v>619</v>
      </c>
      <c r="F337" s="12">
        <v>1</v>
      </c>
      <c r="G337" s="14">
        <v>470</v>
      </c>
      <c r="H337" s="18">
        <f t="shared" si="0"/>
        <v>470</v>
      </c>
      <c r="I337" s="19">
        <v>0.18</v>
      </c>
      <c r="J337" s="18">
        <f t="shared" si="1"/>
        <v>554.6</v>
      </c>
      <c r="K337" s="18">
        <v>623</v>
      </c>
      <c r="L337" s="18">
        <f t="shared" si="2"/>
        <v>623</v>
      </c>
      <c r="M337" s="18">
        <f t="shared" si="3"/>
        <v>735.14</v>
      </c>
      <c r="N337" s="12">
        <v>300</v>
      </c>
      <c r="O337" s="19">
        <v>0.18</v>
      </c>
      <c r="P337" s="18">
        <f t="shared" si="4"/>
        <v>354</v>
      </c>
      <c r="Q337" s="12">
        <v>50</v>
      </c>
      <c r="R337" s="18">
        <f t="shared" si="5"/>
        <v>1089.1399999999999</v>
      </c>
      <c r="S337" s="22">
        <f t="shared" si="6"/>
        <v>1099</v>
      </c>
      <c r="T337" s="18">
        <f t="shared" si="7"/>
        <v>9.8600000000001273</v>
      </c>
      <c r="U337" s="18">
        <f t="shared" si="8"/>
        <v>494.4</v>
      </c>
      <c r="V337" s="18">
        <f t="shared" si="9"/>
        <v>418.9830508474576</v>
      </c>
      <c r="W337" s="24">
        <f t="shared" si="10"/>
        <v>0.89145329967544173</v>
      </c>
      <c r="X337" s="22"/>
    </row>
    <row r="338" spans="1:24" x14ac:dyDescent="0.25">
      <c r="A338" s="9" t="s">
        <v>24</v>
      </c>
      <c r="B338" s="9" t="s">
        <v>25</v>
      </c>
      <c r="C338" s="10"/>
      <c r="D338" s="9" t="s">
        <v>620</v>
      </c>
      <c r="E338" s="9" t="s">
        <v>621</v>
      </c>
      <c r="F338" s="12">
        <v>1</v>
      </c>
      <c r="G338" s="14">
        <v>1460</v>
      </c>
      <c r="H338" s="18">
        <f t="shared" si="0"/>
        <v>1460</v>
      </c>
      <c r="I338" s="19">
        <v>0.18</v>
      </c>
      <c r="J338" s="18">
        <f t="shared" si="1"/>
        <v>1722.8</v>
      </c>
      <c r="K338" s="18">
        <v>1719</v>
      </c>
      <c r="L338" s="18">
        <f t="shared" si="2"/>
        <v>1719</v>
      </c>
      <c r="M338" s="18">
        <f t="shared" si="3"/>
        <v>2028.4199999999998</v>
      </c>
      <c r="N338" s="12">
        <v>200</v>
      </c>
      <c r="O338" s="19">
        <v>0.18</v>
      </c>
      <c r="P338" s="18">
        <f t="shared" si="4"/>
        <v>236</v>
      </c>
      <c r="Q338" s="12">
        <v>0</v>
      </c>
      <c r="R338" s="18">
        <f t="shared" si="5"/>
        <v>2264.42</v>
      </c>
      <c r="S338" s="22">
        <f t="shared" si="6"/>
        <v>2249</v>
      </c>
      <c r="T338" s="18">
        <f t="shared" si="7"/>
        <v>-15.420000000000073</v>
      </c>
      <c r="U338" s="18">
        <f t="shared" si="8"/>
        <v>526.20000000000005</v>
      </c>
      <c r="V338" s="18">
        <f t="shared" si="9"/>
        <v>445.93220338983059</v>
      </c>
      <c r="W338" s="24">
        <f t="shared" si="10"/>
        <v>0.30543301602043194</v>
      </c>
      <c r="X338" s="22"/>
    </row>
    <row r="339" spans="1:24" x14ac:dyDescent="0.25">
      <c r="A339" s="9" t="s">
        <v>24</v>
      </c>
      <c r="B339" s="9" t="s">
        <v>40</v>
      </c>
      <c r="C339" s="10"/>
      <c r="D339" s="9" t="s">
        <v>622</v>
      </c>
      <c r="E339" s="9" t="s">
        <v>623</v>
      </c>
      <c r="F339" s="12">
        <v>1</v>
      </c>
      <c r="G339" s="14">
        <v>1565</v>
      </c>
      <c r="H339" s="18">
        <f t="shared" si="0"/>
        <v>1565</v>
      </c>
      <c r="I339" s="19">
        <v>0.18</v>
      </c>
      <c r="J339" s="18">
        <f t="shared" si="1"/>
        <v>1846.6999999999998</v>
      </c>
      <c r="K339" s="18">
        <v>1842</v>
      </c>
      <c r="L339" s="18">
        <f t="shared" si="2"/>
        <v>1842</v>
      </c>
      <c r="M339" s="18">
        <f t="shared" si="3"/>
        <v>2173.56</v>
      </c>
      <c r="N339" s="12">
        <v>300</v>
      </c>
      <c r="O339" s="19">
        <v>0.18</v>
      </c>
      <c r="P339" s="18">
        <f t="shared" si="4"/>
        <v>354</v>
      </c>
      <c r="Q339" s="12">
        <v>0</v>
      </c>
      <c r="R339" s="18">
        <f t="shared" si="5"/>
        <v>2527.56</v>
      </c>
      <c r="S339" s="22">
        <f t="shared" si="6"/>
        <v>2549</v>
      </c>
      <c r="T339" s="18">
        <f t="shared" si="7"/>
        <v>21.440000000000055</v>
      </c>
      <c r="U339" s="18">
        <f t="shared" si="8"/>
        <v>702.30000000000018</v>
      </c>
      <c r="V339" s="18">
        <f t="shared" si="9"/>
        <v>595.16949152542395</v>
      </c>
      <c r="W339" s="24">
        <f t="shared" si="10"/>
        <v>0.38029999458493541</v>
      </c>
      <c r="X339" s="22"/>
    </row>
    <row r="340" spans="1:24" x14ac:dyDescent="0.25">
      <c r="A340" s="9" t="s">
        <v>24</v>
      </c>
      <c r="B340" s="9" t="s">
        <v>25</v>
      </c>
      <c r="C340" s="10"/>
      <c r="D340" s="9" t="s">
        <v>624</v>
      </c>
      <c r="E340" s="9" t="s">
        <v>625</v>
      </c>
      <c r="F340" s="12">
        <v>1</v>
      </c>
      <c r="G340" s="14">
        <v>1423</v>
      </c>
      <c r="H340" s="18">
        <f t="shared" si="0"/>
        <v>1423</v>
      </c>
      <c r="I340" s="19">
        <v>0.18</v>
      </c>
      <c r="J340" s="18">
        <f t="shared" si="1"/>
        <v>1679.1399999999999</v>
      </c>
      <c r="K340" s="18">
        <v>1675</v>
      </c>
      <c r="L340" s="18">
        <f t="shared" si="2"/>
        <v>1675</v>
      </c>
      <c r="M340" s="18">
        <f t="shared" si="3"/>
        <v>1976.5</v>
      </c>
      <c r="N340" s="12">
        <v>200</v>
      </c>
      <c r="O340" s="19">
        <v>0.18</v>
      </c>
      <c r="P340" s="18">
        <f t="shared" si="4"/>
        <v>236</v>
      </c>
      <c r="Q340" s="12">
        <v>0</v>
      </c>
      <c r="R340" s="18">
        <f t="shared" si="5"/>
        <v>2212.5</v>
      </c>
      <c r="S340" s="22">
        <f t="shared" si="6"/>
        <v>2199</v>
      </c>
      <c r="T340" s="18">
        <f t="shared" si="7"/>
        <v>-13.5</v>
      </c>
      <c r="U340" s="18">
        <f t="shared" si="8"/>
        <v>519.86000000000013</v>
      </c>
      <c r="V340" s="18">
        <f t="shared" si="9"/>
        <v>440.55932203389841</v>
      </c>
      <c r="W340" s="24">
        <f t="shared" si="10"/>
        <v>0.3095989613730839</v>
      </c>
      <c r="X340" s="22"/>
    </row>
    <row r="341" spans="1:24" x14ac:dyDescent="0.25">
      <c r="A341" s="9" t="s">
        <v>24</v>
      </c>
      <c r="B341" s="9" t="s">
        <v>25</v>
      </c>
      <c r="C341" s="10"/>
      <c r="D341" s="9" t="s">
        <v>626</v>
      </c>
      <c r="E341" s="9" t="s">
        <v>625</v>
      </c>
      <c r="F341" s="12">
        <v>1</v>
      </c>
      <c r="G341" s="14">
        <v>1423</v>
      </c>
      <c r="H341" s="18">
        <f t="shared" si="0"/>
        <v>1423</v>
      </c>
      <c r="I341" s="19">
        <v>0.18</v>
      </c>
      <c r="J341" s="18">
        <f t="shared" si="1"/>
        <v>1679.1399999999999</v>
      </c>
      <c r="K341" s="18">
        <v>1675</v>
      </c>
      <c r="L341" s="18">
        <f t="shared" si="2"/>
        <v>1675</v>
      </c>
      <c r="M341" s="18">
        <f t="shared" si="3"/>
        <v>1976.5</v>
      </c>
      <c r="N341" s="12">
        <v>500</v>
      </c>
      <c r="O341" s="19">
        <v>0.18</v>
      </c>
      <c r="P341" s="18">
        <f t="shared" si="4"/>
        <v>590</v>
      </c>
      <c r="Q341" s="12">
        <v>0</v>
      </c>
      <c r="R341" s="18">
        <f t="shared" si="5"/>
        <v>2566.5</v>
      </c>
      <c r="S341" s="22">
        <f t="shared" si="6"/>
        <v>2549</v>
      </c>
      <c r="T341" s="18">
        <f t="shared" si="7"/>
        <v>-17.5</v>
      </c>
      <c r="U341" s="18">
        <f t="shared" si="8"/>
        <v>869.86000000000013</v>
      </c>
      <c r="V341" s="18">
        <f t="shared" si="9"/>
        <v>737.16949152542384</v>
      </c>
      <c r="W341" s="24">
        <f t="shared" si="10"/>
        <v>0.51803899615279259</v>
      </c>
      <c r="X341" s="22"/>
    </row>
    <row r="342" spans="1:24" x14ac:dyDescent="0.25">
      <c r="A342" s="9" t="s">
        <v>99</v>
      </c>
      <c r="B342" s="9" t="s">
        <v>103</v>
      </c>
      <c r="C342" s="10"/>
      <c r="D342" s="9" t="s">
        <v>627</v>
      </c>
      <c r="E342" s="9" t="s">
        <v>628</v>
      </c>
      <c r="F342" s="12">
        <v>1</v>
      </c>
      <c r="G342" s="14">
        <v>215</v>
      </c>
      <c r="H342" s="18">
        <f t="shared" si="0"/>
        <v>215</v>
      </c>
      <c r="I342" s="19">
        <v>0.18</v>
      </c>
      <c r="J342" s="18">
        <f t="shared" si="1"/>
        <v>253.7</v>
      </c>
      <c r="K342" s="18">
        <v>270</v>
      </c>
      <c r="L342" s="18">
        <f t="shared" si="2"/>
        <v>270</v>
      </c>
      <c r="M342" s="18">
        <f t="shared" si="3"/>
        <v>318.59999999999997</v>
      </c>
      <c r="N342" s="12">
        <v>50</v>
      </c>
      <c r="O342" s="19">
        <v>0.18</v>
      </c>
      <c r="P342" s="18">
        <f t="shared" si="4"/>
        <v>59</v>
      </c>
      <c r="Q342" s="12">
        <v>0</v>
      </c>
      <c r="R342" s="18">
        <f t="shared" si="5"/>
        <v>377.59999999999997</v>
      </c>
      <c r="S342" s="22">
        <f t="shared" si="6"/>
        <v>399</v>
      </c>
      <c r="T342" s="18">
        <f t="shared" si="7"/>
        <v>21.400000000000034</v>
      </c>
      <c r="U342" s="18">
        <f t="shared" si="8"/>
        <v>145.30000000000001</v>
      </c>
      <c r="V342" s="18">
        <f t="shared" si="9"/>
        <v>123.135593220339</v>
      </c>
      <c r="W342" s="24">
        <f t="shared" si="10"/>
        <v>0.57272368939692564</v>
      </c>
      <c r="X342" s="22"/>
    </row>
    <row r="343" spans="1:24" x14ac:dyDescent="0.25">
      <c r="A343" s="9" t="s">
        <v>24</v>
      </c>
      <c r="B343" s="9" t="s">
        <v>77</v>
      </c>
      <c r="C343" s="10"/>
      <c r="D343" s="9" t="s">
        <v>629</v>
      </c>
      <c r="E343" s="9" t="s">
        <v>630</v>
      </c>
      <c r="F343" s="12">
        <v>1</v>
      </c>
      <c r="G343" s="14">
        <v>1663</v>
      </c>
      <c r="H343" s="18">
        <f t="shared" si="0"/>
        <v>1663</v>
      </c>
      <c r="I343" s="19">
        <v>0.18</v>
      </c>
      <c r="J343" s="18">
        <f t="shared" si="1"/>
        <v>1962.34</v>
      </c>
      <c r="K343" s="18">
        <v>1740</v>
      </c>
      <c r="L343" s="18">
        <f t="shared" si="2"/>
        <v>1740</v>
      </c>
      <c r="M343" s="18">
        <f t="shared" si="3"/>
        <v>2053.1999999999998</v>
      </c>
      <c r="N343" s="12">
        <v>0</v>
      </c>
      <c r="O343" s="19">
        <v>0.18</v>
      </c>
      <c r="P343" s="18">
        <f t="shared" si="4"/>
        <v>0</v>
      </c>
      <c r="Q343" s="12">
        <v>0</v>
      </c>
      <c r="R343" s="18">
        <f t="shared" si="5"/>
        <v>2053.1999999999998</v>
      </c>
      <c r="S343" s="22">
        <f t="shared" si="6"/>
        <v>2049</v>
      </c>
      <c r="T343" s="18">
        <f t="shared" si="7"/>
        <v>-4.1999999999998181</v>
      </c>
      <c r="U343" s="18">
        <f t="shared" si="8"/>
        <v>86.660000000000082</v>
      </c>
      <c r="V343" s="18">
        <f t="shared" si="9"/>
        <v>73.440677966101774</v>
      </c>
      <c r="W343" s="24">
        <f t="shared" si="10"/>
        <v>4.4161562216537449E-2</v>
      </c>
      <c r="X343" s="22"/>
    </row>
    <row r="344" spans="1:24" x14ac:dyDescent="0.25">
      <c r="A344" s="9" t="s">
        <v>24</v>
      </c>
      <c r="B344" s="9" t="s">
        <v>692</v>
      </c>
      <c r="C344" s="10"/>
      <c r="D344" s="9" t="s">
        <v>631</v>
      </c>
      <c r="E344" s="9" t="s">
        <v>632</v>
      </c>
      <c r="F344" s="12">
        <v>1</v>
      </c>
      <c r="G344" s="14">
        <v>1925</v>
      </c>
      <c r="H344" s="18">
        <f t="shared" si="0"/>
        <v>1925</v>
      </c>
      <c r="I344" s="19">
        <v>0.18</v>
      </c>
      <c r="J344" s="18">
        <f t="shared" si="1"/>
        <v>2271.5</v>
      </c>
      <c r="K344" s="18">
        <v>2426</v>
      </c>
      <c r="L344" s="18">
        <f t="shared" si="2"/>
        <v>2426</v>
      </c>
      <c r="M344" s="18">
        <f t="shared" si="3"/>
        <v>2862.68</v>
      </c>
      <c r="N344" s="12">
        <v>0</v>
      </c>
      <c r="O344" s="19">
        <v>0.18</v>
      </c>
      <c r="P344" s="18">
        <f t="shared" si="4"/>
        <v>0</v>
      </c>
      <c r="Q344" s="12">
        <v>0</v>
      </c>
      <c r="R344" s="18">
        <f t="shared" si="5"/>
        <v>2862.68</v>
      </c>
      <c r="S344" s="22">
        <f t="shared" si="6"/>
        <v>2849</v>
      </c>
      <c r="T344" s="18">
        <f t="shared" si="7"/>
        <v>-13.679999999999836</v>
      </c>
      <c r="U344" s="18">
        <f t="shared" si="8"/>
        <v>577.5</v>
      </c>
      <c r="V344" s="18">
        <f t="shared" si="9"/>
        <v>489.40677966101697</v>
      </c>
      <c r="W344" s="24">
        <f t="shared" si="10"/>
        <v>0.25423728813559321</v>
      </c>
      <c r="X344" s="22"/>
    </row>
    <row r="345" spans="1:24" x14ac:dyDescent="0.25">
      <c r="A345" s="9" t="s">
        <v>24</v>
      </c>
      <c r="B345" s="9" t="s">
        <v>134</v>
      </c>
      <c r="C345" s="10"/>
      <c r="D345" s="9" t="s">
        <v>629</v>
      </c>
      <c r="E345" s="9" t="s">
        <v>633</v>
      </c>
      <c r="F345" s="12">
        <v>1</v>
      </c>
      <c r="G345" s="14">
        <v>1128</v>
      </c>
      <c r="H345" s="18">
        <f t="shared" si="0"/>
        <v>1128</v>
      </c>
      <c r="I345" s="19">
        <v>0.18</v>
      </c>
      <c r="J345" s="18">
        <f t="shared" si="1"/>
        <v>1331.04</v>
      </c>
      <c r="K345" s="18">
        <v>1421</v>
      </c>
      <c r="L345" s="18">
        <f t="shared" si="2"/>
        <v>1421</v>
      </c>
      <c r="M345" s="18">
        <f t="shared" si="3"/>
        <v>1676.78</v>
      </c>
      <c r="N345" s="12">
        <v>0</v>
      </c>
      <c r="O345" s="19">
        <v>0.18</v>
      </c>
      <c r="P345" s="18">
        <f t="shared" si="4"/>
        <v>0</v>
      </c>
      <c r="Q345" s="12">
        <v>0</v>
      </c>
      <c r="R345" s="18">
        <f t="shared" si="5"/>
        <v>1676.78</v>
      </c>
      <c r="S345" s="22">
        <f t="shared" si="6"/>
        <v>1699</v>
      </c>
      <c r="T345" s="18">
        <f t="shared" si="7"/>
        <v>22.220000000000027</v>
      </c>
      <c r="U345" s="18">
        <f t="shared" si="8"/>
        <v>367.96000000000004</v>
      </c>
      <c r="V345" s="18">
        <f t="shared" si="9"/>
        <v>311.83050847457633</v>
      </c>
      <c r="W345" s="24">
        <f t="shared" si="10"/>
        <v>0.27644548623632653</v>
      </c>
      <c r="X345" s="22"/>
    </row>
    <row r="346" spans="1:24" x14ac:dyDescent="0.25">
      <c r="A346" s="9" t="s">
        <v>24</v>
      </c>
      <c r="B346" s="9" t="s">
        <v>137</v>
      </c>
      <c r="C346" s="10"/>
      <c r="D346" s="9" t="s">
        <v>629</v>
      </c>
      <c r="E346" s="9" t="s">
        <v>354</v>
      </c>
      <c r="F346" s="12">
        <v>1</v>
      </c>
      <c r="G346" s="14">
        <v>1229</v>
      </c>
      <c r="H346" s="18">
        <f t="shared" si="0"/>
        <v>1229</v>
      </c>
      <c r="I346" s="19">
        <v>0.18</v>
      </c>
      <c r="J346" s="18">
        <f t="shared" si="1"/>
        <v>1450.22</v>
      </c>
      <c r="K346" s="18">
        <v>1319</v>
      </c>
      <c r="L346" s="18">
        <f t="shared" si="2"/>
        <v>1319</v>
      </c>
      <c r="M346" s="18">
        <f t="shared" si="3"/>
        <v>1556.4199999999998</v>
      </c>
      <c r="N346" s="12">
        <v>0</v>
      </c>
      <c r="O346" s="19">
        <v>0.18</v>
      </c>
      <c r="P346" s="18">
        <f t="shared" si="4"/>
        <v>0</v>
      </c>
      <c r="Q346" s="12">
        <v>0</v>
      </c>
      <c r="R346" s="18">
        <f t="shared" si="5"/>
        <v>1556.4199999999998</v>
      </c>
      <c r="S346" s="22">
        <f t="shared" si="6"/>
        <v>1549</v>
      </c>
      <c r="T346" s="18">
        <f t="shared" si="7"/>
        <v>-7.4199999999998454</v>
      </c>
      <c r="U346" s="18">
        <f t="shared" si="8"/>
        <v>98.779999999999973</v>
      </c>
      <c r="V346" s="18">
        <f t="shared" si="9"/>
        <v>83.71186440677964</v>
      </c>
      <c r="W346" s="24">
        <f t="shared" si="10"/>
        <v>6.8113803422928915E-2</v>
      </c>
      <c r="X346" s="22"/>
    </row>
    <row r="347" spans="1:24" x14ac:dyDescent="0.25">
      <c r="A347" s="9" t="s">
        <v>24</v>
      </c>
      <c r="B347" s="9" t="s">
        <v>52</v>
      </c>
      <c r="C347" s="10"/>
      <c r="D347" s="9" t="s">
        <v>629</v>
      </c>
      <c r="E347" s="9" t="s">
        <v>634</v>
      </c>
      <c r="F347" s="12">
        <v>1</v>
      </c>
      <c r="G347" s="14">
        <v>1143</v>
      </c>
      <c r="H347" s="18">
        <f t="shared" si="0"/>
        <v>1143</v>
      </c>
      <c r="I347" s="19">
        <v>0.18</v>
      </c>
      <c r="J347" s="18">
        <f t="shared" si="1"/>
        <v>1348.74</v>
      </c>
      <c r="K347" s="18">
        <v>1441</v>
      </c>
      <c r="L347" s="18">
        <f t="shared" si="2"/>
        <v>1441</v>
      </c>
      <c r="M347" s="18">
        <f t="shared" si="3"/>
        <v>1700.3799999999999</v>
      </c>
      <c r="N347" s="12">
        <v>0</v>
      </c>
      <c r="O347" s="19">
        <v>0.18</v>
      </c>
      <c r="P347" s="18">
        <f t="shared" si="4"/>
        <v>0</v>
      </c>
      <c r="Q347" s="12">
        <v>0</v>
      </c>
      <c r="R347" s="18">
        <f t="shared" si="5"/>
        <v>1700.3799999999999</v>
      </c>
      <c r="S347" s="22">
        <f t="shared" si="6"/>
        <v>1699</v>
      </c>
      <c r="T347" s="18">
        <f t="shared" si="7"/>
        <v>-1.3799999999998818</v>
      </c>
      <c r="U347" s="18">
        <f t="shared" si="8"/>
        <v>350.26</v>
      </c>
      <c r="V347" s="18">
        <f t="shared" si="9"/>
        <v>296.83050847457628</v>
      </c>
      <c r="W347" s="24">
        <f t="shared" si="10"/>
        <v>0.25969423313611223</v>
      </c>
      <c r="X347" s="22"/>
    </row>
    <row r="348" spans="1:24" x14ac:dyDescent="0.25">
      <c r="A348" s="9" t="s">
        <v>24</v>
      </c>
      <c r="B348" s="9" t="s">
        <v>58</v>
      </c>
      <c r="C348" s="10"/>
      <c r="D348" s="9" t="s">
        <v>629</v>
      </c>
      <c r="E348" s="9" t="s">
        <v>635</v>
      </c>
      <c r="F348" s="12">
        <v>1</v>
      </c>
      <c r="G348" s="14">
        <v>1681</v>
      </c>
      <c r="H348" s="18">
        <f t="shared" si="0"/>
        <v>1681</v>
      </c>
      <c r="I348" s="19">
        <v>0.18</v>
      </c>
      <c r="J348" s="18">
        <f t="shared" si="1"/>
        <v>1983.58</v>
      </c>
      <c r="K348" s="18">
        <v>2150</v>
      </c>
      <c r="L348" s="18">
        <f t="shared" si="2"/>
        <v>2150</v>
      </c>
      <c r="M348" s="18">
        <f t="shared" si="3"/>
        <v>2537</v>
      </c>
      <c r="N348" s="12">
        <v>0</v>
      </c>
      <c r="O348" s="19">
        <v>0.18</v>
      </c>
      <c r="P348" s="18">
        <f t="shared" si="4"/>
        <v>0</v>
      </c>
      <c r="Q348" s="12">
        <v>0</v>
      </c>
      <c r="R348" s="18">
        <f t="shared" si="5"/>
        <v>2537</v>
      </c>
      <c r="S348" s="22">
        <f t="shared" si="6"/>
        <v>2549</v>
      </c>
      <c r="T348" s="18">
        <f t="shared" si="7"/>
        <v>12</v>
      </c>
      <c r="U348" s="18">
        <f t="shared" si="8"/>
        <v>565.42000000000007</v>
      </c>
      <c r="V348" s="18">
        <f t="shared" si="9"/>
        <v>479.16949152542384</v>
      </c>
      <c r="W348" s="24">
        <f t="shared" si="10"/>
        <v>0.2850502626564092</v>
      </c>
      <c r="X348" s="22"/>
    </row>
    <row r="349" spans="1:24" x14ac:dyDescent="0.25">
      <c r="A349" s="9" t="s">
        <v>24</v>
      </c>
      <c r="B349" s="9" t="s">
        <v>63</v>
      </c>
      <c r="C349" s="10"/>
      <c r="D349" s="9" t="s">
        <v>629</v>
      </c>
      <c r="E349" s="9" t="s">
        <v>636</v>
      </c>
      <c r="F349" s="12">
        <v>1</v>
      </c>
      <c r="G349" s="14">
        <v>1429</v>
      </c>
      <c r="H349" s="18">
        <f t="shared" si="0"/>
        <v>1429</v>
      </c>
      <c r="I349" s="19">
        <v>0.12</v>
      </c>
      <c r="J349" s="18">
        <f t="shared" si="1"/>
        <v>1600.4800000000002</v>
      </c>
      <c r="K349" s="18">
        <v>1682</v>
      </c>
      <c r="L349" s="18">
        <f t="shared" si="2"/>
        <v>1682</v>
      </c>
      <c r="M349" s="18">
        <f t="shared" si="3"/>
        <v>1883.8400000000001</v>
      </c>
      <c r="N349" s="12">
        <v>0</v>
      </c>
      <c r="O349" s="19">
        <v>0.18</v>
      </c>
      <c r="P349" s="18">
        <f t="shared" si="4"/>
        <v>0</v>
      </c>
      <c r="Q349" s="12">
        <v>0</v>
      </c>
      <c r="R349" s="18">
        <f t="shared" si="5"/>
        <v>1883.8400000000001</v>
      </c>
      <c r="S349" s="22">
        <f t="shared" si="6"/>
        <v>1899</v>
      </c>
      <c r="T349" s="18">
        <f t="shared" si="7"/>
        <v>15.159999999999854</v>
      </c>
      <c r="U349" s="18">
        <f t="shared" si="8"/>
        <v>298.51999999999975</v>
      </c>
      <c r="V349" s="18">
        <f t="shared" si="9"/>
        <v>266.53571428571405</v>
      </c>
      <c r="W349" s="24">
        <f t="shared" si="10"/>
        <v>0.18651904428671381</v>
      </c>
      <c r="X349" s="22"/>
    </row>
    <row r="350" spans="1:24" x14ac:dyDescent="0.25">
      <c r="A350" s="9" t="s">
        <v>24</v>
      </c>
      <c r="B350" s="9" t="s">
        <v>44</v>
      </c>
      <c r="C350" s="10"/>
      <c r="D350" s="9" t="s">
        <v>637</v>
      </c>
      <c r="E350" s="9" t="s">
        <v>638</v>
      </c>
      <c r="F350" s="12">
        <v>1</v>
      </c>
      <c r="G350" s="14">
        <v>853</v>
      </c>
      <c r="H350" s="18">
        <f t="shared" si="0"/>
        <v>853</v>
      </c>
      <c r="I350" s="19">
        <v>0.18</v>
      </c>
      <c r="J350" s="18">
        <f t="shared" si="1"/>
        <v>1006.54</v>
      </c>
      <c r="K350" s="18">
        <v>938</v>
      </c>
      <c r="L350" s="18">
        <f t="shared" si="2"/>
        <v>938</v>
      </c>
      <c r="M350" s="18">
        <f t="shared" si="3"/>
        <v>1106.8399999999999</v>
      </c>
      <c r="N350" s="12">
        <v>0</v>
      </c>
      <c r="O350" s="19">
        <v>0.18</v>
      </c>
      <c r="P350" s="18">
        <f t="shared" si="4"/>
        <v>0</v>
      </c>
      <c r="Q350" s="12">
        <v>0</v>
      </c>
      <c r="R350" s="18">
        <f t="shared" si="5"/>
        <v>1106.8399999999999</v>
      </c>
      <c r="S350" s="22">
        <f t="shared" si="6"/>
        <v>1099</v>
      </c>
      <c r="T350" s="18">
        <f t="shared" si="7"/>
        <v>-7.8399999999999181</v>
      </c>
      <c r="U350" s="18">
        <f t="shared" si="8"/>
        <v>92.460000000000036</v>
      </c>
      <c r="V350" s="18">
        <f t="shared" si="9"/>
        <v>78.35593220338987</v>
      </c>
      <c r="W350" s="24">
        <f t="shared" si="10"/>
        <v>9.1859240566693867E-2</v>
      </c>
      <c r="X350" s="22"/>
    </row>
    <row r="351" spans="1:24" x14ac:dyDescent="0.25">
      <c r="A351" s="9" t="s">
        <v>24</v>
      </c>
      <c r="B351" s="9" t="s">
        <v>44</v>
      </c>
      <c r="C351" s="10"/>
      <c r="D351" s="9" t="s">
        <v>639</v>
      </c>
      <c r="E351" s="9" t="s">
        <v>640</v>
      </c>
      <c r="F351" s="12">
        <v>1</v>
      </c>
      <c r="G351" s="14">
        <v>900</v>
      </c>
      <c r="H351" s="18">
        <f t="shared" si="0"/>
        <v>900</v>
      </c>
      <c r="I351" s="19">
        <v>0.18</v>
      </c>
      <c r="J351" s="18">
        <f t="shared" si="1"/>
        <v>1062</v>
      </c>
      <c r="K351" s="18">
        <v>991</v>
      </c>
      <c r="L351" s="18">
        <f t="shared" si="2"/>
        <v>991</v>
      </c>
      <c r="M351" s="18">
        <f t="shared" si="3"/>
        <v>1169.3799999999999</v>
      </c>
      <c r="N351" s="12">
        <v>0</v>
      </c>
      <c r="O351" s="19">
        <v>0.18</v>
      </c>
      <c r="P351" s="18">
        <f t="shared" si="4"/>
        <v>0</v>
      </c>
      <c r="Q351" s="12">
        <v>0</v>
      </c>
      <c r="R351" s="18">
        <f t="shared" si="5"/>
        <v>1169.3799999999999</v>
      </c>
      <c r="S351" s="22">
        <f t="shared" si="6"/>
        <v>1149</v>
      </c>
      <c r="T351" s="18">
        <f t="shared" si="7"/>
        <v>-20.379999999999882</v>
      </c>
      <c r="U351" s="18">
        <f t="shared" si="8"/>
        <v>87</v>
      </c>
      <c r="V351" s="18">
        <f t="shared" si="9"/>
        <v>73.728813559322035</v>
      </c>
      <c r="W351" s="24">
        <f t="shared" si="10"/>
        <v>8.1920903954802254E-2</v>
      </c>
      <c r="X351" s="22"/>
    </row>
    <row r="352" spans="1:24" x14ac:dyDescent="0.25">
      <c r="A352" s="9" t="s">
        <v>24</v>
      </c>
      <c r="B352" s="9" t="s">
        <v>43</v>
      </c>
      <c r="C352" s="10"/>
      <c r="D352" s="9" t="s">
        <v>641</v>
      </c>
      <c r="E352" s="9" t="s">
        <v>642</v>
      </c>
      <c r="F352" s="12">
        <v>1</v>
      </c>
      <c r="G352" s="14">
        <v>992</v>
      </c>
      <c r="H352" s="18">
        <f t="shared" si="0"/>
        <v>992</v>
      </c>
      <c r="I352" s="19">
        <v>0.18</v>
      </c>
      <c r="J352" s="18">
        <f t="shared" si="1"/>
        <v>1170.56</v>
      </c>
      <c r="K352" s="18">
        <v>1236</v>
      </c>
      <c r="L352" s="18">
        <f t="shared" si="2"/>
        <v>1236</v>
      </c>
      <c r="M352" s="18">
        <f t="shared" si="3"/>
        <v>1458.48</v>
      </c>
      <c r="N352" s="12">
        <v>0</v>
      </c>
      <c r="O352" s="19">
        <v>0.18</v>
      </c>
      <c r="P352" s="18">
        <f t="shared" si="4"/>
        <v>0</v>
      </c>
      <c r="Q352" s="12">
        <v>0</v>
      </c>
      <c r="R352" s="18">
        <f t="shared" si="5"/>
        <v>1458.48</v>
      </c>
      <c r="S352" s="22">
        <f t="shared" si="6"/>
        <v>1449</v>
      </c>
      <c r="T352" s="18">
        <f t="shared" si="7"/>
        <v>-9.4800000000000182</v>
      </c>
      <c r="U352" s="18">
        <f t="shared" si="8"/>
        <v>278.44000000000005</v>
      </c>
      <c r="V352" s="18">
        <f t="shared" si="9"/>
        <v>235.96610169491532</v>
      </c>
      <c r="W352" s="24">
        <f t="shared" si="10"/>
        <v>0.23786905412793882</v>
      </c>
      <c r="X352" s="22"/>
    </row>
    <row r="353" spans="1:24" x14ac:dyDescent="0.25">
      <c r="A353" s="9" t="s">
        <v>24</v>
      </c>
      <c r="B353" s="9" t="s">
        <v>43</v>
      </c>
      <c r="C353" s="10"/>
      <c r="D353" s="9" t="s">
        <v>643</v>
      </c>
      <c r="E353" s="9" t="s">
        <v>644</v>
      </c>
      <c r="F353" s="12">
        <v>1</v>
      </c>
      <c r="G353" s="14">
        <v>1982</v>
      </c>
      <c r="H353" s="18">
        <f t="shared" si="0"/>
        <v>1982</v>
      </c>
      <c r="I353" s="19">
        <v>0.18</v>
      </c>
      <c r="J353" s="18">
        <f t="shared" si="1"/>
        <v>2338.7599999999998</v>
      </c>
      <c r="K353" s="18">
        <v>2469</v>
      </c>
      <c r="L353" s="18">
        <f t="shared" si="2"/>
        <v>2469</v>
      </c>
      <c r="M353" s="18">
        <f t="shared" si="3"/>
        <v>2913.42</v>
      </c>
      <c r="N353" s="12">
        <v>0</v>
      </c>
      <c r="O353" s="19">
        <v>0.18</v>
      </c>
      <c r="P353" s="18">
        <f t="shared" si="4"/>
        <v>0</v>
      </c>
      <c r="Q353" s="12">
        <v>0</v>
      </c>
      <c r="R353" s="18">
        <f t="shared" si="5"/>
        <v>2913.42</v>
      </c>
      <c r="S353" s="22">
        <f t="shared" si="6"/>
        <v>2899</v>
      </c>
      <c r="T353" s="18">
        <f t="shared" si="7"/>
        <v>-14.420000000000073</v>
      </c>
      <c r="U353" s="18">
        <f t="shared" si="8"/>
        <v>560.24000000000024</v>
      </c>
      <c r="V353" s="18">
        <f t="shared" si="9"/>
        <v>474.77966101694938</v>
      </c>
      <c r="W353" s="24">
        <f t="shared" si="10"/>
        <v>0.23954574218816821</v>
      </c>
      <c r="X353" s="22"/>
    </row>
    <row r="354" spans="1:24" x14ac:dyDescent="0.25">
      <c r="A354" s="9" t="s">
        <v>24</v>
      </c>
      <c r="B354" s="9" t="s">
        <v>40</v>
      </c>
      <c r="C354" s="10"/>
      <c r="D354" s="9" t="s">
        <v>645</v>
      </c>
      <c r="E354" s="9" t="s">
        <v>646</v>
      </c>
      <c r="F354" s="12">
        <v>1</v>
      </c>
      <c r="G354" s="14">
        <v>856</v>
      </c>
      <c r="H354" s="18">
        <f t="shared" si="0"/>
        <v>856</v>
      </c>
      <c r="I354" s="19">
        <v>0.18</v>
      </c>
      <c r="J354" s="18">
        <f t="shared" si="1"/>
        <v>1010.0799999999999</v>
      </c>
      <c r="K354" s="18">
        <v>1236</v>
      </c>
      <c r="L354" s="18">
        <f t="shared" si="2"/>
        <v>1236</v>
      </c>
      <c r="M354" s="18">
        <f t="shared" si="3"/>
        <v>1458.48</v>
      </c>
      <c r="N354" s="12">
        <v>0</v>
      </c>
      <c r="O354" s="19">
        <v>0.18</v>
      </c>
      <c r="P354" s="18">
        <f t="shared" si="4"/>
        <v>0</v>
      </c>
      <c r="Q354" s="12">
        <v>0</v>
      </c>
      <c r="R354" s="18">
        <f t="shared" si="5"/>
        <v>1458.48</v>
      </c>
      <c r="S354" s="22">
        <f t="shared" si="6"/>
        <v>1449</v>
      </c>
      <c r="T354" s="18">
        <f t="shared" si="7"/>
        <v>-9.4800000000000182</v>
      </c>
      <c r="U354" s="18">
        <f t="shared" si="8"/>
        <v>438.92000000000007</v>
      </c>
      <c r="V354" s="18">
        <f t="shared" si="9"/>
        <v>371.96610169491532</v>
      </c>
      <c r="W354" s="24">
        <f t="shared" si="10"/>
        <v>0.43453983842863941</v>
      </c>
      <c r="X354" s="22"/>
    </row>
    <row r="355" spans="1:24" x14ac:dyDescent="0.25">
      <c r="A355" s="9" t="s">
        <v>24</v>
      </c>
      <c r="B355" s="9" t="s">
        <v>40</v>
      </c>
      <c r="C355" s="10"/>
      <c r="D355" s="9" t="s">
        <v>647</v>
      </c>
      <c r="E355" s="9" t="s">
        <v>648</v>
      </c>
      <c r="F355" s="12">
        <v>1</v>
      </c>
      <c r="G355" s="14">
        <v>1824</v>
      </c>
      <c r="H355" s="18">
        <f t="shared" si="0"/>
        <v>1824</v>
      </c>
      <c r="I355" s="19">
        <v>0.18</v>
      </c>
      <c r="J355" s="18">
        <f t="shared" si="1"/>
        <v>2152.3199999999997</v>
      </c>
      <c r="K355" s="18">
        <v>2147</v>
      </c>
      <c r="L355" s="18">
        <f t="shared" si="2"/>
        <v>2147</v>
      </c>
      <c r="M355" s="18">
        <f t="shared" si="3"/>
        <v>2533.46</v>
      </c>
      <c r="N355" s="12">
        <v>0</v>
      </c>
      <c r="O355" s="19">
        <v>0.18</v>
      </c>
      <c r="P355" s="18">
        <f t="shared" si="4"/>
        <v>0</v>
      </c>
      <c r="Q355" s="12">
        <v>0</v>
      </c>
      <c r="R355" s="18">
        <f t="shared" si="5"/>
        <v>2533.46</v>
      </c>
      <c r="S355" s="22">
        <f t="shared" si="6"/>
        <v>2549</v>
      </c>
      <c r="T355" s="18">
        <f t="shared" si="7"/>
        <v>15.539999999999964</v>
      </c>
      <c r="U355" s="18">
        <f t="shared" si="8"/>
        <v>396.68000000000029</v>
      </c>
      <c r="V355" s="18">
        <f t="shared" si="9"/>
        <v>336.16949152542401</v>
      </c>
      <c r="W355" s="24">
        <f t="shared" si="10"/>
        <v>0.18430344930121931</v>
      </c>
      <c r="X355" s="22"/>
    </row>
    <row r="356" spans="1:24" x14ac:dyDescent="0.25">
      <c r="A356" s="9" t="s">
        <v>24</v>
      </c>
      <c r="B356" s="9" t="s">
        <v>77</v>
      </c>
      <c r="C356" s="10"/>
      <c r="D356" s="9" t="s">
        <v>649</v>
      </c>
      <c r="E356" s="9" t="s">
        <v>650</v>
      </c>
      <c r="F356" s="12">
        <v>1</v>
      </c>
      <c r="G356" s="14">
        <v>1365</v>
      </c>
      <c r="H356" s="18">
        <f t="shared" si="0"/>
        <v>1365</v>
      </c>
      <c r="I356" s="19">
        <v>0.18</v>
      </c>
      <c r="J356" s="18">
        <f t="shared" si="1"/>
        <v>1610.6999999999998</v>
      </c>
      <c r="K356" s="18">
        <v>1720</v>
      </c>
      <c r="L356" s="18">
        <f t="shared" si="2"/>
        <v>1720</v>
      </c>
      <c r="M356" s="18">
        <f t="shared" si="3"/>
        <v>2029.6</v>
      </c>
      <c r="N356" s="12">
        <v>150</v>
      </c>
      <c r="O356" s="19">
        <v>0.18</v>
      </c>
      <c r="P356" s="18">
        <f t="shared" si="4"/>
        <v>177</v>
      </c>
      <c r="Q356" s="12">
        <v>20</v>
      </c>
      <c r="R356" s="18">
        <f t="shared" si="5"/>
        <v>2206.6</v>
      </c>
      <c r="S356" s="22">
        <f t="shared" si="6"/>
        <v>2199</v>
      </c>
      <c r="T356" s="18">
        <f t="shared" si="7"/>
        <v>-7.5999999999999091</v>
      </c>
      <c r="U356" s="18">
        <f t="shared" si="8"/>
        <v>568.30000000000018</v>
      </c>
      <c r="V356" s="18">
        <f t="shared" si="9"/>
        <v>481.6101694915256</v>
      </c>
      <c r="W356" s="24">
        <f t="shared" si="10"/>
        <v>0.35282796299745467</v>
      </c>
      <c r="X356" s="22"/>
    </row>
    <row r="357" spans="1:24" x14ac:dyDescent="0.25">
      <c r="A357" s="9" t="s">
        <v>24</v>
      </c>
      <c r="B357" s="9" t="s">
        <v>81</v>
      </c>
      <c r="C357" s="10"/>
      <c r="D357" s="9" t="s">
        <v>651</v>
      </c>
      <c r="E357" s="9" t="s">
        <v>652</v>
      </c>
      <c r="F357" s="12">
        <v>1</v>
      </c>
      <c r="G357" s="14">
        <v>510.08</v>
      </c>
      <c r="H357" s="18">
        <f t="shared" si="0"/>
        <v>510.08</v>
      </c>
      <c r="I357" s="19">
        <v>0.18</v>
      </c>
      <c r="J357" s="18">
        <f t="shared" si="1"/>
        <v>601.89439999999991</v>
      </c>
      <c r="K357" s="18">
        <v>675</v>
      </c>
      <c r="L357" s="18">
        <f t="shared" si="2"/>
        <v>675</v>
      </c>
      <c r="M357" s="18">
        <f t="shared" si="3"/>
        <v>796.5</v>
      </c>
      <c r="N357" s="12">
        <v>100</v>
      </c>
      <c r="O357" s="19">
        <v>0.18</v>
      </c>
      <c r="P357" s="18">
        <f t="shared" si="4"/>
        <v>118</v>
      </c>
      <c r="Q357" s="12">
        <v>20</v>
      </c>
      <c r="R357" s="18">
        <f t="shared" si="5"/>
        <v>914.5</v>
      </c>
      <c r="S357" s="22">
        <f t="shared" si="6"/>
        <v>899</v>
      </c>
      <c r="T357" s="18">
        <f t="shared" si="7"/>
        <v>-15.5</v>
      </c>
      <c r="U357" s="18">
        <f t="shared" si="8"/>
        <v>277.10560000000009</v>
      </c>
      <c r="V357" s="18">
        <f t="shared" si="9"/>
        <v>234.83525423728824</v>
      </c>
      <c r="W357" s="24">
        <f t="shared" si="10"/>
        <v>0.46038906492567488</v>
      </c>
      <c r="X357" s="22"/>
    </row>
    <row r="358" spans="1:24" x14ac:dyDescent="0.25">
      <c r="A358" s="9" t="s">
        <v>24</v>
      </c>
      <c r="B358" s="9" t="s">
        <v>77</v>
      </c>
      <c r="C358" s="10"/>
      <c r="D358" s="9" t="s">
        <v>651</v>
      </c>
      <c r="E358" s="9" t="s">
        <v>653</v>
      </c>
      <c r="F358" s="12">
        <v>1</v>
      </c>
      <c r="G358" s="14">
        <v>984.54</v>
      </c>
      <c r="H358" s="18">
        <f t="shared" si="0"/>
        <v>984.54</v>
      </c>
      <c r="I358" s="19">
        <v>0.18</v>
      </c>
      <c r="J358" s="18">
        <f t="shared" si="1"/>
        <v>1161.7571999999998</v>
      </c>
      <c r="K358" s="18">
        <v>1241</v>
      </c>
      <c r="L358" s="18">
        <f t="shared" si="2"/>
        <v>1241</v>
      </c>
      <c r="M358" s="18">
        <f t="shared" si="3"/>
        <v>1464.3799999999999</v>
      </c>
      <c r="N358" s="12">
        <v>100</v>
      </c>
      <c r="O358" s="19">
        <v>0.18</v>
      </c>
      <c r="P358" s="18">
        <f t="shared" si="4"/>
        <v>118</v>
      </c>
      <c r="Q358" s="12">
        <v>20</v>
      </c>
      <c r="R358" s="18">
        <f t="shared" si="5"/>
        <v>1582.3799999999999</v>
      </c>
      <c r="S358" s="22">
        <f t="shared" si="6"/>
        <v>1599</v>
      </c>
      <c r="T358" s="18">
        <f t="shared" si="7"/>
        <v>16.620000000000118</v>
      </c>
      <c r="U358" s="18">
        <f t="shared" si="8"/>
        <v>417.24280000000022</v>
      </c>
      <c r="V358" s="18">
        <f t="shared" si="9"/>
        <v>353.5955932203392</v>
      </c>
      <c r="W358" s="24">
        <f t="shared" si="10"/>
        <v>0.35914802163481341</v>
      </c>
      <c r="X358" s="22"/>
    </row>
    <row r="359" spans="1:24" x14ac:dyDescent="0.25">
      <c r="A359" s="9" t="s">
        <v>24</v>
      </c>
      <c r="B359" s="9" t="s">
        <v>692</v>
      </c>
      <c r="C359" s="10"/>
      <c r="D359" s="9" t="s">
        <v>654</v>
      </c>
      <c r="E359" s="9" t="s">
        <v>655</v>
      </c>
      <c r="F359" s="12">
        <v>1</v>
      </c>
      <c r="G359" s="14">
        <v>958</v>
      </c>
      <c r="H359" s="18">
        <f t="shared" si="0"/>
        <v>958</v>
      </c>
      <c r="I359" s="19">
        <v>0.18</v>
      </c>
      <c r="J359" s="18">
        <f t="shared" si="1"/>
        <v>1130.4399999999998</v>
      </c>
      <c r="K359" s="18">
        <v>1249</v>
      </c>
      <c r="L359" s="18">
        <f t="shared" si="2"/>
        <v>1249</v>
      </c>
      <c r="M359" s="18">
        <f t="shared" si="3"/>
        <v>1473.82</v>
      </c>
      <c r="N359" s="12">
        <v>200</v>
      </c>
      <c r="O359" s="19">
        <v>0.18</v>
      </c>
      <c r="P359" s="18">
        <f t="shared" si="4"/>
        <v>236</v>
      </c>
      <c r="Q359" s="12">
        <v>50</v>
      </c>
      <c r="R359" s="18">
        <f t="shared" si="5"/>
        <v>1709.82</v>
      </c>
      <c r="S359" s="22">
        <f t="shared" si="6"/>
        <v>1699</v>
      </c>
      <c r="T359" s="18">
        <f t="shared" si="7"/>
        <v>-10.819999999999936</v>
      </c>
      <c r="U359" s="18">
        <f t="shared" si="8"/>
        <v>518.56000000000017</v>
      </c>
      <c r="V359" s="18">
        <f t="shared" si="9"/>
        <v>439.45762711864421</v>
      </c>
      <c r="W359" s="24">
        <f t="shared" si="10"/>
        <v>0.45872403665829248</v>
      </c>
      <c r="X359" s="22"/>
    </row>
    <row r="360" spans="1:24" x14ac:dyDescent="0.25">
      <c r="A360" s="9" t="s">
        <v>24</v>
      </c>
      <c r="B360" s="9" t="s">
        <v>77</v>
      </c>
      <c r="C360" s="10"/>
      <c r="D360" s="9" t="s">
        <v>656</v>
      </c>
      <c r="E360" s="9" t="s">
        <v>657</v>
      </c>
      <c r="F360" s="12">
        <v>1</v>
      </c>
      <c r="G360" s="14">
        <v>4172</v>
      </c>
      <c r="H360" s="18">
        <f t="shared" si="0"/>
        <v>4172</v>
      </c>
      <c r="I360" s="19">
        <v>0.18</v>
      </c>
      <c r="J360" s="18">
        <f t="shared" si="1"/>
        <v>4922.96</v>
      </c>
      <c r="K360" s="18">
        <v>5258</v>
      </c>
      <c r="L360" s="18">
        <f t="shared" si="2"/>
        <v>5258</v>
      </c>
      <c r="M360" s="18">
        <f t="shared" si="3"/>
        <v>6204.44</v>
      </c>
      <c r="N360" s="12">
        <v>0</v>
      </c>
      <c r="O360" s="19">
        <v>0.18</v>
      </c>
      <c r="P360" s="18">
        <f t="shared" si="4"/>
        <v>0</v>
      </c>
      <c r="Q360" s="12">
        <v>10</v>
      </c>
      <c r="R360" s="18">
        <f t="shared" si="5"/>
        <v>6204.44</v>
      </c>
      <c r="S360" s="22">
        <f t="shared" si="6"/>
        <v>6199</v>
      </c>
      <c r="T360" s="18">
        <f t="shared" si="7"/>
        <v>-5.4399999999995998</v>
      </c>
      <c r="U360" s="18">
        <f t="shared" si="8"/>
        <v>1266.04</v>
      </c>
      <c r="V360" s="18">
        <f t="shared" si="9"/>
        <v>1072.9152542372881</v>
      </c>
      <c r="W360" s="24">
        <f t="shared" si="10"/>
        <v>0.25717048279896648</v>
      </c>
      <c r="X360" s="22"/>
    </row>
    <row r="361" spans="1:24" x14ac:dyDescent="0.25">
      <c r="A361" s="9" t="s">
        <v>24</v>
      </c>
      <c r="B361" s="9" t="s">
        <v>77</v>
      </c>
      <c r="C361" s="10"/>
      <c r="D361" s="9" t="s">
        <v>658</v>
      </c>
      <c r="E361" s="9" t="s">
        <v>659</v>
      </c>
      <c r="F361" s="12">
        <v>1</v>
      </c>
      <c r="G361" s="14">
        <v>4172</v>
      </c>
      <c r="H361" s="18">
        <f t="shared" si="0"/>
        <v>4172</v>
      </c>
      <c r="I361" s="19">
        <v>0.18</v>
      </c>
      <c r="J361" s="18">
        <f t="shared" si="1"/>
        <v>4922.96</v>
      </c>
      <c r="K361" s="18">
        <v>5258</v>
      </c>
      <c r="L361" s="18">
        <f t="shared" si="2"/>
        <v>5258</v>
      </c>
      <c r="M361" s="18">
        <f t="shared" si="3"/>
        <v>6204.44</v>
      </c>
      <c r="N361" s="12">
        <v>0</v>
      </c>
      <c r="O361" s="19">
        <v>0.18</v>
      </c>
      <c r="P361" s="18">
        <f t="shared" si="4"/>
        <v>0</v>
      </c>
      <c r="Q361" s="12">
        <v>10</v>
      </c>
      <c r="R361" s="18">
        <f t="shared" si="5"/>
        <v>6204.44</v>
      </c>
      <c r="S361" s="22">
        <f t="shared" si="6"/>
        <v>6199</v>
      </c>
      <c r="T361" s="18">
        <f t="shared" si="7"/>
        <v>-5.4399999999995998</v>
      </c>
      <c r="U361" s="18">
        <f t="shared" si="8"/>
        <v>1266.04</v>
      </c>
      <c r="V361" s="18">
        <f t="shared" si="9"/>
        <v>1072.9152542372881</v>
      </c>
      <c r="W361" s="24">
        <f t="shared" si="10"/>
        <v>0.25717048279896648</v>
      </c>
      <c r="X361" s="22"/>
    </row>
    <row r="362" spans="1:24" x14ac:dyDescent="0.25">
      <c r="A362" s="9" t="s">
        <v>24</v>
      </c>
      <c r="B362" s="9" t="s">
        <v>77</v>
      </c>
      <c r="C362" s="10"/>
      <c r="D362" s="9" t="s">
        <v>660</v>
      </c>
      <c r="E362" s="9" t="s">
        <v>661</v>
      </c>
      <c r="F362" s="12">
        <v>1</v>
      </c>
      <c r="G362" s="14">
        <v>1930</v>
      </c>
      <c r="H362" s="18">
        <f t="shared" si="0"/>
        <v>1930</v>
      </c>
      <c r="I362" s="19">
        <v>0.18</v>
      </c>
      <c r="J362" s="18">
        <f t="shared" si="1"/>
        <v>2277.4</v>
      </c>
      <c r="K362" s="18">
        <v>2432</v>
      </c>
      <c r="L362" s="18">
        <f t="shared" si="2"/>
        <v>2432</v>
      </c>
      <c r="M362" s="18">
        <f t="shared" si="3"/>
        <v>2869.7599999999998</v>
      </c>
      <c r="N362" s="12">
        <v>650</v>
      </c>
      <c r="O362" s="19">
        <v>0.18</v>
      </c>
      <c r="P362" s="18">
        <f t="shared" si="4"/>
        <v>767</v>
      </c>
      <c r="Q362" s="12">
        <v>150</v>
      </c>
      <c r="R362" s="18">
        <f t="shared" si="5"/>
        <v>3636.7599999999998</v>
      </c>
      <c r="S362" s="22">
        <f t="shared" si="6"/>
        <v>3649</v>
      </c>
      <c r="T362" s="18">
        <f t="shared" si="7"/>
        <v>12.240000000000236</v>
      </c>
      <c r="U362" s="18">
        <f t="shared" si="8"/>
        <v>1221.5999999999999</v>
      </c>
      <c r="V362" s="18">
        <f t="shared" si="9"/>
        <v>1035.2542372881355</v>
      </c>
      <c r="W362" s="24">
        <f t="shared" si="10"/>
        <v>0.53640115921665055</v>
      </c>
      <c r="X362" s="22"/>
    </row>
    <row r="363" spans="1:24" x14ac:dyDescent="0.25">
      <c r="A363" s="9" t="s">
        <v>99</v>
      </c>
      <c r="B363" s="9" t="s">
        <v>94</v>
      </c>
      <c r="C363" s="10"/>
      <c r="D363" s="9" t="s">
        <v>662</v>
      </c>
      <c r="E363" s="9" t="s">
        <v>663</v>
      </c>
      <c r="F363" s="12">
        <v>1</v>
      </c>
      <c r="G363" s="14">
        <v>413</v>
      </c>
      <c r="H363" s="18">
        <f t="shared" si="0"/>
        <v>413</v>
      </c>
      <c r="I363" s="19">
        <v>0.18</v>
      </c>
      <c r="J363" s="18">
        <f t="shared" si="1"/>
        <v>487.34</v>
      </c>
      <c r="K363" s="18">
        <v>432</v>
      </c>
      <c r="L363" s="18">
        <f t="shared" si="2"/>
        <v>432</v>
      </c>
      <c r="M363" s="18">
        <f t="shared" si="3"/>
        <v>509.76</v>
      </c>
      <c r="N363" s="12">
        <v>0</v>
      </c>
      <c r="O363" s="19">
        <v>0.18</v>
      </c>
      <c r="P363" s="18">
        <f t="shared" si="4"/>
        <v>0</v>
      </c>
      <c r="Q363" s="12">
        <v>0</v>
      </c>
      <c r="R363" s="18">
        <f t="shared" si="5"/>
        <v>509.76</v>
      </c>
      <c r="S363" s="22">
        <f t="shared" si="6"/>
        <v>499</v>
      </c>
      <c r="T363" s="18">
        <f t="shared" si="7"/>
        <v>-10.759999999999991</v>
      </c>
      <c r="U363" s="18">
        <f t="shared" si="8"/>
        <v>11.660000000000025</v>
      </c>
      <c r="V363" s="18">
        <f t="shared" si="9"/>
        <v>9.8813559322034124</v>
      </c>
      <c r="W363" s="24">
        <f t="shared" si="10"/>
        <v>2.3925801288628118E-2</v>
      </c>
      <c r="X363" s="22"/>
    </row>
    <row r="364" spans="1:24" x14ac:dyDescent="0.25">
      <c r="A364" s="9" t="s">
        <v>24</v>
      </c>
      <c r="B364" s="9" t="s">
        <v>94</v>
      </c>
      <c r="C364" s="10"/>
      <c r="D364" s="9" t="s">
        <v>662</v>
      </c>
      <c r="E364" s="9" t="s">
        <v>664</v>
      </c>
      <c r="F364" s="12">
        <v>1</v>
      </c>
      <c r="G364" s="14">
        <v>613</v>
      </c>
      <c r="H364" s="18">
        <f t="shared" si="0"/>
        <v>613</v>
      </c>
      <c r="I364" s="19">
        <v>0.18</v>
      </c>
      <c r="J364" s="18">
        <f t="shared" si="1"/>
        <v>723.33999999999992</v>
      </c>
      <c r="K364" s="18">
        <v>642</v>
      </c>
      <c r="L364" s="18">
        <f t="shared" si="2"/>
        <v>642</v>
      </c>
      <c r="M364" s="18">
        <f t="shared" si="3"/>
        <v>757.56</v>
      </c>
      <c r="N364" s="12">
        <v>0</v>
      </c>
      <c r="O364" s="19">
        <v>0.18</v>
      </c>
      <c r="P364" s="18">
        <f t="shared" si="4"/>
        <v>0</v>
      </c>
      <c r="Q364" s="12">
        <v>0</v>
      </c>
      <c r="R364" s="18">
        <f t="shared" si="5"/>
        <v>757.56</v>
      </c>
      <c r="S364" s="22">
        <f t="shared" si="6"/>
        <v>749</v>
      </c>
      <c r="T364" s="18">
        <f t="shared" si="7"/>
        <v>-8.5599999999999454</v>
      </c>
      <c r="U364" s="18">
        <f t="shared" si="8"/>
        <v>25.660000000000082</v>
      </c>
      <c r="V364" s="18">
        <f t="shared" si="9"/>
        <v>21.745762711864476</v>
      </c>
      <c r="W364" s="24">
        <f t="shared" si="10"/>
        <v>3.5474327425553794E-2</v>
      </c>
      <c r="X364" s="22"/>
    </row>
    <row r="365" spans="1:24" x14ac:dyDescent="0.25">
      <c r="A365" s="9" t="s">
        <v>24</v>
      </c>
      <c r="B365" s="9" t="s">
        <v>94</v>
      </c>
      <c r="C365" s="10"/>
      <c r="D365" s="9" t="s">
        <v>662</v>
      </c>
      <c r="E365" s="9" t="s">
        <v>665</v>
      </c>
      <c r="F365" s="12">
        <v>1</v>
      </c>
      <c r="G365" s="14">
        <v>613</v>
      </c>
      <c r="H365" s="18">
        <f t="shared" si="0"/>
        <v>613</v>
      </c>
      <c r="I365" s="19">
        <v>0.18</v>
      </c>
      <c r="J365" s="18">
        <f t="shared" si="1"/>
        <v>723.33999999999992</v>
      </c>
      <c r="K365" s="18">
        <v>642</v>
      </c>
      <c r="L365" s="18">
        <f t="shared" si="2"/>
        <v>642</v>
      </c>
      <c r="M365" s="18">
        <f t="shared" si="3"/>
        <v>757.56</v>
      </c>
      <c r="N365" s="12">
        <v>0</v>
      </c>
      <c r="O365" s="19">
        <v>0.18</v>
      </c>
      <c r="P365" s="18">
        <f t="shared" si="4"/>
        <v>0</v>
      </c>
      <c r="Q365" s="12">
        <v>0</v>
      </c>
      <c r="R365" s="18">
        <f t="shared" si="5"/>
        <v>757.56</v>
      </c>
      <c r="S365" s="22">
        <f t="shared" si="6"/>
        <v>749</v>
      </c>
      <c r="T365" s="18">
        <f t="shared" si="7"/>
        <v>-8.5599999999999454</v>
      </c>
      <c r="U365" s="18">
        <f t="shared" si="8"/>
        <v>25.660000000000082</v>
      </c>
      <c r="V365" s="18">
        <f t="shared" si="9"/>
        <v>21.745762711864476</v>
      </c>
      <c r="W365" s="24">
        <f t="shared" si="10"/>
        <v>3.5474327425553794E-2</v>
      </c>
      <c r="X365" s="22"/>
    </row>
    <row r="366" spans="1:24" x14ac:dyDescent="0.25">
      <c r="A366" s="9" t="s">
        <v>99</v>
      </c>
      <c r="B366" s="9" t="s">
        <v>94</v>
      </c>
      <c r="C366" s="10"/>
      <c r="D366" s="9" t="s">
        <v>662</v>
      </c>
      <c r="E366" s="9" t="s">
        <v>666</v>
      </c>
      <c r="F366" s="12">
        <v>1</v>
      </c>
      <c r="G366" s="14">
        <v>413</v>
      </c>
      <c r="H366" s="18">
        <f t="shared" si="0"/>
        <v>413</v>
      </c>
      <c r="I366" s="19">
        <v>0.18</v>
      </c>
      <c r="J366" s="18">
        <f t="shared" si="1"/>
        <v>487.34</v>
      </c>
      <c r="K366" s="18">
        <v>432</v>
      </c>
      <c r="L366" s="18">
        <f t="shared" si="2"/>
        <v>432</v>
      </c>
      <c r="M366" s="18">
        <f t="shared" si="3"/>
        <v>509.76</v>
      </c>
      <c r="N366" s="12">
        <v>0</v>
      </c>
      <c r="O366" s="19">
        <v>0.18</v>
      </c>
      <c r="P366" s="18">
        <f t="shared" si="4"/>
        <v>0</v>
      </c>
      <c r="Q366" s="12">
        <v>0</v>
      </c>
      <c r="R366" s="18">
        <f t="shared" si="5"/>
        <v>509.76</v>
      </c>
      <c r="S366" s="22">
        <f t="shared" si="6"/>
        <v>499</v>
      </c>
      <c r="T366" s="18">
        <f t="shared" si="7"/>
        <v>-10.759999999999991</v>
      </c>
      <c r="U366" s="18">
        <f t="shared" si="8"/>
        <v>11.660000000000025</v>
      </c>
      <c r="V366" s="18">
        <f t="shared" si="9"/>
        <v>9.8813559322034124</v>
      </c>
      <c r="W366" s="24">
        <f t="shared" si="10"/>
        <v>2.3925801288628118E-2</v>
      </c>
      <c r="X366" s="22"/>
    </row>
    <row r="367" spans="1:24" x14ac:dyDescent="0.25">
      <c r="A367" s="9" t="s">
        <v>24</v>
      </c>
      <c r="B367" s="9" t="s">
        <v>25</v>
      </c>
      <c r="C367" s="10"/>
      <c r="D367" s="9" t="s">
        <v>667</v>
      </c>
      <c r="E367" s="9" t="s">
        <v>668</v>
      </c>
      <c r="F367" s="12">
        <v>1</v>
      </c>
      <c r="G367" s="14">
        <v>984</v>
      </c>
      <c r="H367" s="18">
        <f t="shared" si="0"/>
        <v>984</v>
      </c>
      <c r="I367" s="19">
        <v>0.18</v>
      </c>
      <c r="J367" s="18">
        <f t="shared" si="1"/>
        <v>1161.1199999999999</v>
      </c>
      <c r="K367" s="18">
        <v>1158</v>
      </c>
      <c r="L367" s="18">
        <f t="shared" si="2"/>
        <v>1158</v>
      </c>
      <c r="M367" s="18">
        <f t="shared" si="3"/>
        <v>1366.4399999999998</v>
      </c>
      <c r="N367" s="12">
        <v>100</v>
      </c>
      <c r="O367" s="19">
        <v>0.18</v>
      </c>
      <c r="P367" s="18">
        <f t="shared" si="4"/>
        <v>118</v>
      </c>
      <c r="Q367" s="12">
        <v>0</v>
      </c>
      <c r="R367" s="18">
        <f t="shared" si="5"/>
        <v>1484.4399999999998</v>
      </c>
      <c r="S367" s="22">
        <f t="shared" si="6"/>
        <v>1499</v>
      </c>
      <c r="T367" s="18">
        <f t="shared" si="7"/>
        <v>14.560000000000173</v>
      </c>
      <c r="U367" s="18">
        <f t="shared" si="8"/>
        <v>337.88000000000011</v>
      </c>
      <c r="V367" s="18">
        <f t="shared" si="9"/>
        <v>286.33898305084756</v>
      </c>
      <c r="W367" s="24">
        <f t="shared" si="10"/>
        <v>0.29099490147443857</v>
      </c>
      <c r="X367" s="22"/>
    </row>
    <row r="368" spans="1:24" x14ac:dyDescent="0.25">
      <c r="A368" s="9" t="s">
        <v>24</v>
      </c>
      <c r="B368" s="9" t="s">
        <v>58</v>
      </c>
      <c r="C368" s="10"/>
      <c r="D368" s="9" t="s">
        <v>667</v>
      </c>
      <c r="E368" s="9" t="s">
        <v>669</v>
      </c>
      <c r="F368" s="12">
        <v>1</v>
      </c>
      <c r="G368" s="14">
        <v>2427</v>
      </c>
      <c r="H368" s="18">
        <f t="shared" si="0"/>
        <v>2427</v>
      </c>
      <c r="I368" s="19">
        <v>0.18</v>
      </c>
      <c r="J368" s="18">
        <f t="shared" si="1"/>
        <v>2863.8599999999997</v>
      </c>
      <c r="K368" s="18">
        <v>3214</v>
      </c>
      <c r="L368" s="18">
        <f t="shared" si="2"/>
        <v>3214</v>
      </c>
      <c r="M368" s="18">
        <f t="shared" si="3"/>
        <v>3792.52</v>
      </c>
      <c r="N368" s="12">
        <v>600</v>
      </c>
      <c r="O368" s="19">
        <v>0.18</v>
      </c>
      <c r="P368" s="18">
        <f t="shared" si="4"/>
        <v>708</v>
      </c>
      <c r="Q368" s="12">
        <v>150</v>
      </c>
      <c r="R368" s="18">
        <f t="shared" si="5"/>
        <v>4500.5200000000004</v>
      </c>
      <c r="S368" s="22">
        <f t="shared" si="6"/>
        <v>4499</v>
      </c>
      <c r="T368" s="18">
        <f t="shared" si="7"/>
        <v>-1.5200000000004366</v>
      </c>
      <c r="U368" s="18">
        <f t="shared" si="8"/>
        <v>1485.1400000000003</v>
      </c>
      <c r="V368" s="18">
        <f t="shared" si="9"/>
        <v>1258.5932203389834</v>
      </c>
      <c r="W368" s="24">
        <f t="shared" si="10"/>
        <v>0.51857981884589344</v>
      </c>
      <c r="X368" s="22"/>
    </row>
    <row r="369" spans="1:24" x14ac:dyDescent="0.25">
      <c r="A369" s="9" t="s">
        <v>24</v>
      </c>
      <c r="B369" s="9" t="s">
        <v>137</v>
      </c>
      <c r="C369" s="10"/>
      <c r="D369" s="9" t="s">
        <v>670</v>
      </c>
      <c r="E369" s="9" t="s">
        <v>671</v>
      </c>
      <c r="F369" s="12">
        <v>1</v>
      </c>
      <c r="G369" s="14">
        <v>1759</v>
      </c>
      <c r="H369" s="18">
        <f t="shared" si="0"/>
        <v>1759</v>
      </c>
      <c r="I369" s="19">
        <v>0.18</v>
      </c>
      <c r="J369" s="18">
        <f t="shared" si="1"/>
        <v>2075.62</v>
      </c>
      <c r="K369" s="18">
        <v>2329</v>
      </c>
      <c r="L369" s="18">
        <f t="shared" si="2"/>
        <v>2329</v>
      </c>
      <c r="M369" s="18">
        <f t="shared" si="3"/>
        <v>2748.22</v>
      </c>
      <c r="N369" s="12">
        <v>100</v>
      </c>
      <c r="O369" s="19">
        <v>0.18</v>
      </c>
      <c r="P369" s="18">
        <f t="shared" si="4"/>
        <v>118</v>
      </c>
      <c r="Q369" s="12">
        <v>20</v>
      </c>
      <c r="R369" s="18">
        <f t="shared" si="5"/>
        <v>2866.22</v>
      </c>
      <c r="S369" s="22">
        <f t="shared" si="6"/>
        <v>2849</v>
      </c>
      <c r="T369" s="18">
        <f t="shared" si="7"/>
        <v>-17.2199999999998</v>
      </c>
      <c r="U369" s="18">
        <f t="shared" si="8"/>
        <v>753.38000000000011</v>
      </c>
      <c r="V369" s="18">
        <f t="shared" si="9"/>
        <v>638.45762711864415</v>
      </c>
      <c r="W369" s="24">
        <f t="shared" si="10"/>
        <v>0.36296624623004214</v>
      </c>
      <c r="X369" s="22"/>
    </row>
    <row r="370" spans="1:24" x14ac:dyDescent="0.25">
      <c r="A370" s="9" t="s">
        <v>99</v>
      </c>
      <c r="B370" s="9" t="s">
        <v>94</v>
      </c>
      <c r="C370" s="10"/>
      <c r="D370" s="9" t="s">
        <v>672</v>
      </c>
      <c r="E370" s="9" t="s">
        <v>673</v>
      </c>
      <c r="F370" s="12">
        <v>4</v>
      </c>
      <c r="G370" s="14">
        <v>250</v>
      </c>
      <c r="H370" s="18">
        <f t="shared" si="0"/>
        <v>1000</v>
      </c>
      <c r="I370" s="19">
        <v>0.18</v>
      </c>
      <c r="J370" s="18">
        <f t="shared" si="1"/>
        <v>1180</v>
      </c>
      <c r="K370" s="18">
        <v>466</v>
      </c>
      <c r="L370" s="18">
        <f t="shared" si="2"/>
        <v>1864</v>
      </c>
      <c r="M370" s="18">
        <f t="shared" si="3"/>
        <v>2199.52</v>
      </c>
      <c r="N370" s="12">
        <v>0</v>
      </c>
      <c r="O370" s="19">
        <v>0.18</v>
      </c>
      <c r="P370" s="18">
        <f t="shared" si="4"/>
        <v>0</v>
      </c>
      <c r="Q370" s="12">
        <v>10</v>
      </c>
      <c r="R370" s="18">
        <f t="shared" si="5"/>
        <v>2199.52</v>
      </c>
      <c r="S370" s="22">
        <f t="shared" si="6"/>
        <v>2199</v>
      </c>
      <c r="T370" s="18">
        <f t="shared" si="7"/>
        <v>-0.51999999999998181</v>
      </c>
      <c r="U370" s="18">
        <f t="shared" si="8"/>
        <v>1009</v>
      </c>
      <c r="V370" s="18">
        <f t="shared" si="9"/>
        <v>855.08474576271192</v>
      </c>
      <c r="W370" s="24">
        <f t="shared" si="10"/>
        <v>0.85508474576271187</v>
      </c>
      <c r="X370" s="22"/>
    </row>
    <row r="371" spans="1:24" x14ac:dyDescent="0.25">
      <c r="A371" s="9" t="s">
        <v>24</v>
      </c>
      <c r="B371" s="9" t="s">
        <v>150</v>
      </c>
      <c r="C371" s="10"/>
      <c r="D371" s="9" t="s">
        <v>672</v>
      </c>
      <c r="E371" s="9" t="s">
        <v>674</v>
      </c>
      <c r="F371" s="12">
        <v>4</v>
      </c>
      <c r="G371" s="14">
        <v>467</v>
      </c>
      <c r="H371" s="18">
        <f t="shared" si="0"/>
        <v>1868</v>
      </c>
      <c r="I371" s="19">
        <v>0.18</v>
      </c>
      <c r="J371" s="18">
        <f t="shared" si="1"/>
        <v>2204.2399999999998</v>
      </c>
      <c r="K371" s="18">
        <v>589</v>
      </c>
      <c r="L371" s="18">
        <f t="shared" si="2"/>
        <v>2356</v>
      </c>
      <c r="M371" s="18">
        <f t="shared" si="3"/>
        <v>2780.08</v>
      </c>
      <c r="N371" s="12">
        <v>25</v>
      </c>
      <c r="O371" s="19">
        <v>0.18</v>
      </c>
      <c r="P371" s="18">
        <f t="shared" si="4"/>
        <v>29.5</v>
      </c>
      <c r="Q371" s="12">
        <v>10</v>
      </c>
      <c r="R371" s="18">
        <f t="shared" si="5"/>
        <v>2809.58</v>
      </c>
      <c r="S371" s="22">
        <f t="shared" si="6"/>
        <v>2799</v>
      </c>
      <c r="T371" s="18">
        <f t="shared" si="7"/>
        <v>-10.579999999999927</v>
      </c>
      <c r="U371" s="18">
        <f t="shared" si="8"/>
        <v>584.76000000000022</v>
      </c>
      <c r="V371" s="18">
        <f t="shared" si="9"/>
        <v>495.55932203389852</v>
      </c>
      <c r="W371" s="24">
        <f t="shared" si="10"/>
        <v>0.26528871629223688</v>
      </c>
      <c r="X371" s="22"/>
    </row>
    <row r="372" spans="1:24" x14ac:dyDescent="0.25">
      <c r="A372" s="9" t="s">
        <v>24</v>
      </c>
      <c r="B372" s="9" t="s">
        <v>58</v>
      </c>
      <c r="C372" s="10"/>
      <c r="D372" s="9" t="s">
        <v>672</v>
      </c>
      <c r="E372" s="9" t="s">
        <v>675</v>
      </c>
      <c r="F372" s="12">
        <v>4</v>
      </c>
      <c r="G372" s="14">
        <v>672</v>
      </c>
      <c r="H372" s="18">
        <f t="shared" si="0"/>
        <v>2688</v>
      </c>
      <c r="I372" s="19">
        <v>0.18</v>
      </c>
      <c r="J372" s="18">
        <f t="shared" si="1"/>
        <v>3171.8399999999997</v>
      </c>
      <c r="K372" s="18">
        <v>808</v>
      </c>
      <c r="L372" s="18">
        <f t="shared" si="2"/>
        <v>3232</v>
      </c>
      <c r="M372" s="18">
        <f t="shared" si="3"/>
        <v>3813.7599999999998</v>
      </c>
      <c r="N372" s="12">
        <v>25</v>
      </c>
      <c r="O372" s="19">
        <v>0.18</v>
      </c>
      <c r="P372" s="18">
        <f t="shared" si="4"/>
        <v>29.5</v>
      </c>
      <c r="Q372" s="12">
        <v>10</v>
      </c>
      <c r="R372" s="18">
        <f t="shared" si="5"/>
        <v>3843.2599999999998</v>
      </c>
      <c r="S372" s="22">
        <f t="shared" si="6"/>
        <v>3849</v>
      </c>
      <c r="T372" s="18">
        <f t="shared" si="7"/>
        <v>5.7400000000002365</v>
      </c>
      <c r="U372" s="18">
        <f t="shared" si="8"/>
        <v>667.16000000000031</v>
      </c>
      <c r="V372" s="18">
        <f t="shared" si="9"/>
        <v>565.38983050847492</v>
      </c>
      <c r="W372" s="24">
        <f t="shared" si="10"/>
        <v>0.21033847861178381</v>
      </c>
      <c r="X372" s="22"/>
    </row>
    <row r="373" spans="1:24" x14ac:dyDescent="0.25">
      <c r="A373" s="9" t="s">
        <v>99</v>
      </c>
      <c r="B373" s="9" t="s">
        <v>103</v>
      </c>
      <c r="C373" s="10"/>
      <c r="D373" s="9" t="s">
        <v>672</v>
      </c>
      <c r="E373" s="9" t="s">
        <v>676</v>
      </c>
      <c r="F373" s="12">
        <v>4</v>
      </c>
      <c r="G373" s="14">
        <v>670</v>
      </c>
      <c r="H373" s="18">
        <f t="shared" si="0"/>
        <v>2680</v>
      </c>
      <c r="I373" s="19">
        <v>0.18</v>
      </c>
      <c r="J373" s="18">
        <f t="shared" si="1"/>
        <v>3162.3999999999996</v>
      </c>
      <c r="K373" s="18">
        <v>845</v>
      </c>
      <c r="L373" s="18">
        <f t="shared" si="2"/>
        <v>3380</v>
      </c>
      <c r="M373" s="18">
        <f t="shared" si="3"/>
        <v>3988.3999999999996</v>
      </c>
      <c r="N373" s="12">
        <v>50</v>
      </c>
      <c r="O373" s="19">
        <v>0.18</v>
      </c>
      <c r="P373" s="18">
        <f t="shared" si="4"/>
        <v>59</v>
      </c>
      <c r="Q373" s="12">
        <v>10</v>
      </c>
      <c r="R373" s="18">
        <f t="shared" si="5"/>
        <v>4047.3999999999996</v>
      </c>
      <c r="S373" s="22">
        <f t="shared" si="6"/>
        <v>4049</v>
      </c>
      <c r="T373" s="18">
        <f t="shared" si="7"/>
        <v>1.6000000000003638</v>
      </c>
      <c r="U373" s="18">
        <f t="shared" si="8"/>
        <v>876.60000000000036</v>
      </c>
      <c r="V373" s="18">
        <f t="shared" si="9"/>
        <v>742.88135593220375</v>
      </c>
      <c r="W373" s="24">
        <f t="shared" si="10"/>
        <v>0.27719453579559844</v>
      </c>
      <c r="X373" s="22"/>
    </row>
    <row r="374" spans="1:24" x14ac:dyDescent="0.25">
      <c r="A374" s="9" t="s">
        <v>94</v>
      </c>
      <c r="B374" s="9" t="s">
        <v>94</v>
      </c>
      <c r="C374" s="10"/>
      <c r="D374" s="9" t="s">
        <v>677</v>
      </c>
      <c r="E374" s="9" t="s">
        <v>678</v>
      </c>
      <c r="F374" s="12">
        <v>1</v>
      </c>
      <c r="G374" s="14">
        <v>23</v>
      </c>
      <c r="H374" s="18">
        <f t="shared" si="0"/>
        <v>23</v>
      </c>
      <c r="I374" s="19">
        <v>0.18</v>
      </c>
      <c r="J374" s="18">
        <f t="shared" si="1"/>
        <v>27.139999999999997</v>
      </c>
      <c r="K374" s="18">
        <v>34</v>
      </c>
      <c r="L374" s="18">
        <f t="shared" si="2"/>
        <v>34</v>
      </c>
      <c r="M374" s="18">
        <f t="shared" si="3"/>
        <v>40.119999999999997</v>
      </c>
      <c r="N374" s="12">
        <v>0</v>
      </c>
      <c r="O374" s="19">
        <v>0.18</v>
      </c>
      <c r="P374" s="18">
        <f t="shared" si="4"/>
        <v>0</v>
      </c>
      <c r="Q374" s="12">
        <v>0</v>
      </c>
      <c r="R374" s="18">
        <f t="shared" si="5"/>
        <v>40.119999999999997</v>
      </c>
      <c r="S374" s="22">
        <f t="shared" si="6"/>
        <v>49</v>
      </c>
      <c r="T374" s="18">
        <f t="shared" si="7"/>
        <v>8.8800000000000026</v>
      </c>
      <c r="U374" s="18">
        <f t="shared" si="8"/>
        <v>21.860000000000003</v>
      </c>
      <c r="V374" s="18">
        <f t="shared" si="9"/>
        <v>18.525423728813564</v>
      </c>
      <c r="W374" s="24">
        <f t="shared" si="10"/>
        <v>0.80545320560058975</v>
      </c>
      <c r="X374" s="22"/>
    </row>
    <row r="375" spans="1:24" x14ac:dyDescent="0.25">
      <c r="A375" s="9" t="s">
        <v>94</v>
      </c>
      <c r="B375" s="9" t="s">
        <v>94</v>
      </c>
      <c r="C375" s="10"/>
      <c r="D375" s="9" t="s">
        <v>679</v>
      </c>
      <c r="E375" s="9" t="s">
        <v>680</v>
      </c>
      <c r="F375" s="12">
        <v>1</v>
      </c>
      <c r="G375" s="14">
        <v>2288</v>
      </c>
      <c r="H375" s="18">
        <f t="shared" si="0"/>
        <v>2288</v>
      </c>
      <c r="I375" s="19">
        <v>0.18</v>
      </c>
      <c r="J375" s="18">
        <f t="shared" si="1"/>
        <v>2699.8399999999997</v>
      </c>
      <c r="K375" s="18">
        <v>2851</v>
      </c>
      <c r="L375" s="18">
        <f t="shared" si="2"/>
        <v>2851</v>
      </c>
      <c r="M375" s="18">
        <f t="shared" si="3"/>
        <v>3364.18</v>
      </c>
      <c r="N375" s="12">
        <v>0</v>
      </c>
      <c r="O375" s="19">
        <v>0.18</v>
      </c>
      <c r="P375" s="18">
        <f t="shared" si="4"/>
        <v>0</v>
      </c>
      <c r="Q375" s="12">
        <v>0</v>
      </c>
      <c r="R375" s="18">
        <f t="shared" si="5"/>
        <v>3364.18</v>
      </c>
      <c r="S375" s="22">
        <f t="shared" si="6"/>
        <v>3349</v>
      </c>
      <c r="T375" s="18">
        <f t="shared" si="7"/>
        <v>-15.179999999999836</v>
      </c>
      <c r="U375" s="18">
        <f t="shared" si="8"/>
        <v>649.16000000000031</v>
      </c>
      <c r="V375" s="18">
        <f t="shared" si="9"/>
        <v>550.13559322033927</v>
      </c>
      <c r="W375" s="24">
        <f t="shared" si="10"/>
        <v>0.2404438781557427</v>
      </c>
      <c r="X375" s="22"/>
    </row>
    <row r="376" spans="1:24" x14ac:dyDescent="0.25">
      <c r="A376" s="9" t="s">
        <v>94</v>
      </c>
      <c r="B376" s="9" t="s">
        <v>94</v>
      </c>
      <c r="C376" s="10"/>
      <c r="D376" s="9" t="s">
        <v>681</v>
      </c>
      <c r="E376" s="9" t="s">
        <v>682</v>
      </c>
      <c r="F376" s="12">
        <v>1</v>
      </c>
      <c r="G376" s="14">
        <v>1529</v>
      </c>
      <c r="H376" s="18">
        <f t="shared" si="0"/>
        <v>1529</v>
      </c>
      <c r="I376" s="19">
        <v>0.18</v>
      </c>
      <c r="J376" s="18">
        <f t="shared" si="1"/>
        <v>1804.2199999999998</v>
      </c>
      <c r="K376" s="18">
        <v>1906</v>
      </c>
      <c r="L376" s="18">
        <f t="shared" si="2"/>
        <v>1906</v>
      </c>
      <c r="M376" s="18">
        <f t="shared" si="3"/>
        <v>2249.08</v>
      </c>
      <c r="N376" s="12">
        <v>0</v>
      </c>
      <c r="O376" s="19">
        <v>0.18</v>
      </c>
      <c r="P376" s="18">
        <f t="shared" si="4"/>
        <v>0</v>
      </c>
      <c r="Q376" s="12">
        <v>0</v>
      </c>
      <c r="R376" s="18">
        <f t="shared" si="5"/>
        <v>2249.08</v>
      </c>
      <c r="S376" s="22">
        <f t="shared" si="6"/>
        <v>2249</v>
      </c>
      <c r="T376" s="18">
        <f t="shared" si="7"/>
        <v>-7.999999999992724E-2</v>
      </c>
      <c r="U376" s="18">
        <f t="shared" si="8"/>
        <v>444.7800000000002</v>
      </c>
      <c r="V376" s="18">
        <f t="shared" si="9"/>
        <v>376.9322033898307</v>
      </c>
      <c r="W376" s="24">
        <f t="shared" si="10"/>
        <v>0.24652204276640333</v>
      </c>
      <c r="X376" s="22"/>
    </row>
    <row r="377" spans="1:24" x14ac:dyDescent="0.25">
      <c r="A377" s="9" t="s">
        <v>24</v>
      </c>
      <c r="B377" s="9" t="s">
        <v>81</v>
      </c>
      <c r="C377" s="10"/>
      <c r="D377" s="9" t="s">
        <v>688</v>
      </c>
      <c r="E377" s="9" t="s">
        <v>683</v>
      </c>
      <c r="F377" s="12">
        <v>4</v>
      </c>
      <c r="G377" s="14">
        <v>218.46</v>
      </c>
      <c r="H377" s="18">
        <f t="shared" si="0"/>
        <v>873.84</v>
      </c>
      <c r="I377" s="19">
        <v>0.18</v>
      </c>
      <c r="J377" s="18">
        <f t="shared" si="1"/>
        <v>1031.1312</v>
      </c>
      <c r="K377" s="18">
        <v>281</v>
      </c>
      <c r="L377" s="18">
        <f t="shared" si="2"/>
        <v>1124</v>
      </c>
      <c r="M377" s="18">
        <f t="shared" si="3"/>
        <v>1326.32</v>
      </c>
      <c r="N377" s="12">
        <v>20</v>
      </c>
      <c r="O377" s="19">
        <v>0.18</v>
      </c>
      <c r="P377" s="18">
        <f t="shared" si="4"/>
        <v>23.599999999999998</v>
      </c>
      <c r="Q377" s="12">
        <v>10</v>
      </c>
      <c r="R377" s="18">
        <f t="shared" si="5"/>
        <v>1349.9199999999998</v>
      </c>
      <c r="S377" s="22">
        <f t="shared" si="6"/>
        <v>1349</v>
      </c>
      <c r="T377" s="18">
        <f t="shared" si="7"/>
        <v>-0.91999999999984539</v>
      </c>
      <c r="U377" s="18">
        <f t="shared" si="8"/>
        <v>307.86879999999996</v>
      </c>
      <c r="V377" s="18">
        <f t="shared" si="9"/>
        <v>260.90576271186438</v>
      </c>
      <c r="W377" s="24">
        <f t="shared" si="10"/>
        <v>0.29857383813039501</v>
      </c>
      <c r="X377" s="22"/>
    </row>
    <row r="378" spans="1:24" x14ac:dyDescent="0.25">
      <c r="A378" s="26"/>
      <c r="B378" s="26"/>
      <c r="C378" s="27"/>
      <c r="D378" s="26"/>
      <c r="E378" s="26"/>
      <c r="F378" s="28"/>
      <c r="G378" s="29"/>
      <c r="H378" s="30"/>
      <c r="I378" s="31"/>
      <c r="J378" s="30"/>
      <c r="K378" s="30"/>
      <c r="L378" s="30"/>
      <c r="M378" s="30"/>
      <c r="N378" s="28"/>
      <c r="O378" s="31"/>
      <c r="P378" s="30"/>
      <c r="Q378" s="28"/>
      <c r="R378" s="30"/>
      <c r="S378" s="26"/>
      <c r="T378" s="30"/>
      <c r="U378" s="30"/>
      <c r="V378" s="30"/>
      <c r="W378" s="32"/>
      <c r="X378" s="26"/>
    </row>
    <row r="379" spans="1:24" x14ac:dyDescent="0.25">
      <c r="A379" s="26"/>
      <c r="B379" s="26"/>
      <c r="C379" s="27"/>
      <c r="D379" s="26"/>
      <c r="E379" s="26"/>
      <c r="F379" s="28"/>
      <c r="G379" s="29"/>
      <c r="H379" s="30"/>
      <c r="I379" s="31"/>
      <c r="J379" s="30"/>
      <c r="K379" s="30"/>
      <c r="L379" s="30"/>
      <c r="M379" s="30"/>
      <c r="N379" s="28"/>
      <c r="O379" s="31"/>
      <c r="P379" s="30"/>
      <c r="Q379" s="28"/>
      <c r="R379" s="30"/>
      <c r="S379" s="26"/>
      <c r="T379" s="30"/>
      <c r="U379" s="30"/>
      <c r="V379" s="30"/>
      <c r="W379" s="32"/>
      <c r="X379" s="26"/>
    </row>
    <row r="380" spans="1:24" x14ac:dyDescent="0.25">
      <c r="A380" s="26"/>
      <c r="B380" s="26"/>
      <c r="C380" s="27"/>
      <c r="D380" s="26"/>
      <c r="E380" s="26"/>
      <c r="F380" s="28"/>
      <c r="G380" s="29"/>
      <c r="H380" s="30"/>
      <c r="I380" s="31"/>
      <c r="J380" s="30"/>
      <c r="K380" s="30"/>
      <c r="L380" s="30"/>
      <c r="M380" s="30"/>
      <c r="N380" s="28"/>
      <c r="O380" s="31"/>
      <c r="P380" s="30"/>
      <c r="Q380" s="28"/>
      <c r="R380" s="30"/>
      <c r="S380" s="26"/>
      <c r="T380" s="30"/>
      <c r="U380" s="30"/>
      <c r="V380" s="30"/>
      <c r="W380" s="32"/>
      <c r="X380" s="26"/>
    </row>
    <row r="381" spans="1:24" x14ac:dyDescent="0.25">
      <c r="A381" s="26"/>
      <c r="B381" s="26"/>
      <c r="C381" s="27"/>
      <c r="D381" s="26"/>
      <c r="E381" s="26"/>
      <c r="F381" s="28"/>
      <c r="G381" s="29"/>
      <c r="H381" s="30"/>
      <c r="I381" s="31"/>
      <c r="J381" s="30"/>
      <c r="K381" s="30"/>
      <c r="L381" s="30"/>
      <c r="M381" s="30"/>
      <c r="N381" s="28"/>
      <c r="O381" s="31"/>
      <c r="P381" s="30"/>
      <c r="Q381" s="28"/>
      <c r="R381" s="30"/>
      <c r="S381" s="26"/>
      <c r="T381" s="30"/>
      <c r="U381" s="30"/>
      <c r="V381" s="30"/>
      <c r="W381" s="32"/>
      <c r="X381" s="26"/>
    </row>
    <row r="382" spans="1:24" x14ac:dyDescent="0.25">
      <c r="A382" s="26"/>
      <c r="B382" s="26"/>
      <c r="C382" s="27"/>
      <c r="D382" s="26"/>
      <c r="E382" s="26"/>
      <c r="F382" s="28"/>
      <c r="G382" s="29"/>
      <c r="H382" s="30"/>
      <c r="I382" s="31"/>
      <c r="J382" s="30"/>
      <c r="K382" s="30"/>
      <c r="L382" s="30"/>
      <c r="M382" s="30"/>
      <c r="N382" s="28"/>
      <c r="O382" s="31"/>
      <c r="P382" s="30"/>
      <c r="Q382" s="28"/>
      <c r="R382" s="30"/>
      <c r="S382" s="26"/>
      <c r="T382" s="30"/>
      <c r="U382" s="30"/>
      <c r="V382" s="30"/>
      <c r="W382" s="32"/>
      <c r="X382" s="26"/>
    </row>
    <row r="383" spans="1:24" x14ac:dyDescent="0.25">
      <c r="A383" s="26"/>
      <c r="B383" s="26"/>
      <c r="C383" s="27"/>
      <c r="D383" s="26"/>
      <c r="E383" s="26"/>
      <c r="F383" s="28"/>
      <c r="G383" s="29"/>
      <c r="H383" s="30"/>
      <c r="I383" s="31"/>
      <c r="J383" s="30"/>
      <c r="K383" s="30"/>
      <c r="L383" s="30"/>
      <c r="M383" s="30"/>
      <c r="N383" s="28"/>
      <c r="O383" s="31"/>
      <c r="P383" s="30"/>
      <c r="Q383" s="28"/>
      <c r="R383" s="30"/>
      <c r="S383" s="26"/>
      <c r="T383" s="30"/>
      <c r="U383" s="30"/>
      <c r="V383" s="30"/>
      <c r="W383" s="32"/>
      <c r="X383" s="26"/>
    </row>
    <row r="384" spans="1:24" x14ac:dyDescent="0.25">
      <c r="A384" s="26"/>
      <c r="B384" s="26"/>
      <c r="C384" s="27"/>
      <c r="D384" s="26"/>
      <c r="E384" s="26"/>
      <c r="F384" s="28"/>
      <c r="G384" s="29"/>
      <c r="H384" s="30"/>
      <c r="I384" s="31"/>
      <c r="J384" s="30"/>
      <c r="K384" s="30"/>
      <c r="L384" s="30"/>
      <c r="M384" s="30"/>
      <c r="N384" s="28"/>
      <c r="O384" s="31"/>
      <c r="P384" s="30"/>
      <c r="Q384" s="28"/>
      <c r="R384" s="30"/>
      <c r="S384" s="26"/>
      <c r="T384" s="30"/>
      <c r="U384" s="30"/>
      <c r="V384" s="30"/>
      <c r="W384" s="32"/>
      <c r="X384" s="26"/>
    </row>
    <row r="385" spans="1:24" x14ac:dyDescent="0.25">
      <c r="A385" s="26"/>
      <c r="B385" s="26"/>
      <c r="C385" s="27"/>
      <c r="D385" s="26"/>
      <c r="E385" s="26"/>
      <c r="F385" s="28"/>
      <c r="G385" s="29"/>
      <c r="H385" s="30"/>
      <c r="I385" s="31"/>
      <c r="J385" s="30"/>
      <c r="K385" s="30"/>
      <c r="L385" s="30"/>
      <c r="M385" s="30"/>
      <c r="N385" s="28"/>
      <c r="O385" s="31"/>
      <c r="P385" s="30"/>
      <c r="Q385" s="28"/>
      <c r="R385" s="30"/>
      <c r="S385" s="26"/>
      <c r="T385" s="30"/>
      <c r="U385" s="30"/>
      <c r="V385" s="30"/>
      <c r="W385" s="32"/>
      <c r="X385" s="26"/>
    </row>
    <row r="386" spans="1:24" x14ac:dyDescent="0.25">
      <c r="A386" s="26"/>
      <c r="B386" s="26"/>
      <c r="C386" s="27"/>
      <c r="D386" s="26"/>
      <c r="E386" s="26"/>
      <c r="F386" s="28"/>
      <c r="G386" s="29"/>
      <c r="H386" s="30"/>
      <c r="I386" s="31"/>
      <c r="J386" s="30"/>
      <c r="K386" s="30"/>
      <c r="L386" s="30"/>
      <c r="M386" s="30"/>
      <c r="N386" s="28"/>
      <c r="O386" s="31"/>
      <c r="P386" s="30"/>
      <c r="Q386" s="28"/>
      <c r="R386" s="30"/>
      <c r="S386" s="26"/>
      <c r="T386" s="30"/>
      <c r="U386" s="30"/>
      <c r="V386" s="30"/>
      <c r="W386" s="32"/>
      <c r="X386" s="26"/>
    </row>
    <row r="387" spans="1:24" x14ac:dyDescent="0.25">
      <c r="A387" s="26"/>
      <c r="B387" s="26"/>
      <c r="C387" s="27"/>
      <c r="D387" s="26"/>
      <c r="E387" s="26"/>
      <c r="F387" s="28"/>
      <c r="G387" s="29"/>
      <c r="H387" s="30"/>
      <c r="I387" s="31"/>
      <c r="J387" s="30"/>
      <c r="K387" s="30"/>
      <c r="L387" s="30"/>
      <c r="M387" s="30"/>
      <c r="N387" s="28"/>
      <c r="O387" s="31"/>
      <c r="P387" s="30"/>
      <c r="Q387" s="28"/>
      <c r="R387" s="30"/>
      <c r="S387" s="26"/>
      <c r="T387" s="30"/>
      <c r="U387" s="30"/>
      <c r="V387" s="30"/>
      <c r="W387" s="32"/>
      <c r="X387" s="26"/>
    </row>
    <row r="388" spans="1:24" x14ac:dyDescent="0.25">
      <c r="A388" s="26"/>
      <c r="B388" s="26"/>
      <c r="C388" s="27"/>
      <c r="D388" s="26"/>
      <c r="E388" s="26"/>
      <c r="F388" s="28"/>
      <c r="G388" s="29"/>
      <c r="H388" s="30"/>
      <c r="I388" s="31"/>
      <c r="J388" s="30"/>
      <c r="K388" s="30"/>
      <c r="L388" s="30"/>
      <c r="M388" s="30"/>
      <c r="N388" s="28"/>
      <c r="O388" s="31"/>
      <c r="P388" s="30"/>
      <c r="Q388" s="28"/>
      <c r="R388" s="30"/>
      <c r="S388" s="26"/>
      <c r="T388" s="30"/>
      <c r="U388" s="30"/>
      <c r="V388" s="30"/>
      <c r="W388" s="32"/>
      <c r="X388" s="26"/>
    </row>
    <row r="389" spans="1:24" x14ac:dyDescent="0.25">
      <c r="A389" s="26"/>
      <c r="B389" s="26"/>
      <c r="C389" s="27"/>
      <c r="D389" s="26"/>
      <c r="E389" s="26"/>
      <c r="F389" s="28"/>
      <c r="G389" s="29"/>
      <c r="H389" s="30"/>
      <c r="I389" s="31"/>
      <c r="J389" s="30"/>
      <c r="K389" s="30"/>
      <c r="L389" s="30"/>
      <c r="M389" s="30"/>
      <c r="N389" s="28"/>
      <c r="O389" s="31"/>
      <c r="P389" s="30"/>
      <c r="Q389" s="28"/>
      <c r="R389" s="30"/>
      <c r="S389" s="26"/>
      <c r="T389" s="30"/>
      <c r="U389" s="30"/>
      <c r="V389" s="30"/>
      <c r="W389" s="32"/>
      <c r="X389" s="26"/>
    </row>
    <row r="390" spans="1:24" x14ac:dyDescent="0.25">
      <c r="A390" s="26"/>
      <c r="B390" s="26"/>
      <c r="C390" s="27"/>
      <c r="D390" s="26"/>
      <c r="E390" s="26"/>
      <c r="F390" s="28"/>
      <c r="G390" s="29"/>
      <c r="H390" s="30"/>
      <c r="I390" s="31"/>
      <c r="J390" s="30"/>
      <c r="K390" s="30"/>
      <c r="L390" s="30"/>
      <c r="M390" s="30"/>
      <c r="N390" s="28"/>
      <c r="O390" s="31"/>
      <c r="P390" s="30"/>
      <c r="Q390" s="28"/>
      <c r="R390" s="30"/>
      <c r="S390" s="26"/>
      <c r="T390" s="30"/>
      <c r="U390" s="30"/>
      <c r="V390" s="30"/>
      <c r="W390" s="32"/>
      <c r="X390" s="26"/>
    </row>
    <row r="391" spans="1:24" x14ac:dyDescent="0.25">
      <c r="A391" s="26"/>
      <c r="B391" s="26"/>
      <c r="C391" s="27"/>
      <c r="D391" s="26"/>
      <c r="E391" s="26"/>
      <c r="F391" s="28"/>
      <c r="G391" s="29"/>
      <c r="H391" s="30"/>
      <c r="I391" s="31"/>
      <c r="J391" s="30"/>
      <c r="K391" s="30"/>
      <c r="L391" s="30"/>
      <c r="M391" s="30"/>
      <c r="N391" s="28"/>
      <c r="O391" s="31"/>
      <c r="P391" s="30"/>
      <c r="Q391" s="28"/>
      <c r="R391" s="30"/>
      <c r="S391" s="26"/>
      <c r="T391" s="30"/>
      <c r="U391" s="30"/>
      <c r="V391" s="30"/>
      <c r="W391" s="32"/>
      <c r="X391" s="26"/>
    </row>
    <row r="392" spans="1:24" x14ac:dyDescent="0.25">
      <c r="A392" s="26"/>
      <c r="B392" s="26"/>
      <c r="C392" s="27"/>
      <c r="D392" s="26"/>
      <c r="E392" s="26"/>
      <c r="F392" s="28"/>
      <c r="G392" s="29"/>
      <c r="H392" s="30"/>
      <c r="I392" s="31"/>
      <c r="J392" s="30"/>
      <c r="K392" s="30"/>
      <c r="L392" s="30"/>
      <c r="M392" s="30"/>
      <c r="N392" s="28"/>
      <c r="O392" s="31"/>
      <c r="P392" s="30"/>
      <c r="Q392" s="28"/>
      <c r="R392" s="30"/>
      <c r="S392" s="26"/>
      <c r="T392" s="30"/>
      <c r="U392" s="30"/>
      <c r="V392" s="30"/>
      <c r="W392" s="32"/>
      <c r="X392" s="26"/>
    </row>
    <row r="393" spans="1:24" x14ac:dyDescent="0.25">
      <c r="A393" s="26"/>
      <c r="B393" s="26"/>
      <c r="C393" s="27"/>
      <c r="D393" s="26"/>
      <c r="E393" s="26"/>
      <c r="F393" s="28"/>
      <c r="G393" s="29"/>
      <c r="H393" s="30"/>
      <c r="I393" s="31"/>
      <c r="J393" s="30"/>
      <c r="K393" s="30"/>
      <c r="L393" s="30"/>
      <c r="M393" s="30"/>
      <c r="N393" s="28"/>
      <c r="O393" s="31"/>
      <c r="P393" s="30"/>
      <c r="Q393" s="28"/>
      <c r="R393" s="30"/>
      <c r="S393" s="26"/>
      <c r="T393" s="30"/>
      <c r="U393" s="30"/>
      <c r="V393" s="30"/>
      <c r="W393" s="32"/>
      <c r="X393" s="26"/>
    </row>
    <row r="394" spans="1:24" x14ac:dyDescent="0.25">
      <c r="A394" s="26"/>
      <c r="B394" s="26"/>
      <c r="C394" s="27"/>
      <c r="D394" s="26"/>
      <c r="E394" s="26"/>
      <c r="F394" s="28"/>
      <c r="G394" s="29"/>
      <c r="H394" s="30"/>
      <c r="I394" s="31"/>
      <c r="J394" s="30"/>
      <c r="K394" s="30"/>
      <c r="L394" s="30"/>
      <c r="M394" s="30"/>
      <c r="N394" s="28"/>
      <c r="O394" s="31"/>
      <c r="P394" s="30"/>
      <c r="Q394" s="28"/>
      <c r="R394" s="30"/>
      <c r="S394" s="26"/>
      <c r="T394" s="30"/>
      <c r="U394" s="30"/>
      <c r="V394" s="30"/>
      <c r="W394" s="32"/>
      <c r="X394" s="26"/>
    </row>
    <row r="395" spans="1:24" x14ac:dyDescent="0.25">
      <c r="A395" s="26"/>
      <c r="B395" s="26"/>
      <c r="C395" s="27"/>
      <c r="D395" s="26"/>
      <c r="E395" s="26"/>
      <c r="F395" s="28"/>
      <c r="G395" s="29"/>
      <c r="H395" s="30"/>
      <c r="I395" s="31"/>
      <c r="J395" s="30"/>
      <c r="K395" s="30"/>
      <c r="L395" s="30"/>
      <c r="M395" s="30"/>
      <c r="N395" s="28"/>
      <c r="O395" s="31"/>
      <c r="P395" s="30"/>
      <c r="Q395" s="28"/>
      <c r="R395" s="30"/>
      <c r="S395" s="26"/>
      <c r="T395" s="30"/>
      <c r="U395" s="30"/>
      <c r="V395" s="30"/>
      <c r="W395" s="32"/>
      <c r="X395" s="26"/>
    </row>
    <row r="396" spans="1:24" x14ac:dyDescent="0.25">
      <c r="A396" s="26"/>
      <c r="B396" s="26"/>
      <c r="C396" s="27"/>
      <c r="D396" s="26"/>
      <c r="E396" s="26"/>
      <c r="F396" s="28"/>
      <c r="G396" s="29"/>
      <c r="H396" s="30"/>
      <c r="I396" s="31"/>
      <c r="J396" s="30"/>
      <c r="K396" s="30"/>
      <c r="L396" s="30"/>
      <c r="M396" s="30"/>
      <c r="N396" s="28"/>
      <c r="O396" s="31"/>
      <c r="P396" s="30"/>
      <c r="Q396" s="28"/>
      <c r="R396" s="30"/>
      <c r="S396" s="26"/>
      <c r="T396" s="30"/>
      <c r="U396" s="30"/>
      <c r="V396" s="30"/>
      <c r="W396" s="32"/>
      <c r="X396" s="26"/>
    </row>
    <row r="397" spans="1:24" x14ac:dyDescent="0.25">
      <c r="A397" s="26"/>
      <c r="B397" s="26"/>
      <c r="C397" s="27"/>
      <c r="D397" s="26"/>
      <c r="E397" s="26"/>
      <c r="F397" s="28"/>
      <c r="G397" s="29"/>
      <c r="H397" s="30"/>
      <c r="I397" s="31"/>
      <c r="J397" s="30"/>
      <c r="K397" s="30"/>
      <c r="L397" s="30"/>
      <c r="M397" s="30"/>
      <c r="N397" s="28"/>
      <c r="O397" s="31"/>
      <c r="P397" s="30"/>
      <c r="Q397" s="28"/>
      <c r="R397" s="30"/>
      <c r="S397" s="26"/>
      <c r="T397" s="30"/>
      <c r="U397" s="30"/>
      <c r="V397" s="30"/>
      <c r="W397" s="32"/>
      <c r="X397" s="26"/>
    </row>
    <row r="398" spans="1:24" x14ac:dyDescent="0.25">
      <c r="A398" s="26"/>
      <c r="B398" s="26"/>
      <c r="C398" s="27"/>
      <c r="D398" s="26"/>
      <c r="E398" s="26"/>
      <c r="F398" s="28"/>
      <c r="G398" s="29"/>
      <c r="H398" s="30"/>
      <c r="I398" s="31"/>
      <c r="J398" s="30"/>
      <c r="K398" s="30"/>
      <c r="L398" s="30"/>
      <c r="M398" s="30"/>
      <c r="N398" s="28"/>
      <c r="O398" s="31"/>
      <c r="P398" s="30"/>
      <c r="Q398" s="28"/>
      <c r="R398" s="30"/>
      <c r="S398" s="26"/>
      <c r="T398" s="30"/>
      <c r="U398" s="30"/>
      <c r="V398" s="30"/>
      <c r="W398" s="32"/>
      <c r="X398" s="26"/>
    </row>
    <row r="399" spans="1:24" x14ac:dyDescent="0.25">
      <c r="A399" s="26"/>
      <c r="B399" s="26"/>
      <c r="C399" s="27"/>
      <c r="D399" s="26"/>
      <c r="E399" s="26"/>
      <c r="F399" s="28"/>
      <c r="G399" s="29"/>
      <c r="H399" s="30"/>
      <c r="I399" s="31"/>
      <c r="J399" s="30"/>
      <c r="K399" s="30"/>
      <c r="L399" s="30"/>
      <c r="M399" s="30"/>
      <c r="N399" s="28"/>
      <c r="O399" s="31"/>
      <c r="P399" s="30"/>
      <c r="Q399" s="28"/>
      <c r="R399" s="30"/>
      <c r="S399" s="26"/>
      <c r="T399" s="30"/>
      <c r="U399" s="30"/>
      <c r="V399" s="30"/>
      <c r="W399" s="32"/>
      <c r="X399" s="26"/>
    </row>
    <row r="400" spans="1:24" x14ac:dyDescent="0.25">
      <c r="A400" s="26"/>
      <c r="B400" s="26"/>
      <c r="C400" s="27"/>
      <c r="D400" s="26"/>
      <c r="E400" s="26"/>
      <c r="F400" s="28"/>
      <c r="G400" s="29"/>
      <c r="H400" s="30"/>
      <c r="I400" s="31"/>
      <c r="J400" s="30"/>
      <c r="K400" s="30"/>
      <c r="L400" s="30"/>
      <c r="M400" s="30"/>
      <c r="N400" s="28"/>
      <c r="O400" s="31"/>
      <c r="P400" s="30"/>
      <c r="Q400" s="28"/>
      <c r="R400" s="30"/>
      <c r="S400" s="26"/>
      <c r="T400" s="30"/>
      <c r="U400" s="30"/>
      <c r="V400" s="30"/>
      <c r="W400" s="32"/>
      <c r="X400" s="26"/>
    </row>
    <row r="401" spans="1:24" x14ac:dyDescent="0.25">
      <c r="A401" s="26"/>
      <c r="B401" s="26"/>
      <c r="C401" s="27"/>
      <c r="D401" s="26"/>
      <c r="E401" s="26"/>
      <c r="F401" s="28"/>
      <c r="G401" s="29"/>
      <c r="H401" s="30"/>
      <c r="I401" s="31"/>
      <c r="J401" s="30"/>
      <c r="K401" s="30"/>
      <c r="L401" s="30"/>
      <c r="M401" s="30"/>
      <c r="N401" s="28"/>
      <c r="O401" s="31"/>
      <c r="P401" s="30"/>
      <c r="Q401" s="28"/>
      <c r="R401" s="30"/>
      <c r="S401" s="26"/>
      <c r="T401" s="30"/>
      <c r="U401" s="30"/>
      <c r="V401" s="30"/>
      <c r="W401" s="32"/>
      <c r="X401" s="26"/>
    </row>
    <row r="402" spans="1:24" x14ac:dyDescent="0.25">
      <c r="A402" s="26"/>
      <c r="B402" s="26"/>
      <c r="C402" s="27"/>
      <c r="D402" s="26"/>
      <c r="E402" s="26"/>
      <c r="F402" s="28"/>
      <c r="G402" s="29"/>
      <c r="H402" s="30"/>
      <c r="I402" s="31"/>
      <c r="J402" s="30"/>
      <c r="K402" s="30"/>
      <c r="L402" s="30"/>
      <c r="M402" s="30"/>
      <c r="N402" s="28"/>
      <c r="O402" s="31"/>
      <c r="P402" s="30"/>
      <c r="Q402" s="28"/>
      <c r="R402" s="30"/>
      <c r="S402" s="26"/>
      <c r="T402" s="30"/>
      <c r="U402" s="30"/>
      <c r="V402" s="30"/>
      <c r="W402" s="32"/>
      <c r="X402" s="26"/>
    </row>
    <row r="403" spans="1:24" x14ac:dyDescent="0.25">
      <c r="A403" s="26"/>
      <c r="B403" s="26"/>
      <c r="C403" s="27"/>
      <c r="D403" s="26"/>
      <c r="E403" s="26"/>
      <c r="F403" s="28"/>
      <c r="G403" s="29"/>
      <c r="H403" s="30"/>
      <c r="I403" s="31"/>
      <c r="J403" s="30"/>
      <c r="K403" s="30"/>
      <c r="L403" s="30"/>
      <c r="M403" s="30"/>
      <c r="N403" s="28"/>
      <c r="O403" s="31"/>
      <c r="P403" s="30"/>
      <c r="Q403" s="28"/>
      <c r="R403" s="30"/>
      <c r="S403" s="26"/>
      <c r="T403" s="30"/>
      <c r="U403" s="30"/>
      <c r="V403" s="30"/>
      <c r="W403" s="32"/>
      <c r="X403" s="26"/>
    </row>
    <row r="404" spans="1:24" x14ac:dyDescent="0.25">
      <c r="A404" s="26"/>
      <c r="B404" s="26"/>
      <c r="C404" s="27"/>
      <c r="D404" s="26"/>
      <c r="E404" s="26"/>
      <c r="F404" s="28"/>
      <c r="G404" s="29"/>
      <c r="H404" s="30"/>
      <c r="I404" s="31"/>
      <c r="J404" s="30"/>
      <c r="K404" s="30"/>
      <c r="L404" s="30"/>
      <c r="M404" s="30"/>
      <c r="N404" s="28"/>
      <c r="O404" s="31"/>
      <c r="P404" s="30"/>
      <c r="Q404" s="28"/>
      <c r="R404" s="30"/>
      <c r="S404" s="26"/>
      <c r="T404" s="30"/>
      <c r="U404" s="30"/>
      <c r="V404" s="30"/>
      <c r="W404" s="32"/>
      <c r="X404" s="26"/>
    </row>
    <row r="405" spans="1:24" x14ac:dyDescent="0.25">
      <c r="A405" s="26"/>
      <c r="B405" s="26"/>
      <c r="C405" s="27"/>
      <c r="D405" s="26"/>
      <c r="E405" s="26"/>
      <c r="F405" s="28"/>
      <c r="G405" s="29"/>
      <c r="H405" s="30"/>
      <c r="I405" s="31"/>
      <c r="J405" s="30"/>
      <c r="K405" s="30"/>
      <c r="L405" s="30"/>
      <c r="M405" s="30"/>
      <c r="N405" s="28"/>
      <c r="O405" s="31"/>
      <c r="P405" s="30"/>
      <c r="Q405" s="28"/>
      <c r="R405" s="30"/>
      <c r="S405" s="26"/>
      <c r="T405" s="30"/>
      <c r="U405" s="30"/>
      <c r="V405" s="30"/>
      <c r="W405" s="32"/>
      <c r="X405" s="26"/>
    </row>
    <row r="406" spans="1:24" x14ac:dyDescent="0.25">
      <c r="A406" s="26"/>
      <c r="B406" s="26"/>
      <c r="C406" s="27"/>
      <c r="D406" s="26"/>
      <c r="E406" s="26"/>
      <c r="F406" s="28"/>
      <c r="G406" s="29"/>
      <c r="H406" s="30"/>
      <c r="I406" s="31"/>
      <c r="J406" s="30"/>
      <c r="K406" s="30"/>
      <c r="L406" s="30"/>
      <c r="M406" s="30"/>
      <c r="N406" s="28"/>
      <c r="O406" s="31"/>
      <c r="P406" s="30"/>
      <c r="Q406" s="28"/>
      <c r="R406" s="30"/>
      <c r="S406" s="26"/>
      <c r="T406" s="30"/>
      <c r="U406" s="30"/>
      <c r="V406" s="30"/>
      <c r="W406" s="32"/>
      <c r="X406" s="26"/>
    </row>
    <row r="407" spans="1:24" x14ac:dyDescent="0.25">
      <c r="A407" s="26"/>
      <c r="B407" s="26"/>
      <c r="C407" s="27"/>
      <c r="D407" s="26"/>
      <c r="E407" s="26"/>
      <c r="F407" s="28"/>
      <c r="G407" s="29"/>
      <c r="H407" s="30"/>
      <c r="I407" s="31"/>
      <c r="J407" s="30"/>
      <c r="K407" s="30"/>
      <c r="L407" s="30"/>
      <c r="M407" s="30"/>
      <c r="N407" s="28"/>
      <c r="O407" s="31"/>
      <c r="P407" s="30"/>
      <c r="Q407" s="28"/>
      <c r="R407" s="30"/>
      <c r="S407" s="26"/>
      <c r="T407" s="30"/>
      <c r="U407" s="30"/>
      <c r="V407" s="30"/>
      <c r="W407" s="32"/>
      <c r="X407" s="26"/>
    </row>
    <row r="408" spans="1:24" x14ac:dyDescent="0.25">
      <c r="A408" s="26"/>
      <c r="B408" s="26"/>
      <c r="C408" s="27"/>
      <c r="D408" s="26"/>
      <c r="E408" s="26"/>
      <c r="F408" s="28"/>
      <c r="G408" s="29"/>
      <c r="H408" s="30"/>
      <c r="I408" s="31"/>
      <c r="J408" s="30"/>
      <c r="K408" s="30"/>
      <c r="L408" s="30"/>
      <c r="M408" s="30"/>
      <c r="N408" s="28"/>
      <c r="O408" s="31"/>
      <c r="P408" s="30"/>
      <c r="Q408" s="28"/>
      <c r="R408" s="30"/>
      <c r="S408" s="26"/>
      <c r="T408" s="30"/>
      <c r="U408" s="30"/>
      <c r="V408" s="30"/>
      <c r="W408" s="32"/>
      <c r="X408" s="26"/>
    </row>
    <row r="409" spans="1:24" x14ac:dyDescent="0.25">
      <c r="A409" s="26"/>
      <c r="B409" s="26"/>
      <c r="C409" s="27"/>
      <c r="D409" s="26"/>
      <c r="E409" s="26"/>
      <c r="F409" s="28"/>
      <c r="G409" s="29"/>
      <c r="H409" s="30"/>
      <c r="I409" s="31"/>
      <c r="J409" s="30"/>
      <c r="K409" s="30"/>
      <c r="L409" s="30"/>
      <c r="M409" s="30"/>
      <c r="N409" s="28"/>
      <c r="O409" s="31"/>
      <c r="P409" s="30"/>
      <c r="Q409" s="28"/>
      <c r="R409" s="30"/>
      <c r="S409" s="26"/>
      <c r="T409" s="30"/>
      <c r="U409" s="30"/>
      <c r="V409" s="30"/>
      <c r="W409" s="32"/>
      <c r="X409" s="26"/>
    </row>
    <row r="410" spans="1:24" x14ac:dyDescent="0.25">
      <c r="A410" s="26"/>
      <c r="B410" s="26"/>
      <c r="C410" s="27"/>
      <c r="D410" s="26"/>
      <c r="E410" s="26"/>
      <c r="F410" s="28"/>
      <c r="G410" s="29"/>
      <c r="H410" s="30"/>
      <c r="I410" s="31"/>
      <c r="J410" s="30"/>
      <c r="K410" s="30"/>
      <c r="L410" s="30"/>
      <c r="M410" s="30"/>
      <c r="N410" s="28"/>
      <c r="O410" s="31"/>
      <c r="P410" s="30"/>
      <c r="Q410" s="28"/>
      <c r="R410" s="30"/>
      <c r="S410" s="26"/>
      <c r="T410" s="30"/>
      <c r="U410" s="30"/>
      <c r="V410" s="30"/>
      <c r="W410" s="32"/>
      <c r="X410" s="26"/>
    </row>
    <row r="411" spans="1:24" x14ac:dyDescent="0.25">
      <c r="A411" s="33"/>
      <c r="B411" s="33"/>
      <c r="C411" s="34"/>
      <c r="D411" s="34"/>
      <c r="E411" s="34"/>
      <c r="S411" s="34"/>
      <c r="X411" s="34"/>
    </row>
    <row r="412" spans="1:24" x14ac:dyDescent="0.25">
      <c r="A412" s="33"/>
      <c r="B412" s="33"/>
      <c r="C412" s="34"/>
      <c r="D412" s="34"/>
      <c r="E412" s="34"/>
      <c r="S412" s="34"/>
      <c r="X412" s="34"/>
    </row>
    <row r="413" spans="1:24" x14ac:dyDescent="0.25">
      <c r="A413" s="33"/>
      <c r="B413" s="33"/>
      <c r="C413" s="34"/>
      <c r="D413" s="34"/>
      <c r="E413" s="34"/>
      <c r="S413" s="34"/>
      <c r="X413" s="34"/>
    </row>
    <row r="414" spans="1:24" x14ac:dyDescent="0.25">
      <c r="A414" s="33"/>
      <c r="B414" s="33"/>
      <c r="C414" s="34"/>
      <c r="D414" s="34"/>
      <c r="E414" s="34"/>
      <c r="S414" s="34"/>
      <c r="X414" s="34"/>
    </row>
    <row r="415" spans="1:24" x14ac:dyDescent="0.25">
      <c r="A415" s="33"/>
      <c r="B415" s="33"/>
      <c r="C415" s="34"/>
      <c r="D415" s="34"/>
      <c r="E415" s="34"/>
      <c r="S415" s="34"/>
      <c r="X415" s="34"/>
    </row>
    <row r="416" spans="1:24" x14ac:dyDescent="0.25">
      <c r="A416" s="33"/>
      <c r="B416" s="33"/>
      <c r="C416" s="34"/>
      <c r="D416" s="34"/>
      <c r="E416" s="34"/>
      <c r="S416" s="34"/>
      <c r="X416" s="34"/>
    </row>
    <row r="417" spans="1:24" x14ac:dyDescent="0.25">
      <c r="A417" s="33"/>
      <c r="B417" s="33"/>
      <c r="C417" s="34"/>
      <c r="D417" s="34"/>
      <c r="E417" s="34"/>
      <c r="S417" s="34"/>
      <c r="X417" s="34"/>
    </row>
    <row r="418" spans="1:24" x14ac:dyDescent="0.25">
      <c r="A418" s="33"/>
      <c r="B418" s="33"/>
      <c r="C418" s="34"/>
      <c r="D418" s="34"/>
      <c r="E418" s="34"/>
      <c r="S418" s="34"/>
      <c r="X418" s="34"/>
    </row>
    <row r="419" spans="1:24" x14ac:dyDescent="0.25">
      <c r="A419" s="33"/>
      <c r="B419" s="33"/>
      <c r="C419" s="34"/>
      <c r="D419" s="34"/>
      <c r="E419" s="34"/>
      <c r="S419" s="34"/>
      <c r="X419" s="34"/>
    </row>
    <row r="420" spans="1:24" x14ac:dyDescent="0.25">
      <c r="A420" s="33"/>
      <c r="B420" s="33"/>
      <c r="C420" s="34"/>
      <c r="D420" s="34"/>
      <c r="E420" s="34"/>
      <c r="S420" s="34"/>
      <c r="X420" s="34"/>
    </row>
    <row r="421" spans="1:24" x14ac:dyDescent="0.25">
      <c r="A421" s="33"/>
      <c r="B421" s="33"/>
      <c r="C421" s="34"/>
      <c r="D421" s="34"/>
      <c r="E421" s="34"/>
      <c r="S421" s="34"/>
      <c r="X421" s="34"/>
    </row>
    <row r="422" spans="1:24" x14ac:dyDescent="0.25">
      <c r="A422" s="33"/>
      <c r="B422" s="33"/>
      <c r="C422" s="34"/>
      <c r="D422" s="34"/>
      <c r="E422" s="34"/>
      <c r="S422" s="34"/>
      <c r="X422" s="34"/>
    </row>
    <row r="423" spans="1:24" x14ac:dyDescent="0.25">
      <c r="A423" s="33"/>
      <c r="B423" s="33"/>
      <c r="C423" s="34"/>
      <c r="D423" s="34"/>
      <c r="E423" s="34"/>
      <c r="S423" s="34"/>
      <c r="X423" s="34"/>
    </row>
    <row r="424" spans="1:24" x14ac:dyDescent="0.25">
      <c r="A424" s="33"/>
      <c r="B424" s="33"/>
      <c r="C424" s="34"/>
      <c r="D424" s="34"/>
      <c r="E424" s="34"/>
      <c r="S424" s="34"/>
      <c r="X424" s="34"/>
    </row>
    <row r="425" spans="1:24" x14ac:dyDescent="0.25">
      <c r="A425" s="33"/>
      <c r="B425" s="33"/>
      <c r="C425" s="34"/>
      <c r="D425" s="34"/>
      <c r="E425" s="34"/>
      <c r="S425" s="34"/>
      <c r="X425" s="34"/>
    </row>
    <row r="426" spans="1:24" x14ac:dyDescent="0.25">
      <c r="A426" s="33"/>
      <c r="B426" s="33"/>
      <c r="C426" s="34"/>
      <c r="D426" s="34"/>
      <c r="E426" s="34"/>
      <c r="S426" s="34"/>
      <c r="X426" s="34"/>
    </row>
    <row r="427" spans="1:24" x14ac:dyDescent="0.25">
      <c r="A427" s="33"/>
      <c r="B427" s="33"/>
      <c r="C427" s="34"/>
      <c r="D427" s="34"/>
      <c r="E427" s="34"/>
      <c r="S427" s="34"/>
      <c r="X427" s="34"/>
    </row>
    <row r="428" spans="1:24" x14ac:dyDescent="0.25">
      <c r="A428" s="33"/>
      <c r="B428" s="33"/>
      <c r="C428" s="34"/>
      <c r="D428" s="34"/>
      <c r="E428" s="34"/>
      <c r="S428" s="34"/>
      <c r="X428" s="34"/>
    </row>
    <row r="429" spans="1:24" x14ac:dyDescent="0.25">
      <c r="A429" s="33"/>
      <c r="B429" s="33"/>
      <c r="C429" s="34"/>
      <c r="D429" s="34"/>
      <c r="E429" s="34"/>
      <c r="S429" s="34"/>
      <c r="X429" s="34"/>
    </row>
    <row r="430" spans="1:24" x14ac:dyDescent="0.25">
      <c r="A430" s="33"/>
      <c r="B430" s="33"/>
      <c r="C430" s="34"/>
      <c r="D430" s="34"/>
      <c r="E430" s="34"/>
      <c r="S430" s="34"/>
      <c r="X430" s="34"/>
    </row>
    <row r="431" spans="1:24" x14ac:dyDescent="0.25">
      <c r="A431" s="33"/>
      <c r="B431" s="33"/>
      <c r="C431" s="34"/>
      <c r="D431" s="34"/>
      <c r="E431" s="34"/>
      <c r="S431" s="34"/>
      <c r="X431" s="34"/>
    </row>
    <row r="432" spans="1:24" x14ac:dyDescent="0.25">
      <c r="A432" s="33"/>
      <c r="B432" s="33"/>
      <c r="C432" s="34"/>
      <c r="D432" s="34"/>
      <c r="E432" s="34"/>
      <c r="S432" s="34"/>
      <c r="X432" s="34"/>
    </row>
    <row r="433" spans="1:24" x14ac:dyDescent="0.25">
      <c r="A433" s="33"/>
      <c r="B433" s="33"/>
      <c r="C433" s="34"/>
      <c r="D433" s="34"/>
      <c r="E433" s="34"/>
      <c r="S433" s="34"/>
      <c r="X433" s="34"/>
    </row>
    <row r="434" spans="1:24" x14ac:dyDescent="0.25">
      <c r="A434" s="33"/>
      <c r="B434" s="33"/>
      <c r="C434" s="34"/>
      <c r="D434" s="34"/>
      <c r="E434" s="34"/>
      <c r="S434" s="34"/>
      <c r="X434" s="34"/>
    </row>
    <row r="435" spans="1:24" x14ac:dyDescent="0.25">
      <c r="A435" s="33"/>
      <c r="B435" s="33"/>
      <c r="C435" s="34"/>
      <c r="D435" s="34"/>
      <c r="E435" s="34"/>
      <c r="S435" s="34"/>
      <c r="X435" s="34"/>
    </row>
    <row r="436" spans="1:24" x14ac:dyDescent="0.25">
      <c r="A436" s="33"/>
      <c r="B436" s="33"/>
      <c r="C436" s="34"/>
      <c r="D436" s="34"/>
      <c r="E436" s="34"/>
      <c r="S436" s="34"/>
      <c r="X436" s="34"/>
    </row>
    <row r="437" spans="1:24" x14ac:dyDescent="0.25">
      <c r="A437" s="33"/>
      <c r="B437" s="33"/>
      <c r="C437" s="34"/>
      <c r="D437" s="34"/>
      <c r="E437" s="34"/>
      <c r="S437" s="34"/>
      <c r="X437" s="34"/>
    </row>
    <row r="438" spans="1:24" x14ac:dyDescent="0.25">
      <c r="A438" s="33"/>
      <c r="B438" s="33"/>
      <c r="C438" s="34"/>
      <c r="D438" s="34"/>
      <c r="E438" s="34"/>
      <c r="S438" s="34"/>
      <c r="X438" s="34"/>
    </row>
    <row r="439" spans="1:24" x14ac:dyDescent="0.25">
      <c r="A439" s="33"/>
      <c r="B439" s="33"/>
      <c r="C439" s="34"/>
      <c r="D439" s="34"/>
      <c r="E439" s="34"/>
      <c r="S439" s="34"/>
      <c r="X439" s="34"/>
    </row>
    <row r="440" spans="1:24" x14ac:dyDescent="0.25">
      <c r="A440" s="33"/>
      <c r="B440" s="33"/>
      <c r="C440" s="34"/>
      <c r="D440" s="34"/>
      <c r="E440" s="34"/>
      <c r="S440" s="34"/>
      <c r="X440" s="34"/>
    </row>
    <row r="441" spans="1:24" x14ac:dyDescent="0.25">
      <c r="A441" s="33"/>
      <c r="B441" s="33"/>
      <c r="C441" s="34"/>
      <c r="D441" s="34"/>
      <c r="E441" s="34"/>
      <c r="S441" s="34"/>
      <c r="X441" s="34"/>
    </row>
    <row r="442" spans="1:24" x14ac:dyDescent="0.25">
      <c r="A442" s="33"/>
      <c r="B442" s="33"/>
      <c r="C442" s="34"/>
      <c r="D442" s="34"/>
      <c r="E442" s="34"/>
      <c r="S442" s="34"/>
      <c r="X442" s="34"/>
    </row>
    <row r="443" spans="1:24" x14ac:dyDescent="0.25">
      <c r="A443" s="33"/>
      <c r="B443" s="33"/>
      <c r="C443" s="34"/>
      <c r="D443" s="34"/>
      <c r="E443" s="34"/>
      <c r="S443" s="34"/>
      <c r="X443" s="34"/>
    </row>
    <row r="444" spans="1:24" x14ac:dyDescent="0.25">
      <c r="A444" s="33"/>
      <c r="B444" s="33"/>
      <c r="C444" s="34"/>
      <c r="D444" s="34"/>
      <c r="E444" s="34"/>
      <c r="S444" s="34"/>
      <c r="X444" s="34"/>
    </row>
    <row r="445" spans="1:24" x14ac:dyDescent="0.25">
      <c r="A445" s="33"/>
      <c r="B445" s="33"/>
      <c r="C445" s="34"/>
      <c r="D445" s="34"/>
      <c r="E445" s="34"/>
      <c r="S445" s="34"/>
      <c r="X445" s="34"/>
    </row>
    <row r="446" spans="1:24" x14ac:dyDescent="0.25">
      <c r="A446" s="33"/>
      <c r="B446" s="33"/>
      <c r="C446" s="34"/>
      <c r="D446" s="34"/>
      <c r="E446" s="34"/>
      <c r="S446" s="34"/>
      <c r="X446" s="34"/>
    </row>
    <row r="447" spans="1:24" x14ac:dyDescent="0.25">
      <c r="A447" s="33"/>
      <c r="B447" s="33"/>
      <c r="C447" s="34"/>
      <c r="D447" s="34"/>
      <c r="E447" s="34"/>
      <c r="S447" s="34"/>
      <c r="X447" s="34"/>
    </row>
    <row r="448" spans="1:24" x14ac:dyDescent="0.25">
      <c r="A448" s="33"/>
      <c r="B448" s="33"/>
      <c r="C448" s="34"/>
      <c r="D448" s="34"/>
      <c r="E448" s="34"/>
      <c r="S448" s="34"/>
      <c r="X448" s="34"/>
    </row>
    <row r="449" spans="1:24" x14ac:dyDescent="0.25">
      <c r="A449" s="33"/>
      <c r="B449" s="33"/>
      <c r="C449" s="34"/>
      <c r="D449" s="34"/>
      <c r="E449" s="34"/>
      <c r="S449" s="34"/>
      <c r="X449" s="34"/>
    </row>
    <row r="450" spans="1:24" x14ac:dyDescent="0.25">
      <c r="A450" s="33"/>
      <c r="B450" s="33"/>
      <c r="C450" s="34"/>
      <c r="D450" s="34"/>
      <c r="E450" s="34"/>
      <c r="S450" s="34"/>
      <c r="X450" s="34"/>
    </row>
    <row r="451" spans="1:24" x14ac:dyDescent="0.25">
      <c r="A451" s="33"/>
      <c r="B451" s="33"/>
      <c r="C451" s="34"/>
      <c r="D451" s="34"/>
      <c r="E451" s="34"/>
      <c r="S451" s="34"/>
      <c r="X451" s="34"/>
    </row>
    <row r="452" spans="1:24" x14ac:dyDescent="0.25">
      <c r="A452" s="33"/>
      <c r="B452" s="33"/>
      <c r="C452" s="34"/>
      <c r="D452" s="34"/>
      <c r="E452" s="34"/>
      <c r="S452" s="34"/>
      <c r="X452" s="34"/>
    </row>
    <row r="453" spans="1:24" x14ac:dyDescent="0.25">
      <c r="A453" s="33"/>
      <c r="B453" s="33"/>
      <c r="C453" s="34"/>
      <c r="D453" s="34"/>
      <c r="E453" s="34"/>
      <c r="S453" s="34"/>
      <c r="X453" s="34"/>
    </row>
    <row r="454" spans="1:24" x14ac:dyDescent="0.25">
      <c r="A454" s="33"/>
      <c r="B454" s="33"/>
      <c r="C454" s="34"/>
      <c r="D454" s="34"/>
      <c r="E454" s="34"/>
      <c r="S454" s="34"/>
      <c r="X454" s="34"/>
    </row>
    <row r="455" spans="1:24" x14ac:dyDescent="0.25">
      <c r="A455" s="33"/>
      <c r="B455" s="33"/>
      <c r="C455" s="34"/>
      <c r="D455" s="34"/>
      <c r="E455" s="34"/>
      <c r="S455" s="34"/>
      <c r="X455" s="34"/>
    </row>
    <row r="456" spans="1:24" x14ac:dyDescent="0.25">
      <c r="A456" s="33"/>
      <c r="B456" s="33"/>
      <c r="C456" s="34"/>
      <c r="D456" s="34"/>
      <c r="E456" s="34"/>
      <c r="S456" s="34"/>
      <c r="X456" s="34"/>
    </row>
    <row r="457" spans="1:24" x14ac:dyDescent="0.25">
      <c r="A457" s="33"/>
      <c r="B457" s="33"/>
      <c r="C457" s="34"/>
      <c r="D457" s="34"/>
      <c r="E457" s="34"/>
      <c r="S457" s="34"/>
      <c r="X457" s="34"/>
    </row>
    <row r="458" spans="1:24" x14ac:dyDescent="0.25">
      <c r="A458" s="33"/>
      <c r="B458" s="33"/>
      <c r="C458" s="34"/>
      <c r="D458" s="34"/>
      <c r="E458" s="34"/>
      <c r="S458" s="34"/>
      <c r="X458" s="34"/>
    </row>
    <row r="459" spans="1:24" x14ac:dyDescent="0.25">
      <c r="A459" s="33"/>
      <c r="B459" s="33"/>
      <c r="C459" s="34"/>
      <c r="D459" s="34"/>
      <c r="E459" s="34"/>
      <c r="S459" s="34"/>
      <c r="X459" s="34"/>
    </row>
    <row r="460" spans="1:24" x14ac:dyDescent="0.25">
      <c r="A460" s="33"/>
      <c r="B460" s="33"/>
      <c r="C460" s="34"/>
      <c r="D460" s="34"/>
      <c r="E460" s="34"/>
      <c r="S460" s="34"/>
      <c r="X460" s="34"/>
    </row>
    <row r="461" spans="1:24" x14ac:dyDescent="0.25">
      <c r="A461" s="33"/>
      <c r="B461" s="33"/>
      <c r="C461" s="34"/>
      <c r="D461" s="34"/>
      <c r="E461" s="34"/>
      <c r="S461" s="34"/>
      <c r="X461" s="34"/>
    </row>
    <row r="462" spans="1:24" x14ac:dyDescent="0.25">
      <c r="A462" s="33"/>
      <c r="B462" s="33"/>
      <c r="C462" s="34"/>
      <c r="D462" s="34"/>
      <c r="E462" s="34"/>
      <c r="S462" s="34"/>
      <c r="X462" s="34"/>
    </row>
    <row r="463" spans="1:24" x14ac:dyDescent="0.25">
      <c r="A463" s="33"/>
      <c r="B463" s="33"/>
      <c r="C463" s="34"/>
      <c r="D463" s="34"/>
      <c r="E463" s="34"/>
      <c r="S463" s="34"/>
      <c r="X463" s="34"/>
    </row>
    <row r="464" spans="1:24" x14ac:dyDescent="0.25">
      <c r="A464" s="33"/>
      <c r="B464" s="33"/>
      <c r="C464" s="34"/>
      <c r="D464" s="34"/>
      <c r="E464" s="34"/>
      <c r="S464" s="34"/>
      <c r="X464" s="34"/>
    </row>
    <row r="465" spans="1:24" x14ac:dyDescent="0.25">
      <c r="A465" s="33"/>
      <c r="B465" s="33"/>
      <c r="C465" s="34"/>
      <c r="D465" s="34"/>
      <c r="E465" s="34"/>
      <c r="S465" s="34"/>
      <c r="X465" s="34"/>
    </row>
    <row r="466" spans="1:24" x14ac:dyDescent="0.25">
      <c r="A466" s="33"/>
      <c r="B466" s="33"/>
      <c r="C466" s="34"/>
      <c r="D466" s="34"/>
      <c r="E466" s="34"/>
      <c r="S466" s="34"/>
      <c r="X466" s="34"/>
    </row>
    <row r="467" spans="1:24" x14ac:dyDescent="0.25">
      <c r="A467" s="33"/>
      <c r="B467" s="33"/>
      <c r="C467" s="34"/>
      <c r="D467" s="34"/>
      <c r="E467" s="34"/>
      <c r="S467" s="34"/>
      <c r="X467" s="34"/>
    </row>
    <row r="468" spans="1:24" x14ac:dyDescent="0.25">
      <c r="A468" s="33"/>
      <c r="B468" s="33"/>
      <c r="C468" s="34"/>
      <c r="D468" s="34"/>
      <c r="E468" s="34"/>
      <c r="S468" s="34"/>
      <c r="X468" s="34"/>
    </row>
    <row r="469" spans="1:24" x14ac:dyDescent="0.25">
      <c r="A469" s="33"/>
      <c r="B469" s="33"/>
      <c r="C469" s="34"/>
      <c r="D469" s="34"/>
      <c r="E469" s="34"/>
      <c r="S469" s="34"/>
      <c r="X469" s="34"/>
    </row>
    <row r="470" spans="1:24" x14ac:dyDescent="0.25">
      <c r="A470" s="33"/>
      <c r="B470" s="33"/>
      <c r="C470" s="34"/>
      <c r="D470" s="34"/>
      <c r="E470" s="34"/>
      <c r="S470" s="34"/>
      <c r="X470" s="34"/>
    </row>
    <row r="471" spans="1:24" x14ac:dyDescent="0.25">
      <c r="A471" s="33"/>
      <c r="B471" s="33"/>
      <c r="C471" s="34"/>
      <c r="D471" s="34"/>
      <c r="E471" s="34"/>
      <c r="S471" s="34"/>
      <c r="X471" s="34"/>
    </row>
    <row r="472" spans="1:24" x14ac:dyDescent="0.25">
      <c r="A472" s="33"/>
      <c r="B472" s="33"/>
      <c r="C472" s="34"/>
      <c r="D472" s="34"/>
      <c r="E472" s="34"/>
      <c r="S472" s="34"/>
      <c r="X472" s="34"/>
    </row>
    <row r="473" spans="1:24" x14ac:dyDescent="0.25">
      <c r="A473" s="33"/>
      <c r="B473" s="33"/>
      <c r="C473" s="34"/>
      <c r="D473" s="34"/>
      <c r="E473" s="34"/>
      <c r="S473" s="34"/>
      <c r="X473" s="34"/>
    </row>
    <row r="474" spans="1:24" x14ac:dyDescent="0.25">
      <c r="A474" s="33"/>
      <c r="B474" s="33"/>
      <c r="C474" s="34"/>
      <c r="D474" s="34"/>
      <c r="E474" s="34"/>
      <c r="S474" s="34"/>
      <c r="X474" s="34"/>
    </row>
    <row r="475" spans="1:24" x14ac:dyDescent="0.25">
      <c r="A475" s="33"/>
      <c r="B475" s="33"/>
      <c r="C475" s="34"/>
      <c r="D475" s="34"/>
      <c r="E475" s="34"/>
      <c r="S475" s="34"/>
      <c r="X475" s="34"/>
    </row>
    <row r="476" spans="1:24" x14ac:dyDescent="0.25">
      <c r="A476" s="33"/>
      <c r="B476" s="33"/>
      <c r="C476" s="34"/>
      <c r="D476" s="34"/>
      <c r="E476" s="34"/>
      <c r="S476" s="34"/>
      <c r="X476" s="34"/>
    </row>
    <row r="477" spans="1:24" x14ac:dyDescent="0.25">
      <c r="A477" s="33"/>
      <c r="B477" s="33"/>
      <c r="C477" s="34"/>
      <c r="D477" s="34"/>
      <c r="E477" s="34"/>
      <c r="S477" s="34"/>
      <c r="X477" s="34"/>
    </row>
    <row r="478" spans="1:24" x14ac:dyDescent="0.25">
      <c r="A478" s="33"/>
      <c r="B478" s="33"/>
      <c r="C478" s="34"/>
      <c r="D478" s="34"/>
      <c r="E478" s="34"/>
      <c r="S478" s="34"/>
      <c r="X478" s="34"/>
    </row>
    <row r="479" spans="1:24" x14ac:dyDescent="0.25">
      <c r="A479" s="33"/>
      <c r="B479" s="33"/>
      <c r="C479" s="34"/>
      <c r="D479" s="34"/>
      <c r="E479" s="34"/>
      <c r="S479" s="34"/>
      <c r="X479" s="34"/>
    </row>
    <row r="480" spans="1:24" x14ac:dyDescent="0.25">
      <c r="A480" s="33"/>
      <c r="B480" s="33"/>
      <c r="C480" s="34"/>
      <c r="D480" s="34"/>
      <c r="E480" s="34"/>
      <c r="S480" s="34"/>
      <c r="X480" s="34"/>
    </row>
    <row r="481" spans="1:24" x14ac:dyDescent="0.25">
      <c r="A481" s="33"/>
      <c r="B481" s="33"/>
      <c r="C481" s="34"/>
      <c r="D481" s="34"/>
      <c r="E481" s="34"/>
      <c r="S481" s="34"/>
      <c r="X481" s="34"/>
    </row>
    <row r="482" spans="1:24" x14ac:dyDescent="0.25">
      <c r="A482" s="33"/>
      <c r="B482" s="33"/>
      <c r="C482" s="34"/>
      <c r="D482" s="34"/>
      <c r="E482" s="34"/>
      <c r="S482" s="34"/>
      <c r="X482" s="34"/>
    </row>
    <row r="483" spans="1:24" x14ac:dyDescent="0.25">
      <c r="A483" s="33"/>
      <c r="B483" s="33"/>
      <c r="C483" s="34"/>
      <c r="D483" s="34"/>
      <c r="E483" s="34"/>
      <c r="S483" s="34"/>
      <c r="X483" s="34"/>
    </row>
    <row r="484" spans="1:24" x14ac:dyDescent="0.25">
      <c r="A484" s="33"/>
      <c r="B484" s="33"/>
      <c r="C484" s="34"/>
      <c r="D484" s="34"/>
      <c r="E484" s="34"/>
      <c r="S484" s="34"/>
      <c r="X484" s="34"/>
    </row>
    <row r="485" spans="1:24" x14ac:dyDescent="0.25">
      <c r="A485" s="33"/>
      <c r="B485" s="33"/>
      <c r="C485" s="34"/>
      <c r="D485" s="34"/>
      <c r="E485" s="34"/>
      <c r="S485" s="34"/>
      <c r="X485" s="34"/>
    </row>
    <row r="486" spans="1:24" x14ac:dyDescent="0.25">
      <c r="A486" s="33"/>
      <c r="B486" s="33"/>
      <c r="C486" s="34"/>
      <c r="D486" s="34"/>
      <c r="E486" s="34"/>
      <c r="S486" s="34"/>
      <c r="X486" s="34"/>
    </row>
    <row r="487" spans="1:24" x14ac:dyDescent="0.25">
      <c r="A487" s="33"/>
      <c r="B487" s="33"/>
      <c r="C487" s="34"/>
      <c r="D487" s="34"/>
      <c r="E487" s="34"/>
      <c r="S487" s="34"/>
      <c r="X487" s="34"/>
    </row>
    <row r="488" spans="1:24" x14ac:dyDescent="0.25">
      <c r="A488" s="33"/>
      <c r="B488" s="33"/>
      <c r="C488" s="34"/>
      <c r="D488" s="34"/>
      <c r="E488" s="34"/>
      <c r="S488" s="34"/>
      <c r="X488" s="34"/>
    </row>
    <row r="489" spans="1:24" x14ac:dyDescent="0.25">
      <c r="A489" s="33"/>
      <c r="B489" s="33"/>
      <c r="C489" s="34"/>
      <c r="D489" s="34"/>
      <c r="E489" s="34"/>
      <c r="S489" s="34"/>
      <c r="X489" s="34"/>
    </row>
    <row r="490" spans="1:24" x14ac:dyDescent="0.25">
      <c r="A490" s="33"/>
      <c r="B490" s="33"/>
      <c r="C490" s="34"/>
      <c r="D490" s="34"/>
      <c r="E490" s="34"/>
      <c r="S490" s="34"/>
      <c r="X490" s="34"/>
    </row>
    <row r="491" spans="1:24" x14ac:dyDescent="0.25">
      <c r="A491" s="33"/>
      <c r="B491" s="33"/>
      <c r="C491" s="34"/>
      <c r="D491" s="34"/>
      <c r="E491" s="34"/>
      <c r="S491" s="34"/>
      <c r="X491" s="34"/>
    </row>
    <row r="492" spans="1:24" x14ac:dyDescent="0.25">
      <c r="A492" s="33"/>
      <c r="B492" s="33"/>
      <c r="C492" s="34"/>
      <c r="D492" s="34"/>
      <c r="E492" s="34"/>
      <c r="S492" s="34"/>
      <c r="X492" s="34"/>
    </row>
    <row r="493" spans="1:24" x14ac:dyDescent="0.25">
      <c r="A493" s="33"/>
      <c r="B493" s="33"/>
      <c r="C493" s="34"/>
      <c r="D493" s="34"/>
      <c r="E493" s="34"/>
      <c r="S493" s="34"/>
      <c r="X493" s="34"/>
    </row>
    <row r="494" spans="1:24" x14ac:dyDescent="0.25">
      <c r="A494" s="33"/>
      <c r="B494" s="33"/>
      <c r="C494" s="34"/>
      <c r="D494" s="34"/>
      <c r="E494" s="34"/>
      <c r="S494" s="34"/>
      <c r="X494" s="34"/>
    </row>
    <row r="495" spans="1:24" x14ac:dyDescent="0.25">
      <c r="A495" s="33"/>
      <c r="B495" s="33"/>
      <c r="C495" s="34"/>
      <c r="D495" s="34"/>
      <c r="E495" s="34"/>
      <c r="S495" s="34"/>
      <c r="X495" s="34"/>
    </row>
    <row r="496" spans="1:24" x14ac:dyDescent="0.25">
      <c r="A496" s="33"/>
      <c r="B496" s="33"/>
      <c r="C496" s="34"/>
      <c r="D496" s="34"/>
      <c r="E496" s="34"/>
      <c r="S496" s="34"/>
      <c r="X496" s="34"/>
    </row>
    <row r="497" spans="1:24" x14ac:dyDescent="0.25">
      <c r="A497" s="33"/>
      <c r="B497" s="33"/>
      <c r="C497" s="34"/>
      <c r="D497" s="34"/>
      <c r="E497" s="34"/>
      <c r="S497" s="34"/>
      <c r="X497" s="34"/>
    </row>
    <row r="498" spans="1:24" x14ac:dyDescent="0.25">
      <c r="A498" s="33"/>
      <c r="B498" s="33"/>
      <c r="C498" s="34"/>
      <c r="D498" s="34"/>
      <c r="E498" s="34"/>
      <c r="S498" s="34"/>
      <c r="X498" s="34"/>
    </row>
    <row r="499" spans="1:24" x14ac:dyDescent="0.25">
      <c r="A499" s="33"/>
      <c r="B499" s="33"/>
      <c r="C499" s="34"/>
      <c r="D499" s="34"/>
      <c r="E499" s="34"/>
      <c r="S499" s="34"/>
      <c r="X499" s="34"/>
    </row>
    <row r="500" spans="1:24" x14ac:dyDescent="0.25">
      <c r="A500" s="33"/>
      <c r="B500" s="33"/>
      <c r="C500" s="34"/>
      <c r="D500" s="34"/>
      <c r="E500" s="34"/>
      <c r="S500" s="34"/>
      <c r="X500" s="34"/>
    </row>
    <row r="501" spans="1:24" x14ac:dyDescent="0.25">
      <c r="A501" s="33"/>
      <c r="B501" s="33"/>
      <c r="C501" s="34"/>
      <c r="D501" s="34"/>
      <c r="E501" s="34"/>
      <c r="S501" s="34"/>
      <c r="X501" s="34"/>
    </row>
    <row r="502" spans="1:24" x14ac:dyDescent="0.25">
      <c r="A502" s="33"/>
      <c r="B502" s="33"/>
      <c r="C502" s="34"/>
      <c r="D502" s="34"/>
      <c r="E502" s="34"/>
      <c r="S502" s="34"/>
      <c r="X502" s="34"/>
    </row>
    <row r="503" spans="1:24" x14ac:dyDescent="0.25">
      <c r="A503" s="33"/>
      <c r="B503" s="33"/>
      <c r="C503" s="34"/>
      <c r="D503" s="34"/>
      <c r="E503" s="34"/>
      <c r="S503" s="34"/>
      <c r="X503" s="34"/>
    </row>
    <row r="504" spans="1:24" x14ac:dyDescent="0.25">
      <c r="A504" s="33"/>
      <c r="B504" s="33"/>
      <c r="C504" s="34"/>
      <c r="D504" s="34"/>
      <c r="E504" s="34"/>
      <c r="S504" s="34"/>
      <c r="X504" s="34"/>
    </row>
    <row r="505" spans="1:24" x14ac:dyDescent="0.25">
      <c r="A505" s="33"/>
      <c r="B505" s="33"/>
      <c r="C505" s="34"/>
      <c r="D505" s="34"/>
      <c r="E505" s="34"/>
      <c r="S505" s="34"/>
      <c r="X505" s="34"/>
    </row>
    <row r="506" spans="1:24" x14ac:dyDescent="0.25">
      <c r="A506" s="33"/>
      <c r="B506" s="33"/>
      <c r="C506" s="34"/>
      <c r="D506" s="34"/>
      <c r="E506" s="34"/>
      <c r="S506" s="34"/>
      <c r="X506" s="34"/>
    </row>
    <row r="507" spans="1:24" x14ac:dyDescent="0.25">
      <c r="A507" s="33"/>
      <c r="B507" s="33"/>
      <c r="C507" s="34"/>
      <c r="D507" s="34"/>
      <c r="E507" s="34"/>
      <c r="S507" s="34"/>
      <c r="X507" s="34"/>
    </row>
    <row r="508" spans="1:24" x14ac:dyDescent="0.25">
      <c r="A508" s="33"/>
      <c r="B508" s="33"/>
      <c r="C508" s="34"/>
      <c r="D508" s="34"/>
      <c r="E508" s="34"/>
      <c r="S508" s="34"/>
      <c r="X508" s="34"/>
    </row>
    <row r="509" spans="1:24" x14ac:dyDescent="0.25">
      <c r="A509" s="33"/>
      <c r="B509" s="33"/>
      <c r="C509" s="34"/>
      <c r="D509" s="34"/>
      <c r="E509" s="34"/>
      <c r="S509" s="34"/>
      <c r="X509" s="34"/>
    </row>
    <row r="510" spans="1:24" x14ac:dyDescent="0.25">
      <c r="A510" s="33"/>
      <c r="B510" s="33"/>
      <c r="C510" s="34"/>
      <c r="D510" s="34"/>
      <c r="E510" s="34"/>
      <c r="S510" s="34"/>
      <c r="X510" s="34"/>
    </row>
    <row r="511" spans="1:24" x14ac:dyDescent="0.25">
      <c r="A511" s="33"/>
      <c r="B511" s="33"/>
      <c r="C511" s="34"/>
      <c r="D511" s="34"/>
      <c r="E511" s="34"/>
      <c r="S511" s="34"/>
      <c r="X511" s="34"/>
    </row>
    <row r="512" spans="1:24" x14ac:dyDescent="0.25">
      <c r="A512" s="33"/>
      <c r="B512" s="33"/>
      <c r="C512" s="34"/>
      <c r="D512" s="34"/>
      <c r="E512" s="34"/>
      <c r="S512" s="34"/>
      <c r="X512" s="34"/>
    </row>
    <row r="513" spans="1:24" x14ac:dyDescent="0.25">
      <c r="A513" s="33"/>
      <c r="B513" s="33"/>
      <c r="C513" s="34"/>
      <c r="D513" s="34"/>
      <c r="E513" s="34"/>
      <c r="S513" s="34"/>
      <c r="X513" s="34"/>
    </row>
    <row r="514" spans="1:24" x14ac:dyDescent="0.25">
      <c r="A514" s="33"/>
      <c r="B514" s="33"/>
      <c r="C514" s="34"/>
      <c r="D514" s="34"/>
      <c r="E514" s="34"/>
      <c r="S514" s="34"/>
      <c r="X514" s="34"/>
    </row>
    <row r="515" spans="1:24" x14ac:dyDescent="0.25">
      <c r="A515" s="33"/>
      <c r="B515" s="33"/>
      <c r="C515" s="34"/>
      <c r="D515" s="34"/>
      <c r="E515" s="34"/>
      <c r="S515" s="34"/>
      <c r="X515" s="34"/>
    </row>
    <row r="516" spans="1:24" x14ac:dyDescent="0.25">
      <c r="A516" s="33"/>
      <c r="B516" s="33"/>
      <c r="C516" s="34"/>
      <c r="D516" s="34"/>
      <c r="E516" s="34"/>
      <c r="S516" s="34"/>
      <c r="X516" s="34"/>
    </row>
    <row r="517" spans="1:24" x14ac:dyDescent="0.25">
      <c r="A517" s="33"/>
      <c r="B517" s="33"/>
      <c r="C517" s="34"/>
      <c r="D517" s="34"/>
      <c r="E517" s="34"/>
      <c r="S517" s="34"/>
      <c r="X517" s="34"/>
    </row>
    <row r="518" spans="1:24" x14ac:dyDescent="0.25">
      <c r="A518" s="33"/>
      <c r="B518" s="33"/>
      <c r="C518" s="34"/>
      <c r="D518" s="34"/>
      <c r="E518" s="34"/>
      <c r="S518" s="34"/>
      <c r="X518" s="34"/>
    </row>
    <row r="519" spans="1:24" x14ac:dyDescent="0.25">
      <c r="A519" s="33"/>
      <c r="B519" s="33"/>
      <c r="C519" s="34"/>
      <c r="D519" s="34"/>
      <c r="E519" s="34"/>
      <c r="S519" s="34"/>
      <c r="X519" s="34"/>
    </row>
    <row r="520" spans="1:24" x14ac:dyDescent="0.25">
      <c r="A520" s="33"/>
      <c r="B520" s="33"/>
      <c r="C520" s="34"/>
      <c r="D520" s="34"/>
      <c r="E520" s="34"/>
      <c r="S520" s="34"/>
      <c r="X520" s="34"/>
    </row>
    <row r="521" spans="1:24" x14ac:dyDescent="0.25">
      <c r="A521" s="33"/>
      <c r="B521" s="33"/>
      <c r="C521" s="34"/>
      <c r="D521" s="34"/>
      <c r="E521" s="34"/>
      <c r="S521" s="34"/>
      <c r="X521" s="34"/>
    </row>
    <row r="522" spans="1:24" x14ac:dyDescent="0.25">
      <c r="A522" s="33"/>
      <c r="B522" s="33"/>
      <c r="C522" s="34"/>
      <c r="D522" s="34"/>
      <c r="E522" s="34"/>
      <c r="S522" s="34"/>
      <c r="X522" s="34"/>
    </row>
    <row r="523" spans="1:24" x14ac:dyDescent="0.25">
      <c r="A523" s="33"/>
      <c r="B523" s="33"/>
      <c r="C523" s="34"/>
      <c r="D523" s="34"/>
      <c r="E523" s="34"/>
      <c r="S523" s="34"/>
      <c r="X523" s="34"/>
    </row>
    <row r="524" spans="1:24" x14ac:dyDescent="0.25">
      <c r="A524" s="33"/>
      <c r="B524" s="33"/>
      <c r="C524" s="34"/>
      <c r="D524" s="34"/>
      <c r="E524" s="34"/>
      <c r="S524" s="34"/>
      <c r="X524" s="34"/>
    </row>
    <row r="525" spans="1:24" x14ac:dyDescent="0.25">
      <c r="A525" s="33"/>
      <c r="B525" s="33"/>
      <c r="C525" s="34"/>
      <c r="D525" s="34"/>
      <c r="E525" s="34"/>
      <c r="S525" s="34"/>
      <c r="X525" s="34"/>
    </row>
    <row r="526" spans="1:24" x14ac:dyDescent="0.25">
      <c r="A526" s="33"/>
      <c r="B526" s="33"/>
      <c r="C526" s="34"/>
      <c r="D526" s="34"/>
      <c r="E526" s="34"/>
      <c r="S526" s="34"/>
      <c r="X526" s="34"/>
    </row>
    <row r="527" spans="1:24" x14ac:dyDescent="0.25">
      <c r="A527" s="33"/>
      <c r="B527" s="33"/>
      <c r="C527" s="34"/>
      <c r="D527" s="34"/>
      <c r="E527" s="34"/>
      <c r="S527" s="34"/>
      <c r="X527" s="34"/>
    </row>
    <row r="528" spans="1:24" x14ac:dyDescent="0.25">
      <c r="A528" s="33"/>
      <c r="B528" s="33"/>
      <c r="C528" s="34"/>
      <c r="D528" s="34"/>
      <c r="E528" s="34"/>
      <c r="S528" s="34"/>
      <c r="X528" s="34"/>
    </row>
    <row r="529" spans="1:24" x14ac:dyDescent="0.25">
      <c r="A529" s="33"/>
      <c r="B529" s="33"/>
      <c r="C529" s="34"/>
      <c r="D529" s="34"/>
      <c r="E529" s="34"/>
      <c r="S529" s="34"/>
      <c r="X529" s="34"/>
    </row>
    <row r="530" spans="1:24" x14ac:dyDescent="0.25">
      <c r="A530" s="33"/>
      <c r="B530" s="33"/>
      <c r="C530" s="34"/>
      <c r="D530" s="34"/>
      <c r="E530" s="34"/>
      <c r="S530" s="34"/>
      <c r="X530" s="34"/>
    </row>
    <row r="531" spans="1:24" x14ac:dyDescent="0.25">
      <c r="A531" s="33"/>
      <c r="B531" s="33"/>
      <c r="C531" s="34"/>
      <c r="D531" s="34"/>
      <c r="E531" s="34"/>
      <c r="S531" s="34"/>
      <c r="X531" s="34"/>
    </row>
    <row r="532" spans="1:24" x14ac:dyDescent="0.25">
      <c r="A532" s="33"/>
      <c r="B532" s="33"/>
      <c r="C532" s="34"/>
      <c r="D532" s="34"/>
      <c r="E532" s="34"/>
      <c r="S532" s="34"/>
      <c r="X532" s="34"/>
    </row>
    <row r="533" spans="1:24" x14ac:dyDescent="0.25">
      <c r="A533" s="33"/>
      <c r="B533" s="33"/>
      <c r="C533" s="34"/>
      <c r="D533" s="34"/>
      <c r="E533" s="34"/>
      <c r="S533" s="34"/>
      <c r="X533" s="34"/>
    </row>
    <row r="534" spans="1:24" x14ac:dyDescent="0.25">
      <c r="A534" s="33"/>
      <c r="B534" s="33"/>
      <c r="C534" s="34"/>
      <c r="D534" s="34"/>
      <c r="E534" s="34"/>
      <c r="S534" s="34"/>
      <c r="X534" s="34"/>
    </row>
    <row r="535" spans="1:24" x14ac:dyDescent="0.25">
      <c r="A535" s="33"/>
      <c r="B535" s="33"/>
      <c r="C535" s="34"/>
      <c r="D535" s="34"/>
      <c r="E535" s="34"/>
      <c r="S535" s="34"/>
      <c r="X535" s="34"/>
    </row>
    <row r="536" spans="1:24" x14ac:dyDescent="0.25">
      <c r="A536" s="33"/>
      <c r="B536" s="33"/>
      <c r="C536" s="34"/>
      <c r="D536" s="34"/>
      <c r="E536" s="34"/>
      <c r="S536" s="34"/>
      <c r="X536" s="34"/>
    </row>
    <row r="537" spans="1:24" x14ac:dyDescent="0.25">
      <c r="A537" s="33"/>
      <c r="B537" s="33"/>
      <c r="C537" s="34"/>
      <c r="D537" s="34"/>
      <c r="E537" s="34"/>
      <c r="S537" s="34"/>
      <c r="X537" s="34"/>
    </row>
    <row r="538" spans="1:24" x14ac:dyDescent="0.25">
      <c r="A538" s="33"/>
      <c r="B538" s="33"/>
      <c r="C538" s="34"/>
      <c r="D538" s="34"/>
      <c r="E538" s="34"/>
      <c r="S538" s="34"/>
      <c r="X538" s="34"/>
    </row>
    <row r="539" spans="1:24" x14ac:dyDescent="0.25">
      <c r="A539" s="33"/>
      <c r="B539" s="33"/>
      <c r="C539" s="34"/>
      <c r="D539" s="34"/>
      <c r="E539" s="34"/>
      <c r="S539" s="34"/>
      <c r="X539" s="34"/>
    </row>
    <row r="540" spans="1:24" x14ac:dyDescent="0.25">
      <c r="A540" s="33"/>
      <c r="B540" s="33"/>
      <c r="C540" s="34"/>
      <c r="D540" s="34"/>
      <c r="E540" s="34"/>
      <c r="S540" s="34"/>
      <c r="X540" s="34"/>
    </row>
    <row r="541" spans="1:24" x14ac:dyDescent="0.25">
      <c r="A541" s="33"/>
      <c r="B541" s="33"/>
      <c r="C541" s="34"/>
      <c r="D541" s="34"/>
      <c r="E541" s="34"/>
      <c r="S541" s="34"/>
      <c r="X541" s="34"/>
    </row>
    <row r="542" spans="1:24" x14ac:dyDescent="0.25">
      <c r="A542" s="33"/>
      <c r="B542" s="33"/>
      <c r="C542" s="34"/>
      <c r="D542" s="34"/>
      <c r="E542" s="34"/>
      <c r="S542" s="34"/>
      <c r="X542" s="34"/>
    </row>
    <row r="543" spans="1:24" x14ac:dyDescent="0.25">
      <c r="A543" s="33"/>
      <c r="B543" s="33"/>
      <c r="C543" s="34"/>
      <c r="D543" s="34"/>
      <c r="E543" s="34"/>
      <c r="S543" s="34"/>
      <c r="X543" s="34"/>
    </row>
    <row r="544" spans="1:24" x14ac:dyDescent="0.25">
      <c r="A544" s="33"/>
      <c r="B544" s="33"/>
      <c r="C544" s="34"/>
      <c r="D544" s="34"/>
      <c r="E544" s="34"/>
      <c r="S544" s="34"/>
      <c r="X544" s="34"/>
    </row>
    <row r="545" spans="1:24" x14ac:dyDescent="0.25">
      <c r="A545" s="33"/>
      <c r="B545" s="33"/>
      <c r="C545" s="34"/>
      <c r="D545" s="34"/>
      <c r="E545" s="34"/>
      <c r="S545" s="34"/>
      <c r="X545" s="34"/>
    </row>
    <row r="546" spans="1:24" x14ac:dyDescent="0.25">
      <c r="A546" s="33"/>
      <c r="B546" s="33"/>
      <c r="C546" s="34"/>
      <c r="D546" s="34"/>
      <c r="E546" s="34"/>
      <c r="S546" s="34"/>
      <c r="X546" s="34"/>
    </row>
    <row r="547" spans="1:24" x14ac:dyDescent="0.25">
      <c r="A547" s="33"/>
      <c r="B547" s="33"/>
      <c r="C547" s="34"/>
      <c r="D547" s="34"/>
      <c r="E547" s="34"/>
      <c r="S547" s="34"/>
      <c r="X547" s="34"/>
    </row>
    <row r="548" spans="1:24" x14ac:dyDescent="0.25">
      <c r="A548" s="33"/>
      <c r="B548" s="33"/>
      <c r="C548" s="34"/>
      <c r="D548" s="34"/>
      <c r="E548" s="34"/>
      <c r="S548" s="34"/>
      <c r="X548" s="34"/>
    </row>
    <row r="549" spans="1:24" x14ac:dyDescent="0.25">
      <c r="A549" s="33"/>
      <c r="B549" s="33"/>
      <c r="C549" s="34"/>
      <c r="D549" s="34"/>
      <c r="E549" s="34"/>
      <c r="S549" s="34"/>
      <c r="X549" s="34"/>
    </row>
    <row r="550" spans="1:24" x14ac:dyDescent="0.25">
      <c r="A550" s="33"/>
      <c r="B550" s="33"/>
      <c r="C550" s="34"/>
      <c r="D550" s="34"/>
      <c r="E550" s="34"/>
      <c r="S550" s="34"/>
      <c r="X550" s="34"/>
    </row>
    <row r="551" spans="1:24" x14ac:dyDescent="0.25">
      <c r="A551" s="33"/>
      <c r="B551" s="33"/>
      <c r="C551" s="34"/>
      <c r="D551" s="34"/>
      <c r="E551" s="34"/>
      <c r="S551" s="34"/>
      <c r="X551" s="34"/>
    </row>
    <row r="552" spans="1:24" x14ac:dyDescent="0.25">
      <c r="A552" s="33"/>
      <c r="B552" s="33"/>
      <c r="C552" s="34"/>
      <c r="D552" s="34"/>
      <c r="E552" s="34"/>
      <c r="S552" s="34"/>
      <c r="X552" s="34"/>
    </row>
    <row r="553" spans="1:24" x14ac:dyDescent="0.25">
      <c r="A553" s="33"/>
      <c r="B553" s="33"/>
      <c r="C553" s="34"/>
      <c r="D553" s="34"/>
      <c r="E553" s="34"/>
      <c r="S553" s="34"/>
      <c r="X553" s="34"/>
    </row>
    <row r="554" spans="1:24" x14ac:dyDescent="0.25">
      <c r="A554" s="33"/>
      <c r="B554" s="33"/>
      <c r="C554" s="34"/>
      <c r="D554" s="34"/>
      <c r="E554" s="34"/>
      <c r="S554" s="34"/>
      <c r="X554" s="34"/>
    </row>
    <row r="555" spans="1:24" x14ac:dyDescent="0.25">
      <c r="A555" s="33"/>
      <c r="B555" s="33"/>
      <c r="C555" s="34"/>
      <c r="D555" s="34"/>
      <c r="E555" s="34"/>
      <c r="S555" s="34"/>
      <c r="X555" s="34"/>
    </row>
    <row r="556" spans="1:24" x14ac:dyDescent="0.25">
      <c r="A556" s="33"/>
      <c r="B556" s="33"/>
      <c r="C556" s="34"/>
      <c r="D556" s="34"/>
      <c r="E556" s="34"/>
      <c r="S556" s="34"/>
      <c r="X556" s="34"/>
    </row>
    <row r="557" spans="1:24" x14ac:dyDescent="0.25">
      <c r="A557" s="33"/>
      <c r="B557" s="33"/>
      <c r="C557" s="34"/>
      <c r="D557" s="34"/>
      <c r="E557" s="34"/>
      <c r="S557" s="34"/>
      <c r="X557" s="34"/>
    </row>
    <row r="558" spans="1:24" x14ac:dyDescent="0.25">
      <c r="A558" s="33"/>
      <c r="B558" s="33"/>
      <c r="C558" s="34"/>
      <c r="D558" s="34"/>
      <c r="E558" s="34"/>
      <c r="S558" s="34"/>
      <c r="X558" s="34"/>
    </row>
    <row r="559" spans="1:24" x14ac:dyDescent="0.25">
      <c r="A559" s="33"/>
      <c r="B559" s="33"/>
      <c r="C559" s="34"/>
      <c r="D559" s="34"/>
      <c r="E559" s="34"/>
      <c r="S559" s="34"/>
      <c r="X559" s="34"/>
    </row>
    <row r="560" spans="1:24" x14ac:dyDescent="0.25">
      <c r="A560" s="33"/>
      <c r="B560" s="33"/>
      <c r="C560" s="34"/>
      <c r="D560" s="34"/>
      <c r="E560" s="34"/>
      <c r="S560" s="34"/>
      <c r="X560" s="34"/>
    </row>
    <row r="561" spans="1:24" x14ac:dyDescent="0.25">
      <c r="A561" s="33"/>
      <c r="B561" s="33"/>
      <c r="C561" s="34"/>
      <c r="D561" s="34"/>
      <c r="E561" s="34"/>
      <c r="S561" s="34"/>
      <c r="X561" s="34"/>
    </row>
    <row r="562" spans="1:24" x14ac:dyDescent="0.25">
      <c r="A562" s="33"/>
      <c r="B562" s="33"/>
      <c r="C562" s="34"/>
      <c r="D562" s="34"/>
      <c r="E562" s="34"/>
      <c r="S562" s="34"/>
      <c r="X562" s="34"/>
    </row>
    <row r="563" spans="1:24" x14ac:dyDescent="0.25">
      <c r="A563" s="33"/>
      <c r="B563" s="33"/>
      <c r="C563" s="34"/>
      <c r="D563" s="34"/>
      <c r="E563" s="34"/>
      <c r="S563" s="34"/>
      <c r="X563" s="34"/>
    </row>
    <row r="564" spans="1:24" x14ac:dyDescent="0.25">
      <c r="A564" s="33"/>
      <c r="B564" s="33"/>
      <c r="C564" s="34"/>
      <c r="D564" s="34"/>
      <c r="E564" s="34"/>
      <c r="S564" s="34"/>
      <c r="X564" s="34"/>
    </row>
    <row r="565" spans="1:24" x14ac:dyDescent="0.25">
      <c r="A565" s="33"/>
      <c r="B565" s="33"/>
      <c r="C565" s="34"/>
      <c r="D565" s="34"/>
      <c r="E565" s="34"/>
      <c r="S565" s="34"/>
      <c r="X565" s="34"/>
    </row>
    <row r="566" spans="1:24" x14ac:dyDescent="0.25">
      <c r="A566" s="33"/>
      <c r="B566" s="33"/>
      <c r="C566" s="34"/>
      <c r="D566" s="34"/>
      <c r="E566" s="34"/>
      <c r="S566" s="34"/>
      <c r="X566" s="34"/>
    </row>
    <row r="567" spans="1:24" x14ac:dyDescent="0.25">
      <c r="A567" s="33"/>
      <c r="B567" s="33"/>
      <c r="C567" s="34"/>
      <c r="D567" s="34"/>
      <c r="E567" s="34"/>
      <c r="S567" s="34"/>
      <c r="X567" s="34"/>
    </row>
    <row r="568" spans="1:24" x14ac:dyDescent="0.25">
      <c r="A568" s="33"/>
      <c r="B568" s="33"/>
      <c r="C568" s="34"/>
      <c r="D568" s="34"/>
      <c r="E568" s="34"/>
      <c r="S568" s="34"/>
      <c r="X568" s="34"/>
    </row>
    <row r="569" spans="1:24" x14ac:dyDescent="0.25">
      <c r="A569" s="33"/>
      <c r="B569" s="33"/>
      <c r="C569" s="34"/>
      <c r="D569" s="34"/>
      <c r="E569" s="34"/>
      <c r="S569" s="34"/>
      <c r="X569" s="34"/>
    </row>
    <row r="570" spans="1:24" x14ac:dyDescent="0.25">
      <c r="A570" s="33"/>
      <c r="B570" s="33"/>
      <c r="C570" s="34"/>
      <c r="D570" s="34"/>
      <c r="E570" s="34"/>
      <c r="S570" s="34"/>
      <c r="X570" s="34"/>
    </row>
    <row r="571" spans="1:24" x14ac:dyDescent="0.25">
      <c r="A571" s="33"/>
      <c r="B571" s="33"/>
      <c r="C571" s="34"/>
      <c r="D571" s="34"/>
      <c r="E571" s="34"/>
      <c r="S571" s="34"/>
      <c r="X571" s="34"/>
    </row>
    <row r="572" spans="1:24" x14ac:dyDescent="0.25">
      <c r="A572" s="33"/>
      <c r="B572" s="33"/>
      <c r="C572" s="34"/>
      <c r="D572" s="34"/>
      <c r="E572" s="34"/>
      <c r="S572" s="34"/>
      <c r="X572" s="34"/>
    </row>
    <row r="573" spans="1:24" x14ac:dyDescent="0.25">
      <c r="A573" s="33"/>
      <c r="B573" s="33"/>
      <c r="C573" s="34"/>
      <c r="D573" s="34"/>
      <c r="E573" s="34"/>
      <c r="S573" s="34"/>
      <c r="X573" s="34"/>
    </row>
    <row r="574" spans="1:24" x14ac:dyDescent="0.25">
      <c r="A574" s="33"/>
      <c r="B574" s="33"/>
      <c r="C574" s="34"/>
      <c r="D574" s="34"/>
      <c r="E574" s="34"/>
      <c r="S574" s="34"/>
      <c r="X574" s="34"/>
    </row>
    <row r="575" spans="1:24" x14ac:dyDescent="0.25">
      <c r="A575" s="33"/>
      <c r="B575" s="33"/>
      <c r="C575" s="34"/>
      <c r="D575" s="34"/>
      <c r="E575" s="34"/>
      <c r="S575" s="34"/>
      <c r="X575" s="34"/>
    </row>
    <row r="576" spans="1:24" x14ac:dyDescent="0.25">
      <c r="A576" s="33"/>
      <c r="B576" s="33"/>
      <c r="C576" s="34"/>
      <c r="D576" s="34"/>
      <c r="E576" s="34"/>
      <c r="S576" s="34"/>
      <c r="X576" s="34"/>
    </row>
    <row r="577" spans="1:24" x14ac:dyDescent="0.25">
      <c r="A577" s="33"/>
      <c r="B577" s="33"/>
      <c r="C577" s="34"/>
      <c r="D577" s="34"/>
      <c r="E577" s="34"/>
      <c r="S577" s="34"/>
      <c r="X577" s="34"/>
    </row>
    <row r="578" spans="1:24" x14ac:dyDescent="0.25">
      <c r="A578" s="33"/>
      <c r="B578" s="33"/>
      <c r="C578" s="34"/>
      <c r="D578" s="34"/>
      <c r="E578" s="34"/>
      <c r="S578" s="34"/>
      <c r="X578" s="34"/>
    </row>
    <row r="579" spans="1:24" x14ac:dyDescent="0.25">
      <c r="A579" s="33"/>
      <c r="B579" s="33"/>
      <c r="C579" s="34"/>
      <c r="D579" s="34"/>
      <c r="E579" s="34"/>
      <c r="S579" s="34"/>
      <c r="X579" s="34"/>
    </row>
    <row r="580" spans="1:24" x14ac:dyDescent="0.25">
      <c r="A580" s="33"/>
      <c r="B580" s="33"/>
      <c r="C580" s="34"/>
      <c r="D580" s="34"/>
      <c r="E580" s="34"/>
      <c r="S580" s="34"/>
      <c r="X580" s="34"/>
    </row>
    <row r="581" spans="1:24" x14ac:dyDescent="0.25">
      <c r="A581" s="33"/>
      <c r="B581" s="33"/>
      <c r="C581" s="34"/>
      <c r="D581" s="34"/>
      <c r="E581" s="34"/>
      <c r="S581" s="34"/>
      <c r="X581" s="34"/>
    </row>
    <row r="582" spans="1:24" x14ac:dyDescent="0.25">
      <c r="A582" s="33"/>
      <c r="B582" s="33"/>
      <c r="C582" s="34"/>
      <c r="D582" s="34"/>
      <c r="E582" s="34"/>
      <c r="S582" s="34"/>
      <c r="X582" s="34"/>
    </row>
    <row r="583" spans="1:24" x14ac:dyDescent="0.25">
      <c r="A583" s="33"/>
      <c r="B583" s="33"/>
      <c r="C583" s="34"/>
      <c r="D583" s="34"/>
      <c r="E583" s="34"/>
      <c r="S583" s="34"/>
      <c r="X583" s="34"/>
    </row>
    <row r="584" spans="1:24" x14ac:dyDescent="0.25">
      <c r="A584" s="33"/>
      <c r="B584" s="33"/>
      <c r="C584" s="34"/>
      <c r="D584" s="34"/>
      <c r="E584" s="34"/>
      <c r="S584" s="34"/>
      <c r="X584" s="34"/>
    </row>
    <row r="585" spans="1:24" x14ac:dyDescent="0.25">
      <c r="A585" s="33"/>
      <c r="B585" s="33"/>
      <c r="C585" s="34"/>
      <c r="D585" s="34"/>
      <c r="E585" s="34"/>
      <c r="S585" s="34"/>
      <c r="X585" s="34"/>
    </row>
    <row r="586" spans="1:24" x14ac:dyDescent="0.25">
      <c r="A586" s="33"/>
      <c r="B586" s="33"/>
      <c r="C586" s="34"/>
      <c r="D586" s="34"/>
      <c r="E586" s="34"/>
      <c r="S586" s="34"/>
      <c r="X586" s="34"/>
    </row>
    <row r="587" spans="1:24" x14ac:dyDescent="0.25">
      <c r="A587" s="33"/>
      <c r="B587" s="33"/>
      <c r="C587" s="34"/>
      <c r="D587" s="34"/>
      <c r="E587" s="34"/>
      <c r="S587" s="34"/>
      <c r="X587" s="34"/>
    </row>
    <row r="588" spans="1:24" x14ac:dyDescent="0.25">
      <c r="A588" s="33"/>
      <c r="B588" s="33"/>
      <c r="C588" s="34"/>
      <c r="D588" s="34"/>
      <c r="E588" s="34"/>
      <c r="S588" s="34"/>
      <c r="X588" s="34"/>
    </row>
    <row r="589" spans="1:24" x14ac:dyDescent="0.25">
      <c r="A589" s="33"/>
      <c r="B589" s="33"/>
      <c r="C589" s="34"/>
      <c r="D589" s="34"/>
      <c r="E589" s="34"/>
      <c r="S589" s="34"/>
      <c r="X589" s="34"/>
    </row>
    <row r="590" spans="1:24" x14ac:dyDescent="0.25">
      <c r="A590" s="33"/>
      <c r="B590" s="33"/>
      <c r="C590" s="34"/>
      <c r="D590" s="34"/>
      <c r="E590" s="34"/>
      <c r="S590" s="34"/>
      <c r="X590" s="34"/>
    </row>
    <row r="591" spans="1:24" x14ac:dyDescent="0.25">
      <c r="A591" s="33"/>
      <c r="B591" s="33"/>
      <c r="C591" s="34"/>
      <c r="D591" s="34"/>
      <c r="E591" s="34"/>
      <c r="S591" s="34"/>
      <c r="X591" s="34"/>
    </row>
    <row r="592" spans="1:24" x14ac:dyDescent="0.25">
      <c r="A592" s="33"/>
      <c r="B592" s="33"/>
      <c r="C592" s="34"/>
      <c r="D592" s="34"/>
      <c r="E592" s="34"/>
      <c r="S592" s="34"/>
      <c r="X592" s="34"/>
    </row>
    <row r="593" spans="1:24" x14ac:dyDescent="0.25">
      <c r="A593" s="33"/>
      <c r="B593" s="33"/>
      <c r="C593" s="34"/>
      <c r="D593" s="34"/>
      <c r="E593" s="34"/>
      <c r="S593" s="34"/>
      <c r="X593" s="34"/>
    </row>
    <row r="594" spans="1:24" x14ac:dyDescent="0.25">
      <c r="A594" s="33"/>
      <c r="B594" s="33"/>
      <c r="C594" s="34"/>
      <c r="D594" s="34"/>
      <c r="E594" s="34"/>
      <c r="S594" s="34"/>
      <c r="X594" s="34"/>
    </row>
    <row r="595" spans="1:24" x14ac:dyDescent="0.25">
      <c r="A595" s="33"/>
      <c r="B595" s="33"/>
      <c r="C595" s="34"/>
      <c r="D595" s="34"/>
      <c r="E595" s="34"/>
      <c r="S595" s="34"/>
      <c r="X595" s="34"/>
    </row>
    <row r="596" spans="1:24" x14ac:dyDescent="0.25">
      <c r="A596" s="33"/>
      <c r="B596" s="33"/>
      <c r="C596" s="34"/>
      <c r="D596" s="34"/>
      <c r="E596" s="34"/>
      <c r="S596" s="34"/>
      <c r="X596" s="34"/>
    </row>
    <row r="597" spans="1:24" x14ac:dyDescent="0.25">
      <c r="A597" s="33"/>
      <c r="B597" s="33"/>
      <c r="C597" s="34"/>
      <c r="D597" s="34"/>
      <c r="E597" s="34"/>
      <c r="S597" s="34"/>
      <c r="X597" s="34"/>
    </row>
    <row r="598" spans="1:24" x14ac:dyDescent="0.25">
      <c r="A598" s="33"/>
      <c r="B598" s="33"/>
      <c r="C598" s="34"/>
      <c r="D598" s="34"/>
      <c r="E598" s="34"/>
      <c r="S598" s="34"/>
      <c r="X598" s="34"/>
    </row>
    <row r="599" spans="1:24" x14ac:dyDescent="0.25">
      <c r="A599" s="33"/>
      <c r="B599" s="33"/>
      <c r="C599" s="34"/>
      <c r="D599" s="34"/>
      <c r="E599" s="34"/>
      <c r="S599" s="34"/>
      <c r="X599" s="34"/>
    </row>
    <row r="600" spans="1:24" x14ac:dyDescent="0.25">
      <c r="A600" s="33"/>
      <c r="B600" s="33"/>
      <c r="C600" s="34"/>
      <c r="D600" s="34"/>
      <c r="E600" s="34"/>
      <c r="S600" s="34"/>
      <c r="X600" s="34"/>
    </row>
    <row r="601" spans="1:24" x14ac:dyDescent="0.25">
      <c r="A601" s="33"/>
      <c r="B601" s="33"/>
      <c r="C601" s="34"/>
      <c r="D601" s="34"/>
      <c r="E601" s="34"/>
      <c r="S601" s="34"/>
      <c r="X601" s="34"/>
    </row>
    <row r="602" spans="1:24" x14ac:dyDescent="0.25">
      <c r="A602" s="33"/>
      <c r="B602" s="33"/>
      <c r="C602" s="34"/>
      <c r="D602" s="34"/>
      <c r="E602" s="34"/>
      <c r="S602" s="34"/>
      <c r="X602" s="34"/>
    </row>
    <row r="603" spans="1:24" x14ac:dyDescent="0.25">
      <c r="A603" s="33"/>
      <c r="B603" s="33"/>
      <c r="C603" s="34"/>
      <c r="D603" s="34"/>
      <c r="E603" s="34"/>
      <c r="S603" s="34"/>
      <c r="X603" s="34"/>
    </row>
    <row r="604" spans="1:24" x14ac:dyDescent="0.25">
      <c r="A604" s="33"/>
      <c r="B604" s="33"/>
      <c r="C604" s="34"/>
      <c r="D604" s="34"/>
      <c r="E604" s="34"/>
      <c r="S604" s="34"/>
      <c r="X604" s="34"/>
    </row>
    <row r="605" spans="1:24" x14ac:dyDescent="0.25">
      <c r="A605" s="33"/>
      <c r="B605" s="33"/>
      <c r="C605" s="34"/>
      <c r="D605" s="34"/>
      <c r="E605" s="34"/>
      <c r="S605" s="34"/>
      <c r="X605" s="34"/>
    </row>
    <row r="606" spans="1:24" x14ac:dyDescent="0.25">
      <c r="A606" s="33"/>
      <c r="B606" s="33"/>
      <c r="C606" s="34"/>
      <c r="D606" s="34"/>
      <c r="E606" s="34"/>
      <c r="S606" s="34"/>
      <c r="X606" s="34"/>
    </row>
    <row r="607" spans="1:24" x14ac:dyDescent="0.25">
      <c r="A607" s="33"/>
      <c r="B607" s="33"/>
      <c r="C607" s="34"/>
      <c r="D607" s="34"/>
      <c r="E607" s="34"/>
      <c r="S607" s="34"/>
      <c r="X607" s="34"/>
    </row>
    <row r="608" spans="1:24" x14ac:dyDescent="0.25">
      <c r="A608" s="33"/>
      <c r="B608" s="33"/>
      <c r="C608" s="34"/>
      <c r="D608" s="34"/>
      <c r="E608" s="34"/>
      <c r="S608" s="34"/>
      <c r="X608" s="34"/>
    </row>
    <row r="609" spans="1:24" x14ac:dyDescent="0.25">
      <c r="A609" s="33"/>
      <c r="B609" s="33"/>
      <c r="C609" s="34"/>
      <c r="D609" s="34"/>
      <c r="E609" s="34"/>
      <c r="S609" s="34"/>
      <c r="X609" s="34"/>
    </row>
    <row r="610" spans="1:24" x14ac:dyDescent="0.25">
      <c r="A610" s="33"/>
      <c r="B610" s="33"/>
      <c r="C610" s="34"/>
      <c r="D610" s="34"/>
      <c r="E610" s="34"/>
      <c r="S610" s="34"/>
      <c r="X610" s="34"/>
    </row>
    <row r="611" spans="1:24" x14ac:dyDescent="0.25">
      <c r="A611" s="33"/>
      <c r="B611" s="33"/>
      <c r="C611" s="34"/>
      <c r="D611" s="34"/>
      <c r="E611" s="34"/>
      <c r="S611" s="34"/>
      <c r="X611" s="34"/>
    </row>
    <row r="612" spans="1:24" x14ac:dyDescent="0.25">
      <c r="A612" s="33"/>
      <c r="B612" s="33"/>
      <c r="C612" s="34"/>
      <c r="D612" s="34"/>
      <c r="E612" s="34"/>
      <c r="S612" s="34"/>
      <c r="X612" s="34"/>
    </row>
    <row r="613" spans="1:24" x14ac:dyDescent="0.25">
      <c r="A613" s="33"/>
      <c r="B613" s="33"/>
      <c r="C613" s="34"/>
      <c r="D613" s="34"/>
      <c r="E613" s="34"/>
      <c r="S613" s="34"/>
      <c r="X613" s="34"/>
    </row>
    <row r="614" spans="1:24" x14ac:dyDescent="0.25">
      <c r="A614" s="33"/>
      <c r="B614" s="33"/>
      <c r="C614" s="34"/>
      <c r="D614" s="34"/>
      <c r="E614" s="34"/>
      <c r="S614" s="34"/>
      <c r="X614" s="34"/>
    </row>
    <row r="615" spans="1:24" x14ac:dyDescent="0.25">
      <c r="A615" s="33"/>
      <c r="B615" s="33"/>
      <c r="C615" s="34"/>
      <c r="D615" s="34"/>
      <c r="E615" s="34"/>
      <c r="S615" s="34"/>
      <c r="X615" s="34"/>
    </row>
    <row r="616" spans="1:24" x14ac:dyDescent="0.25">
      <c r="A616" s="33"/>
      <c r="B616" s="33"/>
      <c r="C616" s="34"/>
      <c r="D616" s="34"/>
      <c r="E616" s="34"/>
      <c r="S616" s="34"/>
      <c r="X616" s="34"/>
    </row>
    <row r="617" spans="1:24" x14ac:dyDescent="0.25">
      <c r="A617" s="33"/>
      <c r="B617" s="33"/>
      <c r="C617" s="34"/>
      <c r="D617" s="34"/>
      <c r="E617" s="34"/>
      <c r="S617" s="34"/>
      <c r="X617" s="34"/>
    </row>
    <row r="618" spans="1:24" x14ac:dyDescent="0.25">
      <c r="A618" s="33"/>
      <c r="B618" s="33"/>
      <c r="C618" s="34"/>
      <c r="D618" s="34"/>
      <c r="E618" s="34"/>
      <c r="S618" s="34"/>
      <c r="X618" s="34"/>
    </row>
    <row r="619" spans="1:24" x14ac:dyDescent="0.25">
      <c r="A619" s="33"/>
      <c r="B619" s="33"/>
      <c r="C619" s="34"/>
      <c r="D619" s="34"/>
      <c r="E619" s="34"/>
      <c r="S619" s="34"/>
      <c r="X619" s="34"/>
    </row>
    <row r="620" spans="1:24" x14ac:dyDescent="0.25">
      <c r="A620" s="33"/>
      <c r="B620" s="33"/>
      <c r="C620" s="34"/>
      <c r="D620" s="34"/>
      <c r="E620" s="34"/>
      <c r="S620" s="34"/>
      <c r="X620" s="34"/>
    </row>
    <row r="621" spans="1:24" x14ac:dyDescent="0.25">
      <c r="A621" s="33"/>
      <c r="B621" s="33"/>
      <c r="C621" s="34"/>
      <c r="D621" s="34"/>
      <c r="E621" s="34"/>
      <c r="S621" s="34"/>
      <c r="X621" s="34"/>
    </row>
    <row r="622" spans="1:24" x14ac:dyDescent="0.25">
      <c r="A622" s="33"/>
      <c r="B622" s="33"/>
      <c r="C622" s="34"/>
      <c r="D622" s="34"/>
      <c r="E622" s="34"/>
      <c r="S622" s="34"/>
      <c r="X622" s="34"/>
    </row>
    <row r="623" spans="1:24" x14ac:dyDescent="0.25">
      <c r="A623" s="33"/>
      <c r="B623" s="33"/>
      <c r="C623" s="34"/>
      <c r="D623" s="34"/>
      <c r="E623" s="34"/>
      <c r="S623" s="34"/>
      <c r="X623" s="34"/>
    </row>
    <row r="624" spans="1:24" x14ac:dyDescent="0.25">
      <c r="A624" s="33"/>
      <c r="B624" s="33"/>
      <c r="C624" s="34"/>
      <c r="D624" s="34"/>
      <c r="E624" s="34"/>
      <c r="S624" s="34"/>
      <c r="X624" s="34"/>
    </row>
    <row r="625" spans="1:24" x14ac:dyDescent="0.25">
      <c r="A625" s="33"/>
      <c r="B625" s="33"/>
      <c r="C625" s="34"/>
      <c r="D625" s="34"/>
      <c r="E625" s="34"/>
      <c r="S625" s="34"/>
      <c r="X625" s="34"/>
    </row>
    <row r="626" spans="1:24" x14ac:dyDescent="0.25">
      <c r="A626" s="33"/>
      <c r="B626" s="33"/>
      <c r="C626" s="34"/>
      <c r="D626" s="34"/>
      <c r="E626" s="34"/>
      <c r="S626" s="34"/>
      <c r="X626" s="34"/>
    </row>
    <row r="627" spans="1:24" x14ac:dyDescent="0.25">
      <c r="A627" s="33"/>
      <c r="B627" s="33"/>
      <c r="C627" s="34"/>
      <c r="D627" s="34"/>
      <c r="E627" s="34"/>
      <c r="S627" s="34"/>
      <c r="X627" s="34"/>
    </row>
    <row r="628" spans="1:24" x14ac:dyDescent="0.25">
      <c r="A628" s="33"/>
      <c r="B628" s="33"/>
      <c r="C628" s="34"/>
      <c r="D628" s="34"/>
      <c r="E628" s="34"/>
      <c r="S628" s="34"/>
      <c r="X628" s="34"/>
    </row>
    <row r="629" spans="1:24" x14ac:dyDescent="0.25">
      <c r="A629" s="33"/>
      <c r="B629" s="33"/>
      <c r="C629" s="34"/>
      <c r="D629" s="34"/>
      <c r="E629" s="34"/>
      <c r="S629" s="34"/>
      <c r="X629" s="34"/>
    </row>
    <row r="630" spans="1:24" x14ac:dyDescent="0.25">
      <c r="A630" s="33"/>
      <c r="B630" s="33"/>
      <c r="C630" s="34"/>
      <c r="D630" s="34"/>
      <c r="E630" s="34"/>
      <c r="S630" s="34"/>
      <c r="X630" s="34"/>
    </row>
    <row r="631" spans="1:24" x14ac:dyDescent="0.25">
      <c r="A631" s="33"/>
      <c r="B631" s="33"/>
      <c r="C631" s="34"/>
      <c r="D631" s="34"/>
      <c r="E631" s="34"/>
      <c r="S631" s="34"/>
      <c r="X631" s="34"/>
    </row>
    <row r="632" spans="1:24" x14ac:dyDescent="0.25">
      <c r="A632" s="33"/>
      <c r="B632" s="33"/>
      <c r="C632" s="34"/>
      <c r="D632" s="34"/>
      <c r="E632" s="34"/>
      <c r="S632" s="34"/>
      <c r="X632" s="34"/>
    </row>
    <row r="633" spans="1:24" x14ac:dyDescent="0.25">
      <c r="A633" s="33"/>
      <c r="B633" s="33"/>
      <c r="C633" s="34"/>
      <c r="D633" s="34"/>
      <c r="E633" s="34"/>
      <c r="S633" s="34"/>
      <c r="X633" s="34"/>
    </row>
    <row r="634" spans="1:24" x14ac:dyDescent="0.25">
      <c r="A634" s="33"/>
      <c r="B634" s="33"/>
      <c r="C634" s="34"/>
      <c r="D634" s="34"/>
      <c r="E634" s="34"/>
      <c r="S634" s="34"/>
      <c r="X634" s="34"/>
    </row>
    <row r="635" spans="1:24" x14ac:dyDescent="0.25">
      <c r="A635" s="33"/>
      <c r="B635" s="33"/>
      <c r="C635" s="34"/>
      <c r="D635" s="34"/>
      <c r="E635" s="34"/>
      <c r="S635" s="34"/>
      <c r="X635" s="34"/>
    </row>
    <row r="636" spans="1:24" x14ac:dyDescent="0.25">
      <c r="A636" s="33"/>
      <c r="B636" s="33"/>
      <c r="C636" s="34"/>
      <c r="D636" s="34"/>
      <c r="E636" s="34"/>
      <c r="S636" s="34"/>
      <c r="X636" s="34"/>
    </row>
    <row r="637" spans="1:24" x14ac:dyDescent="0.25">
      <c r="A637" s="33"/>
      <c r="B637" s="33"/>
      <c r="C637" s="34"/>
      <c r="D637" s="34"/>
      <c r="E637" s="34"/>
      <c r="S637" s="34"/>
      <c r="X637" s="34"/>
    </row>
    <row r="638" spans="1:24" x14ac:dyDescent="0.25">
      <c r="A638" s="33"/>
      <c r="B638" s="33"/>
      <c r="C638" s="34"/>
      <c r="D638" s="34"/>
      <c r="E638" s="34"/>
      <c r="S638" s="34"/>
      <c r="X638" s="34"/>
    </row>
    <row r="639" spans="1:24" x14ac:dyDescent="0.25">
      <c r="A639" s="33"/>
      <c r="B639" s="33"/>
      <c r="C639" s="34"/>
      <c r="D639" s="34"/>
      <c r="E639" s="34"/>
      <c r="S639" s="34"/>
      <c r="X639" s="34"/>
    </row>
    <row r="640" spans="1:24" x14ac:dyDescent="0.25">
      <c r="A640" s="33"/>
      <c r="B640" s="33"/>
      <c r="C640" s="34"/>
      <c r="D640" s="34"/>
      <c r="E640" s="34"/>
      <c r="S640" s="34"/>
      <c r="X640" s="34"/>
    </row>
    <row r="641" spans="1:24" x14ac:dyDescent="0.25">
      <c r="A641" s="33"/>
      <c r="B641" s="33"/>
      <c r="C641" s="34"/>
      <c r="D641" s="34"/>
      <c r="E641" s="34"/>
      <c r="S641" s="34"/>
      <c r="X641" s="34"/>
    </row>
    <row r="642" spans="1:24" x14ac:dyDescent="0.25">
      <c r="A642" s="33"/>
      <c r="B642" s="33"/>
      <c r="C642" s="34"/>
      <c r="D642" s="34"/>
      <c r="E642" s="34"/>
      <c r="S642" s="34"/>
      <c r="X642" s="34"/>
    </row>
    <row r="643" spans="1:24" x14ac:dyDescent="0.25">
      <c r="A643" s="33"/>
      <c r="B643" s="33"/>
      <c r="C643" s="34"/>
      <c r="D643" s="34"/>
      <c r="E643" s="34"/>
      <c r="S643" s="34"/>
      <c r="X643" s="34"/>
    </row>
    <row r="644" spans="1:24" x14ac:dyDescent="0.25">
      <c r="A644" s="33"/>
      <c r="B644" s="33"/>
      <c r="C644" s="34"/>
      <c r="D644" s="34"/>
      <c r="E644" s="34"/>
      <c r="S644" s="34"/>
      <c r="X644" s="34"/>
    </row>
    <row r="645" spans="1:24" x14ac:dyDescent="0.25">
      <c r="A645" s="33"/>
      <c r="B645" s="33"/>
      <c r="C645" s="34"/>
      <c r="D645" s="34"/>
      <c r="E645" s="34"/>
      <c r="S645" s="34"/>
      <c r="X645" s="34"/>
    </row>
    <row r="646" spans="1:24" x14ac:dyDescent="0.25">
      <c r="A646" s="33"/>
      <c r="B646" s="33"/>
      <c r="C646" s="34"/>
      <c r="D646" s="34"/>
      <c r="E646" s="34"/>
      <c r="S646" s="34"/>
      <c r="X646" s="34"/>
    </row>
    <row r="647" spans="1:24" x14ac:dyDescent="0.25">
      <c r="A647" s="33"/>
      <c r="B647" s="33"/>
      <c r="C647" s="34"/>
      <c r="D647" s="34"/>
      <c r="E647" s="34"/>
      <c r="S647" s="34"/>
      <c r="X647" s="34"/>
    </row>
    <row r="648" spans="1:24" x14ac:dyDescent="0.25">
      <c r="A648" s="33"/>
      <c r="B648" s="33"/>
      <c r="C648" s="34"/>
      <c r="D648" s="34"/>
      <c r="E648" s="34"/>
      <c r="S648" s="34"/>
      <c r="X648" s="34"/>
    </row>
    <row r="649" spans="1:24" x14ac:dyDescent="0.25">
      <c r="A649" s="33"/>
      <c r="B649" s="33"/>
      <c r="C649" s="34"/>
      <c r="D649" s="34"/>
      <c r="E649" s="34"/>
      <c r="S649" s="34"/>
      <c r="X649" s="34"/>
    </row>
    <row r="650" spans="1:24" x14ac:dyDescent="0.25">
      <c r="A650" s="33"/>
      <c r="B650" s="33"/>
      <c r="C650" s="34"/>
      <c r="D650" s="34"/>
      <c r="E650" s="34"/>
      <c r="S650" s="34"/>
      <c r="X650" s="34"/>
    </row>
    <row r="651" spans="1:24" x14ac:dyDescent="0.25">
      <c r="A651" s="33"/>
      <c r="B651" s="33"/>
      <c r="C651" s="34"/>
      <c r="D651" s="34"/>
      <c r="E651" s="34"/>
      <c r="S651" s="34"/>
      <c r="X651" s="34"/>
    </row>
    <row r="652" spans="1:24" x14ac:dyDescent="0.25">
      <c r="A652" s="33"/>
      <c r="B652" s="33"/>
      <c r="C652" s="34"/>
      <c r="D652" s="34"/>
      <c r="E652" s="34"/>
      <c r="S652" s="34"/>
      <c r="X652" s="34"/>
    </row>
    <row r="653" spans="1:24" x14ac:dyDescent="0.25">
      <c r="A653" s="33"/>
      <c r="B653" s="33"/>
      <c r="C653" s="34"/>
      <c r="D653" s="34"/>
      <c r="E653" s="34"/>
      <c r="S653" s="34"/>
      <c r="X653" s="34"/>
    </row>
    <row r="654" spans="1:24" x14ac:dyDescent="0.25">
      <c r="A654" s="33"/>
      <c r="B654" s="33"/>
      <c r="C654" s="34"/>
      <c r="D654" s="34"/>
      <c r="E654" s="34"/>
      <c r="S654" s="34"/>
      <c r="X654" s="34"/>
    </row>
    <row r="655" spans="1:24" x14ac:dyDescent="0.25">
      <c r="A655" s="33"/>
      <c r="B655" s="33"/>
      <c r="C655" s="34"/>
      <c r="D655" s="34"/>
      <c r="E655" s="34"/>
      <c r="S655" s="34"/>
      <c r="X655" s="34"/>
    </row>
    <row r="656" spans="1:24" x14ac:dyDescent="0.25">
      <c r="A656" s="33"/>
      <c r="B656" s="33"/>
      <c r="C656" s="34"/>
      <c r="D656" s="34"/>
      <c r="E656" s="34"/>
      <c r="S656" s="34"/>
      <c r="X656" s="34"/>
    </row>
    <row r="657" spans="1:24" x14ac:dyDescent="0.25">
      <c r="A657" s="33"/>
      <c r="B657" s="33"/>
      <c r="C657" s="34"/>
      <c r="D657" s="34"/>
      <c r="E657" s="34"/>
      <c r="S657" s="34"/>
      <c r="X657" s="34"/>
    </row>
    <row r="658" spans="1:24" x14ac:dyDescent="0.25">
      <c r="A658" s="33"/>
      <c r="B658" s="33"/>
      <c r="C658" s="34"/>
      <c r="D658" s="34"/>
      <c r="E658" s="34"/>
      <c r="S658" s="34"/>
      <c r="X658" s="34"/>
    </row>
    <row r="659" spans="1:24" x14ac:dyDescent="0.25">
      <c r="A659" s="33"/>
      <c r="B659" s="33"/>
      <c r="C659" s="34"/>
      <c r="D659" s="34"/>
      <c r="E659" s="34"/>
      <c r="S659" s="34"/>
      <c r="X659" s="34"/>
    </row>
    <row r="660" spans="1:24" x14ac:dyDescent="0.25">
      <c r="A660" s="33"/>
      <c r="B660" s="33"/>
      <c r="C660" s="34"/>
      <c r="D660" s="34"/>
      <c r="E660" s="34"/>
      <c r="S660" s="34"/>
      <c r="X660" s="34"/>
    </row>
    <row r="661" spans="1:24" x14ac:dyDescent="0.25">
      <c r="A661" s="33"/>
      <c r="B661" s="33"/>
      <c r="C661" s="34"/>
      <c r="D661" s="34"/>
      <c r="E661" s="34"/>
      <c r="S661" s="34"/>
      <c r="X661" s="34"/>
    </row>
    <row r="662" spans="1:24" x14ac:dyDescent="0.25">
      <c r="A662" s="33"/>
      <c r="B662" s="33"/>
      <c r="C662" s="34"/>
      <c r="D662" s="34"/>
      <c r="E662" s="34"/>
      <c r="S662" s="34"/>
      <c r="X662" s="34"/>
    </row>
    <row r="663" spans="1:24" x14ac:dyDescent="0.25">
      <c r="A663" s="33"/>
      <c r="B663" s="33"/>
      <c r="C663" s="34"/>
      <c r="D663" s="34"/>
      <c r="E663" s="34"/>
      <c r="S663" s="34"/>
      <c r="X663" s="34"/>
    </row>
    <row r="664" spans="1:24" x14ac:dyDescent="0.25">
      <c r="A664" s="33"/>
      <c r="B664" s="33"/>
      <c r="C664" s="34"/>
      <c r="D664" s="34"/>
      <c r="E664" s="34"/>
      <c r="S664" s="34"/>
      <c r="X664" s="34"/>
    </row>
    <row r="665" spans="1:24" x14ac:dyDescent="0.25">
      <c r="A665" s="33"/>
      <c r="B665" s="33"/>
      <c r="C665" s="34"/>
      <c r="D665" s="34"/>
      <c r="E665" s="34"/>
      <c r="S665" s="34"/>
      <c r="X665" s="34"/>
    </row>
    <row r="666" spans="1:24" x14ac:dyDescent="0.25">
      <c r="A666" s="33"/>
      <c r="B666" s="33"/>
      <c r="C666" s="34"/>
      <c r="D666" s="34"/>
      <c r="E666" s="34"/>
      <c r="S666" s="34"/>
      <c r="X666" s="34"/>
    </row>
    <row r="667" spans="1:24" x14ac:dyDescent="0.25">
      <c r="A667" s="33"/>
      <c r="B667" s="33"/>
      <c r="C667" s="34"/>
      <c r="D667" s="34"/>
      <c r="E667" s="34"/>
      <c r="S667" s="34"/>
      <c r="X667" s="34"/>
    </row>
    <row r="668" spans="1:24" x14ac:dyDescent="0.25">
      <c r="A668" s="33"/>
      <c r="B668" s="33"/>
      <c r="C668" s="34"/>
      <c r="D668" s="34"/>
      <c r="E668" s="34"/>
      <c r="S668" s="34"/>
      <c r="X668" s="34"/>
    </row>
    <row r="669" spans="1:24" x14ac:dyDescent="0.25">
      <c r="A669" s="33"/>
      <c r="B669" s="33"/>
      <c r="C669" s="34"/>
      <c r="D669" s="34"/>
      <c r="E669" s="34"/>
      <c r="S669" s="34"/>
      <c r="X669" s="34"/>
    </row>
    <row r="670" spans="1:24" x14ac:dyDescent="0.25">
      <c r="A670" s="33"/>
      <c r="B670" s="33"/>
      <c r="C670" s="34"/>
      <c r="D670" s="34"/>
      <c r="E670" s="34"/>
      <c r="S670" s="34"/>
      <c r="X670" s="34"/>
    </row>
    <row r="671" spans="1:24" x14ac:dyDescent="0.25">
      <c r="A671" s="33"/>
      <c r="B671" s="33"/>
      <c r="C671" s="34"/>
      <c r="D671" s="34"/>
      <c r="E671" s="34"/>
      <c r="S671" s="34"/>
      <c r="X671" s="34"/>
    </row>
    <row r="672" spans="1:24" x14ac:dyDescent="0.25">
      <c r="A672" s="33"/>
      <c r="B672" s="33"/>
      <c r="C672" s="34"/>
      <c r="D672" s="34"/>
      <c r="E672" s="34"/>
      <c r="S672" s="34"/>
      <c r="X672" s="34"/>
    </row>
    <row r="673" spans="1:24" x14ac:dyDescent="0.25">
      <c r="A673" s="33"/>
      <c r="B673" s="33"/>
      <c r="C673" s="34"/>
      <c r="D673" s="34"/>
      <c r="E673" s="34"/>
      <c r="S673" s="34"/>
      <c r="X673" s="34"/>
    </row>
    <row r="674" spans="1:24" x14ac:dyDescent="0.25">
      <c r="A674" s="33"/>
      <c r="B674" s="33"/>
      <c r="C674" s="34"/>
      <c r="D674" s="34"/>
      <c r="E674" s="34"/>
      <c r="S674" s="34"/>
      <c r="X674" s="34"/>
    </row>
    <row r="675" spans="1:24" x14ac:dyDescent="0.25">
      <c r="A675" s="33"/>
      <c r="B675" s="33"/>
      <c r="C675" s="34"/>
      <c r="D675" s="34"/>
      <c r="E675" s="34"/>
      <c r="S675" s="34"/>
      <c r="X675" s="34"/>
    </row>
    <row r="676" spans="1:24" x14ac:dyDescent="0.25">
      <c r="A676" s="33"/>
      <c r="B676" s="33"/>
      <c r="C676" s="34"/>
      <c r="D676" s="34"/>
      <c r="E676" s="34"/>
      <c r="S676" s="34"/>
      <c r="X676" s="34"/>
    </row>
    <row r="677" spans="1:24" x14ac:dyDescent="0.25">
      <c r="A677" s="33"/>
      <c r="B677" s="33"/>
      <c r="C677" s="34"/>
      <c r="D677" s="34"/>
      <c r="E677" s="34"/>
      <c r="S677" s="34"/>
      <c r="X677" s="34"/>
    </row>
    <row r="678" spans="1:24" x14ac:dyDescent="0.25">
      <c r="A678" s="33"/>
      <c r="B678" s="33"/>
      <c r="C678" s="34"/>
      <c r="D678" s="34"/>
      <c r="E678" s="34"/>
      <c r="S678" s="34"/>
      <c r="X678" s="34"/>
    </row>
    <row r="679" spans="1:24" x14ac:dyDescent="0.25">
      <c r="A679" s="33"/>
      <c r="B679" s="33"/>
      <c r="C679" s="34"/>
      <c r="D679" s="34"/>
      <c r="E679" s="34"/>
      <c r="S679" s="34"/>
      <c r="X679" s="34"/>
    </row>
    <row r="680" spans="1:24" x14ac:dyDescent="0.25">
      <c r="A680" s="33"/>
      <c r="B680" s="33"/>
      <c r="C680" s="34"/>
      <c r="D680" s="34"/>
      <c r="E680" s="34"/>
      <c r="S680" s="34"/>
      <c r="X680" s="34"/>
    </row>
    <row r="681" spans="1:24" x14ac:dyDescent="0.25">
      <c r="A681" s="33"/>
      <c r="B681" s="33"/>
      <c r="C681" s="34"/>
      <c r="D681" s="34"/>
      <c r="E681" s="34"/>
      <c r="S681" s="34"/>
      <c r="X681" s="34"/>
    </row>
    <row r="682" spans="1:24" x14ac:dyDescent="0.25">
      <c r="A682" s="33"/>
      <c r="B682" s="33"/>
      <c r="C682" s="34"/>
      <c r="D682" s="34"/>
      <c r="E682" s="34"/>
      <c r="S682" s="34"/>
      <c r="X682" s="34"/>
    </row>
    <row r="683" spans="1:24" x14ac:dyDescent="0.25">
      <c r="A683" s="33"/>
      <c r="B683" s="33"/>
      <c r="C683" s="34"/>
      <c r="D683" s="34"/>
      <c r="E683" s="34"/>
      <c r="S683" s="34"/>
      <c r="X683" s="34"/>
    </row>
    <row r="684" spans="1:24" x14ac:dyDescent="0.25">
      <c r="A684" s="33"/>
      <c r="B684" s="33"/>
      <c r="C684" s="34"/>
      <c r="D684" s="34"/>
      <c r="E684" s="34"/>
      <c r="S684" s="34"/>
      <c r="X684" s="34"/>
    </row>
    <row r="685" spans="1:24" x14ac:dyDescent="0.25">
      <c r="A685" s="33"/>
      <c r="B685" s="33"/>
      <c r="C685" s="34"/>
      <c r="D685" s="34"/>
      <c r="E685" s="34"/>
      <c r="S685" s="34"/>
      <c r="X685" s="34"/>
    </row>
    <row r="686" spans="1:24" x14ac:dyDescent="0.25">
      <c r="A686" s="33"/>
      <c r="B686" s="33"/>
      <c r="C686" s="34"/>
      <c r="D686" s="34"/>
      <c r="E686" s="34"/>
      <c r="S686" s="34"/>
      <c r="X686" s="34"/>
    </row>
    <row r="687" spans="1:24" x14ac:dyDescent="0.25">
      <c r="A687" s="33"/>
      <c r="B687" s="33"/>
      <c r="C687" s="34"/>
      <c r="D687" s="34"/>
      <c r="E687" s="34"/>
      <c r="S687" s="34"/>
      <c r="X687" s="34"/>
    </row>
    <row r="688" spans="1:24" x14ac:dyDescent="0.25">
      <c r="A688" s="33"/>
      <c r="B688" s="33"/>
      <c r="C688" s="34"/>
      <c r="D688" s="34"/>
      <c r="E688" s="34"/>
      <c r="S688" s="34"/>
      <c r="X688" s="34"/>
    </row>
    <row r="689" spans="1:24" x14ac:dyDescent="0.25">
      <c r="A689" s="33"/>
      <c r="B689" s="33"/>
      <c r="C689" s="34"/>
      <c r="D689" s="34"/>
      <c r="E689" s="34"/>
      <c r="S689" s="34"/>
      <c r="X689" s="34"/>
    </row>
    <row r="690" spans="1:24" x14ac:dyDescent="0.25">
      <c r="A690" s="33"/>
      <c r="B690" s="33"/>
      <c r="C690" s="34"/>
      <c r="D690" s="34"/>
      <c r="E690" s="34"/>
      <c r="S690" s="34"/>
      <c r="X690" s="34"/>
    </row>
    <row r="691" spans="1:24" x14ac:dyDescent="0.25">
      <c r="A691" s="33"/>
      <c r="B691" s="33"/>
      <c r="C691" s="34"/>
      <c r="D691" s="34"/>
      <c r="E691" s="34"/>
      <c r="S691" s="34"/>
      <c r="X691" s="34"/>
    </row>
    <row r="692" spans="1:24" x14ac:dyDescent="0.25">
      <c r="A692" s="33"/>
      <c r="B692" s="33"/>
      <c r="C692" s="34"/>
      <c r="D692" s="34"/>
      <c r="E692" s="34"/>
      <c r="S692" s="34"/>
      <c r="X692" s="34"/>
    </row>
    <row r="693" spans="1:24" x14ac:dyDescent="0.25">
      <c r="A693" s="33"/>
      <c r="B693" s="33"/>
      <c r="C693" s="34"/>
      <c r="D693" s="34"/>
      <c r="E693" s="34"/>
      <c r="S693" s="34"/>
      <c r="X693" s="34"/>
    </row>
    <row r="694" spans="1:24" x14ac:dyDescent="0.25">
      <c r="A694" s="33"/>
      <c r="B694" s="33"/>
      <c r="C694" s="34"/>
      <c r="D694" s="34"/>
      <c r="E694" s="34"/>
      <c r="S694" s="34"/>
      <c r="X694" s="34"/>
    </row>
    <row r="695" spans="1:24" x14ac:dyDescent="0.25">
      <c r="A695" s="33"/>
      <c r="B695" s="33"/>
      <c r="C695" s="34"/>
      <c r="D695" s="34"/>
      <c r="E695" s="34"/>
      <c r="S695" s="34"/>
      <c r="X695" s="34"/>
    </row>
    <row r="696" spans="1:24" x14ac:dyDescent="0.25">
      <c r="A696" s="33"/>
      <c r="B696" s="33"/>
      <c r="C696" s="34"/>
      <c r="D696" s="34"/>
      <c r="E696" s="34"/>
      <c r="S696" s="34"/>
      <c r="X696" s="34"/>
    </row>
    <row r="697" spans="1:24" x14ac:dyDescent="0.25">
      <c r="A697" s="33"/>
      <c r="B697" s="33"/>
      <c r="C697" s="34"/>
      <c r="D697" s="34"/>
      <c r="E697" s="34"/>
      <c r="S697" s="34"/>
      <c r="X697" s="34"/>
    </row>
    <row r="698" spans="1:24" x14ac:dyDescent="0.25">
      <c r="A698" s="33"/>
      <c r="B698" s="33"/>
      <c r="C698" s="34"/>
      <c r="D698" s="34"/>
      <c r="E698" s="34"/>
      <c r="S698" s="34"/>
      <c r="X698" s="34"/>
    </row>
    <row r="699" spans="1:24" x14ac:dyDescent="0.25">
      <c r="A699" s="33"/>
      <c r="B699" s="33"/>
      <c r="C699" s="34"/>
      <c r="D699" s="34"/>
      <c r="E699" s="34"/>
      <c r="S699" s="34"/>
      <c r="X699" s="34"/>
    </row>
    <row r="700" spans="1:24" x14ac:dyDescent="0.25">
      <c r="A700" s="33"/>
      <c r="B700" s="33"/>
      <c r="C700" s="34"/>
      <c r="D700" s="34"/>
      <c r="E700" s="34"/>
      <c r="S700" s="34"/>
      <c r="X700" s="34"/>
    </row>
    <row r="701" spans="1:24" x14ac:dyDescent="0.25">
      <c r="A701" s="33"/>
      <c r="B701" s="33"/>
      <c r="C701" s="34"/>
      <c r="D701" s="34"/>
      <c r="E701" s="34"/>
      <c r="S701" s="34"/>
      <c r="X701" s="34"/>
    </row>
    <row r="702" spans="1:24" x14ac:dyDescent="0.25">
      <c r="A702" s="33"/>
      <c r="B702" s="33"/>
      <c r="C702" s="34"/>
      <c r="D702" s="34"/>
      <c r="E702" s="34"/>
      <c r="S702" s="34"/>
      <c r="X702" s="34"/>
    </row>
    <row r="703" spans="1:24" x14ac:dyDescent="0.25">
      <c r="A703" s="33"/>
      <c r="B703" s="33"/>
      <c r="C703" s="34"/>
      <c r="D703" s="34"/>
      <c r="E703" s="34"/>
      <c r="S703" s="34"/>
      <c r="X703" s="34"/>
    </row>
    <row r="704" spans="1:24" x14ac:dyDescent="0.25">
      <c r="A704" s="33"/>
      <c r="B704" s="33"/>
      <c r="C704" s="34"/>
      <c r="D704" s="34"/>
      <c r="E704" s="34"/>
      <c r="S704" s="34"/>
      <c r="X704" s="34"/>
    </row>
    <row r="705" spans="1:24" x14ac:dyDescent="0.25">
      <c r="A705" s="33"/>
      <c r="B705" s="33"/>
      <c r="C705" s="34"/>
      <c r="D705" s="34"/>
      <c r="E705" s="34"/>
      <c r="S705" s="34"/>
      <c r="X705" s="34"/>
    </row>
    <row r="706" spans="1:24" x14ac:dyDescent="0.25">
      <c r="A706" s="33"/>
      <c r="B706" s="33"/>
      <c r="C706" s="34"/>
      <c r="D706" s="34"/>
      <c r="E706" s="34"/>
      <c r="S706" s="34"/>
      <c r="X706" s="34"/>
    </row>
    <row r="707" spans="1:24" x14ac:dyDescent="0.25">
      <c r="A707" s="33"/>
      <c r="B707" s="33"/>
      <c r="C707" s="34"/>
      <c r="D707" s="34"/>
      <c r="E707" s="34"/>
      <c r="S707" s="34"/>
      <c r="X707" s="34"/>
    </row>
    <row r="708" spans="1:24" x14ac:dyDescent="0.25">
      <c r="A708" s="33"/>
      <c r="B708" s="33"/>
      <c r="C708" s="34"/>
      <c r="D708" s="34"/>
      <c r="E708" s="34"/>
      <c r="S708" s="34"/>
      <c r="X708" s="34"/>
    </row>
    <row r="709" spans="1:24" x14ac:dyDescent="0.25">
      <c r="A709" s="33"/>
      <c r="B709" s="33"/>
      <c r="C709" s="34"/>
      <c r="D709" s="34"/>
      <c r="E709" s="34"/>
      <c r="S709" s="34"/>
      <c r="X709" s="34"/>
    </row>
    <row r="710" spans="1:24" x14ac:dyDescent="0.25">
      <c r="A710" s="33"/>
      <c r="B710" s="33"/>
      <c r="C710" s="34"/>
      <c r="D710" s="34"/>
      <c r="E710" s="34"/>
      <c r="S710" s="34"/>
      <c r="X710" s="34"/>
    </row>
    <row r="711" spans="1:24" x14ac:dyDescent="0.25">
      <c r="A711" s="33"/>
      <c r="B711" s="33"/>
      <c r="C711" s="34"/>
      <c r="D711" s="34"/>
      <c r="E711" s="34"/>
      <c r="S711" s="34"/>
      <c r="X711" s="34"/>
    </row>
    <row r="712" spans="1:24" x14ac:dyDescent="0.25">
      <c r="A712" s="33"/>
      <c r="B712" s="33"/>
      <c r="C712" s="34"/>
      <c r="D712" s="34"/>
      <c r="E712" s="34"/>
      <c r="S712" s="34"/>
      <c r="X712" s="34"/>
    </row>
    <row r="713" spans="1:24" x14ac:dyDescent="0.25">
      <c r="A713" s="33"/>
      <c r="B713" s="33"/>
      <c r="C713" s="34"/>
      <c r="D713" s="34"/>
      <c r="E713" s="34"/>
      <c r="S713" s="34"/>
      <c r="X713" s="34"/>
    </row>
    <row r="714" spans="1:24" x14ac:dyDescent="0.25">
      <c r="A714" s="33"/>
      <c r="B714" s="33"/>
      <c r="C714" s="34"/>
      <c r="D714" s="34"/>
      <c r="E714" s="34"/>
      <c r="S714" s="34"/>
      <c r="X714" s="34"/>
    </row>
    <row r="715" spans="1:24" x14ac:dyDescent="0.25">
      <c r="A715" s="33"/>
      <c r="B715" s="33"/>
      <c r="C715" s="34"/>
      <c r="D715" s="34"/>
      <c r="E715" s="34"/>
      <c r="S715" s="34"/>
      <c r="X715" s="34"/>
    </row>
    <row r="716" spans="1:24" x14ac:dyDescent="0.25">
      <c r="A716" s="33"/>
      <c r="B716" s="33"/>
      <c r="C716" s="34"/>
      <c r="D716" s="34"/>
      <c r="E716" s="34"/>
      <c r="S716" s="34"/>
      <c r="X716" s="34"/>
    </row>
    <row r="717" spans="1:24" x14ac:dyDescent="0.25">
      <c r="A717" s="33"/>
      <c r="B717" s="33"/>
      <c r="C717" s="34"/>
      <c r="D717" s="34"/>
      <c r="E717" s="34"/>
      <c r="S717" s="34"/>
      <c r="X717" s="34"/>
    </row>
    <row r="718" spans="1:24" x14ac:dyDescent="0.25">
      <c r="A718" s="33"/>
      <c r="B718" s="33"/>
      <c r="C718" s="34"/>
      <c r="D718" s="34"/>
      <c r="E718" s="34"/>
      <c r="S718" s="34"/>
      <c r="X718" s="34"/>
    </row>
    <row r="719" spans="1:24" x14ac:dyDescent="0.25">
      <c r="A719" s="33"/>
      <c r="B719" s="33"/>
      <c r="C719" s="34"/>
      <c r="D719" s="34"/>
      <c r="E719" s="34"/>
      <c r="S719" s="34"/>
      <c r="X719" s="34"/>
    </row>
    <row r="720" spans="1:24" x14ac:dyDescent="0.25">
      <c r="A720" s="33"/>
      <c r="B720" s="33"/>
      <c r="C720" s="34"/>
      <c r="D720" s="34"/>
      <c r="E720" s="34"/>
      <c r="S720" s="34"/>
      <c r="X720" s="34"/>
    </row>
    <row r="721" spans="1:24" x14ac:dyDescent="0.25">
      <c r="A721" s="33"/>
      <c r="B721" s="33"/>
      <c r="C721" s="34"/>
      <c r="D721" s="34"/>
      <c r="E721" s="34"/>
      <c r="S721" s="34"/>
      <c r="X721" s="34"/>
    </row>
    <row r="722" spans="1:24" x14ac:dyDescent="0.25">
      <c r="A722" s="33"/>
      <c r="B722" s="33"/>
      <c r="C722" s="34"/>
      <c r="D722" s="34"/>
      <c r="E722" s="34"/>
      <c r="S722" s="34"/>
      <c r="X722" s="34"/>
    </row>
    <row r="723" spans="1:24" x14ac:dyDescent="0.25">
      <c r="A723" s="33"/>
      <c r="B723" s="33"/>
      <c r="C723" s="34"/>
      <c r="D723" s="34"/>
      <c r="E723" s="34"/>
      <c r="S723" s="34"/>
      <c r="X723" s="34"/>
    </row>
    <row r="724" spans="1:24" x14ac:dyDescent="0.25">
      <c r="A724" s="33"/>
      <c r="B724" s="33"/>
      <c r="C724" s="34"/>
      <c r="D724" s="34"/>
      <c r="E724" s="34"/>
      <c r="S724" s="34"/>
      <c r="X724" s="34"/>
    </row>
    <row r="725" spans="1:24" x14ac:dyDescent="0.25">
      <c r="A725" s="33"/>
      <c r="B725" s="33"/>
      <c r="C725" s="34"/>
      <c r="D725" s="34"/>
      <c r="E725" s="34"/>
      <c r="S725" s="34"/>
      <c r="X725" s="34"/>
    </row>
    <row r="726" spans="1:24" x14ac:dyDescent="0.25">
      <c r="A726" s="33"/>
      <c r="B726" s="33"/>
      <c r="C726" s="34"/>
      <c r="D726" s="34"/>
      <c r="E726" s="34"/>
      <c r="S726" s="34"/>
      <c r="X726" s="34"/>
    </row>
    <row r="727" spans="1:24" x14ac:dyDescent="0.25">
      <c r="A727" s="33"/>
      <c r="B727" s="33"/>
      <c r="C727" s="34"/>
      <c r="D727" s="34"/>
      <c r="E727" s="34"/>
      <c r="S727" s="34"/>
      <c r="X727" s="34"/>
    </row>
    <row r="728" spans="1:24" x14ac:dyDescent="0.25">
      <c r="A728" s="33"/>
      <c r="B728" s="33"/>
      <c r="C728" s="34"/>
      <c r="D728" s="34"/>
      <c r="E728" s="34"/>
      <c r="S728" s="34"/>
      <c r="X728" s="34"/>
    </row>
    <row r="729" spans="1:24" x14ac:dyDescent="0.25">
      <c r="A729" s="33"/>
      <c r="B729" s="33"/>
      <c r="C729" s="34"/>
      <c r="D729" s="34"/>
      <c r="E729" s="34"/>
      <c r="S729" s="34"/>
      <c r="X729" s="34"/>
    </row>
    <row r="730" spans="1:24" x14ac:dyDescent="0.25">
      <c r="A730" s="33"/>
      <c r="B730" s="33"/>
      <c r="C730" s="34"/>
      <c r="D730" s="34"/>
      <c r="E730" s="34"/>
      <c r="S730" s="34"/>
      <c r="X730" s="34"/>
    </row>
    <row r="731" spans="1:24" x14ac:dyDescent="0.25">
      <c r="A731" s="33"/>
      <c r="B731" s="33"/>
      <c r="C731" s="34"/>
      <c r="D731" s="34"/>
      <c r="E731" s="34"/>
      <c r="S731" s="34"/>
      <c r="X731" s="34"/>
    </row>
    <row r="732" spans="1:24" x14ac:dyDescent="0.25">
      <c r="A732" s="33"/>
      <c r="B732" s="33"/>
      <c r="C732" s="34"/>
      <c r="D732" s="34"/>
      <c r="E732" s="34"/>
      <c r="S732" s="34"/>
      <c r="X732" s="34"/>
    </row>
    <row r="733" spans="1:24" x14ac:dyDescent="0.25">
      <c r="A733" s="33"/>
      <c r="B733" s="33"/>
      <c r="C733" s="34"/>
      <c r="D733" s="34"/>
      <c r="E733" s="34"/>
      <c r="S733" s="34"/>
      <c r="X733" s="34"/>
    </row>
    <row r="734" spans="1:24" x14ac:dyDescent="0.25">
      <c r="A734" s="33"/>
      <c r="B734" s="33"/>
      <c r="C734" s="34"/>
      <c r="D734" s="34"/>
      <c r="E734" s="34"/>
      <c r="S734" s="34"/>
      <c r="X734" s="34"/>
    </row>
    <row r="735" spans="1:24" x14ac:dyDescent="0.25">
      <c r="A735" s="33"/>
      <c r="B735" s="33"/>
      <c r="C735" s="34"/>
      <c r="D735" s="34"/>
      <c r="E735" s="34"/>
      <c r="S735" s="34"/>
      <c r="X735" s="34"/>
    </row>
    <row r="736" spans="1:24" x14ac:dyDescent="0.25">
      <c r="A736" s="33"/>
      <c r="B736" s="33"/>
      <c r="C736" s="34"/>
      <c r="D736" s="34"/>
      <c r="E736" s="34"/>
      <c r="S736" s="34"/>
      <c r="X736" s="34"/>
    </row>
    <row r="737" spans="1:24" x14ac:dyDescent="0.25">
      <c r="A737" s="33"/>
      <c r="B737" s="33"/>
      <c r="C737" s="34"/>
      <c r="D737" s="34"/>
      <c r="E737" s="34"/>
      <c r="S737" s="34"/>
      <c r="X737" s="34"/>
    </row>
    <row r="738" spans="1:24" x14ac:dyDescent="0.25">
      <c r="A738" s="33"/>
      <c r="B738" s="33"/>
      <c r="C738" s="34"/>
      <c r="D738" s="34"/>
      <c r="E738" s="34"/>
      <c r="S738" s="34"/>
      <c r="X738" s="34"/>
    </row>
    <row r="739" spans="1:24" x14ac:dyDescent="0.25">
      <c r="A739" s="33"/>
      <c r="B739" s="33"/>
      <c r="C739" s="34"/>
      <c r="D739" s="34"/>
      <c r="E739" s="34"/>
      <c r="S739" s="34"/>
      <c r="X739" s="34"/>
    </row>
    <row r="740" spans="1:24" x14ac:dyDescent="0.25">
      <c r="A740" s="33"/>
      <c r="B740" s="33"/>
      <c r="C740" s="34"/>
      <c r="D740" s="34"/>
      <c r="E740" s="34"/>
      <c r="S740" s="34"/>
      <c r="X740" s="34"/>
    </row>
    <row r="741" spans="1:24" x14ac:dyDescent="0.25">
      <c r="A741" s="33"/>
      <c r="B741" s="33"/>
      <c r="C741" s="34"/>
      <c r="D741" s="34"/>
      <c r="E741" s="34"/>
      <c r="S741" s="34"/>
      <c r="X741" s="34"/>
    </row>
    <row r="742" spans="1:24" x14ac:dyDescent="0.25">
      <c r="A742" s="33"/>
      <c r="B742" s="33"/>
      <c r="C742" s="34"/>
      <c r="D742" s="34"/>
      <c r="E742" s="34"/>
      <c r="S742" s="34"/>
      <c r="X742" s="34"/>
    </row>
    <row r="743" spans="1:24" x14ac:dyDescent="0.25">
      <c r="A743" s="33"/>
      <c r="B743" s="33"/>
      <c r="C743" s="34"/>
      <c r="D743" s="34"/>
      <c r="E743" s="34"/>
      <c r="S743" s="34"/>
      <c r="X743" s="34"/>
    </row>
    <row r="744" spans="1:24" x14ac:dyDescent="0.25">
      <c r="A744" s="33"/>
      <c r="B744" s="33"/>
      <c r="C744" s="34"/>
      <c r="D744" s="34"/>
      <c r="E744" s="34"/>
      <c r="S744" s="34"/>
      <c r="X744" s="34"/>
    </row>
    <row r="745" spans="1:24" x14ac:dyDescent="0.25">
      <c r="A745" s="33"/>
      <c r="B745" s="33"/>
      <c r="C745" s="34"/>
      <c r="D745" s="34"/>
      <c r="E745" s="34"/>
      <c r="S745" s="34"/>
      <c r="X745" s="34"/>
    </row>
    <row r="746" spans="1:24" x14ac:dyDescent="0.25">
      <c r="A746" s="33"/>
      <c r="B746" s="33"/>
      <c r="C746" s="34"/>
      <c r="D746" s="34"/>
      <c r="E746" s="34"/>
      <c r="S746" s="34"/>
      <c r="X746" s="34"/>
    </row>
    <row r="747" spans="1:24" x14ac:dyDescent="0.25">
      <c r="A747" s="33"/>
      <c r="B747" s="33"/>
      <c r="C747" s="34"/>
      <c r="D747" s="34"/>
      <c r="E747" s="34"/>
      <c r="S747" s="34"/>
      <c r="X747" s="34"/>
    </row>
    <row r="748" spans="1:24" x14ac:dyDescent="0.25">
      <c r="A748" s="33"/>
      <c r="B748" s="33"/>
      <c r="C748" s="34"/>
      <c r="D748" s="34"/>
      <c r="E748" s="34"/>
      <c r="S748" s="34"/>
      <c r="X748" s="34"/>
    </row>
    <row r="749" spans="1:24" x14ac:dyDescent="0.25">
      <c r="A749" s="33"/>
      <c r="B749" s="33"/>
      <c r="C749" s="34"/>
      <c r="D749" s="34"/>
      <c r="E749" s="34"/>
      <c r="S749" s="34"/>
      <c r="X749" s="34"/>
    </row>
    <row r="750" spans="1:24" x14ac:dyDescent="0.25">
      <c r="A750" s="33"/>
      <c r="B750" s="33"/>
      <c r="C750" s="34"/>
      <c r="D750" s="34"/>
      <c r="E750" s="34"/>
      <c r="S750" s="34"/>
      <c r="X750" s="34"/>
    </row>
    <row r="751" spans="1:24" x14ac:dyDescent="0.25">
      <c r="A751" s="33"/>
      <c r="B751" s="33"/>
      <c r="C751" s="34"/>
      <c r="D751" s="34"/>
      <c r="E751" s="34"/>
      <c r="S751" s="34"/>
      <c r="X751" s="34"/>
    </row>
    <row r="752" spans="1:24" x14ac:dyDescent="0.25">
      <c r="A752" s="33"/>
      <c r="B752" s="33"/>
      <c r="C752" s="34"/>
      <c r="D752" s="34"/>
      <c r="E752" s="34"/>
      <c r="S752" s="34"/>
      <c r="X752" s="34"/>
    </row>
    <row r="753" spans="1:24" x14ac:dyDescent="0.25">
      <c r="A753" s="33"/>
      <c r="B753" s="33"/>
      <c r="C753" s="34"/>
      <c r="D753" s="34"/>
      <c r="E753" s="34"/>
      <c r="S753" s="34"/>
      <c r="X753" s="34"/>
    </row>
    <row r="754" spans="1:24" x14ac:dyDescent="0.25">
      <c r="A754" s="33"/>
      <c r="B754" s="33"/>
      <c r="C754" s="34"/>
      <c r="D754" s="34"/>
      <c r="E754" s="34"/>
      <c r="S754" s="34"/>
      <c r="X754" s="34"/>
    </row>
    <row r="755" spans="1:24" x14ac:dyDescent="0.25">
      <c r="A755" s="33"/>
      <c r="B755" s="33"/>
      <c r="C755" s="34"/>
      <c r="D755" s="34"/>
      <c r="E755" s="34"/>
      <c r="S755" s="34"/>
      <c r="X755" s="34"/>
    </row>
    <row r="756" spans="1:24" x14ac:dyDescent="0.25">
      <c r="A756" s="33"/>
      <c r="B756" s="33"/>
      <c r="C756" s="34"/>
      <c r="D756" s="34"/>
      <c r="E756" s="34"/>
      <c r="S756" s="34"/>
      <c r="X756" s="34"/>
    </row>
    <row r="757" spans="1:24" x14ac:dyDescent="0.25">
      <c r="A757" s="33"/>
      <c r="B757" s="33"/>
      <c r="C757" s="34"/>
      <c r="D757" s="34"/>
      <c r="E757" s="34"/>
      <c r="S757" s="34"/>
      <c r="X757" s="34"/>
    </row>
    <row r="758" spans="1:24" x14ac:dyDescent="0.25">
      <c r="A758" s="33"/>
      <c r="B758" s="33"/>
      <c r="C758" s="34"/>
      <c r="D758" s="34"/>
      <c r="E758" s="34"/>
      <c r="S758" s="34"/>
      <c r="X758" s="34"/>
    </row>
    <row r="759" spans="1:24" x14ac:dyDescent="0.25">
      <c r="A759" s="33"/>
      <c r="B759" s="33"/>
      <c r="C759" s="34"/>
      <c r="D759" s="34"/>
      <c r="E759" s="34"/>
      <c r="S759" s="34"/>
      <c r="X759" s="34"/>
    </row>
    <row r="760" spans="1:24" x14ac:dyDescent="0.25">
      <c r="A760" s="33"/>
      <c r="B760" s="33"/>
      <c r="C760" s="34"/>
      <c r="D760" s="34"/>
      <c r="E760" s="34"/>
      <c r="S760" s="34"/>
      <c r="X760" s="34"/>
    </row>
    <row r="761" spans="1:24" x14ac:dyDescent="0.25">
      <c r="A761" s="33"/>
      <c r="B761" s="33"/>
      <c r="C761" s="34"/>
      <c r="D761" s="34"/>
      <c r="E761" s="34"/>
      <c r="S761" s="34"/>
      <c r="X761" s="34"/>
    </row>
    <row r="762" spans="1:24" x14ac:dyDescent="0.25">
      <c r="A762" s="33"/>
      <c r="B762" s="33"/>
      <c r="C762" s="34"/>
      <c r="D762" s="34"/>
      <c r="E762" s="34"/>
      <c r="S762" s="34"/>
      <c r="X762" s="34"/>
    </row>
    <row r="763" spans="1:24" x14ac:dyDescent="0.25">
      <c r="A763" s="33"/>
      <c r="B763" s="33"/>
      <c r="C763" s="34"/>
      <c r="D763" s="34"/>
      <c r="E763" s="34"/>
      <c r="S763" s="34"/>
      <c r="X763" s="34"/>
    </row>
    <row r="764" spans="1:24" x14ac:dyDescent="0.25">
      <c r="A764" s="33"/>
      <c r="B764" s="33"/>
      <c r="C764" s="34"/>
      <c r="D764" s="34"/>
      <c r="E764" s="34"/>
      <c r="S764" s="34"/>
      <c r="X764" s="34"/>
    </row>
    <row r="765" spans="1:24" x14ac:dyDescent="0.25">
      <c r="A765" s="33"/>
      <c r="B765" s="33"/>
      <c r="C765" s="34"/>
      <c r="D765" s="34"/>
      <c r="E765" s="34"/>
      <c r="S765" s="34"/>
      <c r="X765" s="34"/>
    </row>
    <row r="766" spans="1:24" x14ac:dyDescent="0.25">
      <c r="A766" s="33"/>
      <c r="B766" s="33"/>
      <c r="C766" s="34"/>
      <c r="D766" s="34"/>
      <c r="E766" s="34"/>
      <c r="S766" s="34"/>
      <c r="X766" s="34"/>
    </row>
    <row r="767" spans="1:24" x14ac:dyDescent="0.25">
      <c r="A767" s="33"/>
      <c r="B767" s="33"/>
      <c r="C767" s="34"/>
      <c r="D767" s="34"/>
      <c r="E767" s="34"/>
      <c r="S767" s="34"/>
      <c r="X767" s="34"/>
    </row>
    <row r="768" spans="1:24" x14ac:dyDescent="0.25">
      <c r="A768" s="33"/>
      <c r="B768" s="33"/>
      <c r="C768" s="34"/>
      <c r="D768" s="34"/>
      <c r="E768" s="34"/>
      <c r="S768" s="34"/>
      <c r="X768" s="34"/>
    </row>
    <row r="769" spans="1:24" x14ac:dyDescent="0.25">
      <c r="A769" s="33"/>
      <c r="B769" s="33"/>
      <c r="C769" s="34"/>
      <c r="D769" s="34"/>
      <c r="E769" s="34"/>
      <c r="S769" s="34"/>
      <c r="X769" s="34"/>
    </row>
    <row r="770" spans="1:24" x14ac:dyDescent="0.25">
      <c r="A770" s="33"/>
      <c r="B770" s="33"/>
      <c r="C770" s="34"/>
      <c r="D770" s="34"/>
      <c r="E770" s="34"/>
      <c r="S770" s="34"/>
      <c r="X770" s="34"/>
    </row>
    <row r="771" spans="1:24" x14ac:dyDescent="0.25">
      <c r="A771" s="33"/>
      <c r="B771" s="33"/>
      <c r="C771" s="34"/>
      <c r="D771" s="34"/>
      <c r="E771" s="34"/>
      <c r="S771" s="34"/>
      <c r="X771" s="34"/>
    </row>
    <row r="772" spans="1:24" x14ac:dyDescent="0.25">
      <c r="A772" s="33"/>
      <c r="B772" s="33"/>
      <c r="C772" s="34"/>
      <c r="D772" s="34"/>
      <c r="E772" s="34"/>
      <c r="S772" s="34"/>
      <c r="X772" s="34"/>
    </row>
    <row r="773" spans="1:24" x14ac:dyDescent="0.25">
      <c r="A773" s="33"/>
      <c r="B773" s="33"/>
      <c r="C773" s="34"/>
      <c r="D773" s="34"/>
      <c r="E773" s="34"/>
      <c r="S773" s="34"/>
      <c r="X773" s="34"/>
    </row>
    <row r="774" spans="1:24" x14ac:dyDescent="0.25">
      <c r="A774" s="33"/>
      <c r="B774" s="33"/>
      <c r="C774" s="34"/>
      <c r="D774" s="34"/>
      <c r="E774" s="34"/>
      <c r="S774" s="34"/>
      <c r="X774" s="34"/>
    </row>
    <row r="775" spans="1:24" x14ac:dyDescent="0.25">
      <c r="A775" s="33"/>
      <c r="B775" s="33"/>
      <c r="C775" s="34"/>
      <c r="D775" s="34"/>
      <c r="E775" s="34"/>
      <c r="S775" s="34"/>
      <c r="X775" s="34"/>
    </row>
    <row r="776" spans="1:24" x14ac:dyDescent="0.25">
      <c r="A776" s="33"/>
      <c r="B776" s="33"/>
      <c r="C776" s="34"/>
      <c r="D776" s="34"/>
      <c r="E776" s="34"/>
      <c r="S776" s="34"/>
      <c r="X776" s="34"/>
    </row>
    <row r="777" spans="1:24" x14ac:dyDescent="0.25">
      <c r="A777" s="33"/>
      <c r="B777" s="33"/>
      <c r="C777" s="34"/>
      <c r="D777" s="34"/>
      <c r="E777" s="34"/>
      <c r="S777" s="34"/>
      <c r="X777" s="34"/>
    </row>
    <row r="778" spans="1:24" x14ac:dyDescent="0.25">
      <c r="A778" s="33"/>
      <c r="B778" s="33"/>
      <c r="C778" s="34"/>
      <c r="D778" s="34"/>
      <c r="E778" s="34"/>
      <c r="S778" s="34"/>
      <c r="X778" s="34"/>
    </row>
    <row r="779" spans="1:24" x14ac:dyDescent="0.25">
      <c r="A779" s="33"/>
      <c r="B779" s="33"/>
      <c r="C779" s="34"/>
      <c r="D779" s="34"/>
      <c r="E779" s="34"/>
      <c r="S779" s="34"/>
      <c r="X779" s="34"/>
    </row>
    <row r="780" spans="1:24" x14ac:dyDescent="0.25">
      <c r="A780" s="33"/>
      <c r="B780" s="33"/>
      <c r="C780" s="34"/>
      <c r="D780" s="34"/>
      <c r="E780" s="34"/>
      <c r="S780" s="34"/>
      <c r="X780" s="34"/>
    </row>
    <row r="781" spans="1:24" x14ac:dyDescent="0.25">
      <c r="A781" s="33"/>
      <c r="B781" s="33"/>
      <c r="C781" s="34"/>
      <c r="D781" s="34"/>
      <c r="E781" s="34"/>
      <c r="S781" s="34"/>
      <c r="X781" s="34"/>
    </row>
    <row r="782" spans="1:24" x14ac:dyDescent="0.25">
      <c r="A782" s="33"/>
      <c r="B782" s="33"/>
      <c r="C782" s="34"/>
      <c r="D782" s="34"/>
      <c r="E782" s="34"/>
      <c r="S782" s="34"/>
      <c r="X782" s="34"/>
    </row>
    <row r="783" spans="1:24" x14ac:dyDescent="0.25">
      <c r="A783" s="33"/>
      <c r="B783" s="33"/>
      <c r="C783" s="34"/>
      <c r="D783" s="34"/>
      <c r="E783" s="34"/>
      <c r="S783" s="34"/>
      <c r="X783" s="34"/>
    </row>
    <row r="784" spans="1:24" x14ac:dyDescent="0.25">
      <c r="A784" s="33"/>
      <c r="B784" s="33"/>
      <c r="C784" s="34"/>
      <c r="D784" s="34"/>
      <c r="E784" s="34"/>
      <c r="S784" s="34"/>
      <c r="X784" s="34"/>
    </row>
    <row r="785" spans="1:24" x14ac:dyDescent="0.25">
      <c r="A785" s="33"/>
      <c r="B785" s="33"/>
      <c r="C785" s="34"/>
      <c r="D785" s="34"/>
      <c r="E785" s="34"/>
      <c r="S785" s="34"/>
      <c r="X785" s="34"/>
    </row>
    <row r="786" spans="1:24" x14ac:dyDescent="0.25">
      <c r="A786" s="33"/>
      <c r="B786" s="33"/>
      <c r="C786" s="34"/>
      <c r="D786" s="34"/>
      <c r="E786" s="34"/>
      <c r="S786" s="34"/>
      <c r="X786" s="34"/>
    </row>
    <row r="787" spans="1:24" x14ac:dyDescent="0.25">
      <c r="A787" s="33"/>
      <c r="B787" s="33"/>
      <c r="C787" s="34"/>
      <c r="D787" s="34"/>
      <c r="E787" s="34"/>
      <c r="S787" s="34"/>
      <c r="X787" s="34"/>
    </row>
    <row r="788" spans="1:24" x14ac:dyDescent="0.25">
      <c r="A788" s="33"/>
      <c r="B788" s="33"/>
      <c r="C788" s="34"/>
      <c r="D788" s="34"/>
      <c r="E788" s="34"/>
      <c r="S788" s="34"/>
      <c r="X788" s="34"/>
    </row>
    <row r="789" spans="1:24" x14ac:dyDescent="0.25">
      <c r="A789" s="33"/>
      <c r="B789" s="33"/>
      <c r="C789" s="34"/>
      <c r="D789" s="34"/>
      <c r="E789" s="34"/>
      <c r="S789" s="34"/>
      <c r="X789" s="34"/>
    </row>
    <row r="790" spans="1:24" x14ac:dyDescent="0.25">
      <c r="A790" s="33"/>
      <c r="B790" s="33"/>
      <c r="C790" s="34"/>
      <c r="D790" s="34"/>
      <c r="E790" s="34"/>
      <c r="S790" s="34"/>
      <c r="X790" s="34"/>
    </row>
    <row r="791" spans="1:24" x14ac:dyDescent="0.25">
      <c r="A791" s="33"/>
      <c r="B791" s="33"/>
      <c r="C791" s="34"/>
      <c r="D791" s="34"/>
      <c r="E791" s="34"/>
      <c r="S791" s="34"/>
      <c r="X791" s="34"/>
    </row>
    <row r="792" spans="1:24" x14ac:dyDescent="0.25">
      <c r="A792" s="33"/>
      <c r="B792" s="33"/>
      <c r="C792" s="34"/>
      <c r="D792" s="34"/>
      <c r="E792" s="34"/>
      <c r="S792" s="34"/>
      <c r="X792" s="34"/>
    </row>
    <row r="793" spans="1:24" x14ac:dyDescent="0.25">
      <c r="A793" s="33"/>
      <c r="B793" s="33"/>
      <c r="C793" s="34"/>
      <c r="D793" s="34"/>
      <c r="E793" s="34"/>
      <c r="S793" s="34"/>
      <c r="X793" s="34"/>
    </row>
    <row r="794" spans="1:24" x14ac:dyDescent="0.25">
      <c r="A794" s="33"/>
      <c r="B794" s="33"/>
      <c r="C794" s="34"/>
      <c r="D794" s="34"/>
      <c r="E794" s="34"/>
      <c r="S794" s="34"/>
      <c r="X794" s="34"/>
    </row>
    <row r="795" spans="1:24" x14ac:dyDescent="0.25">
      <c r="A795" s="33"/>
      <c r="B795" s="33"/>
      <c r="C795" s="34"/>
      <c r="D795" s="34"/>
      <c r="E795" s="34"/>
      <c r="S795" s="34"/>
      <c r="X795" s="34"/>
    </row>
    <row r="796" spans="1:24" x14ac:dyDescent="0.25">
      <c r="A796" s="33"/>
      <c r="B796" s="33"/>
      <c r="C796" s="34"/>
      <c r="D796" s="34"/>
      <c r="E796" s="34"/>
      <c r="S796" s="34"/>
      <c r="X796" s="34"/>
    </row>
    <row r="797" spans="1:24" x14ac:dyDescent="0.25">
      <c r="A797" s="33"/>
      <c r="B797" s="33"/>
      <c r="C797" s="34"/>
      <c r="D797" s="34"/>
      <c r="E797" s="34"/>
      <c r="S797" s="34"/>
      <c r="X797" s="34"/>
    </row>
    <row r="798" spans="1:24" x14ac:dyDescent="0.25">
      <c r="A798" s="33"/>
      <c r="B798" s="33"/>
      <c r="C798" s="34"/>
      <c r="D798" s="34"/>
      <c r="E798" s="34"/>
      <c r="S798" s="34"/>
      <c r="X798" s="34"/>
    </row>
    <row r="799" spans="1:24" x14ac:dyDescent="0.25">
      <c r="A799" s="33"/>
      <c r="B799" s="33"/>
      <c r="C799" s="34"/>
      <c r="D799" s="34"/>
      <c r="E799" s="34"/>
      <c r="S799" s="34"/>
      <c r="X799" s="34"/>
    </row>
    <row r="800" spans="1:24" x14ac:dyDescent="0.25">
      <c r="A800" s="33"/>
      <c r="B800" s="33"/>
      <c r="C800" s="34"/>
      <c r="D800" s="34"/>
      <c r="E800" s="34"/>
      <c r="S800" s="34"/>
      <c r="X800" s="34"/>
    </row>
    <row r="801" spans="1:24" x14ac:dyDescent="0.25">
      <c r="A801" s="33"/>
      <c r="B801" s="33"/>
      <c r="C801" s="34"/>
      <c r="D801" s="34"/>
      <c r="E801" s="34"/>
      <c r="S801" s="34"/>
      <c r="X801" s="34"/>
    </row>
    <row r="802" spans="1:24" x14ac:dyDescent="0.25">
      <c r="A802" s="33"/>
      <c r="B802" s="33"/>
      <c r="C802" s="34"/>
      <c r="D802" s="34"/>
      <c r="E802" s="34"/>
      <c r="S802" s="34"/>
      <c r="X802" s="34"/>
    </row>
    <row r="803" spans="1:24" x14ac:dyDescent="0.25">
      <c r="A803" s="33"/>
      <c r="B803" s="33"/>
      <c r="C803" s="34"/>
      <c r="D803" s="34"/>
      <c r="E803" s="34"/>
      <c r="S803" s="34"/>
      <c r="X803" s="34"/>
    </row>
    <row r="804" spans="1:24" x14ac:dyDescent="0.25">
      <c r="A804" s="33"/>
      <c r="B804" s="33"/>
      <c r="C804" s="34"/>
      <c r="D804" s="34"/>
      <c r="E804" s="34"/>
      <c r="S804" s="34"/>
      <c r="X804" s="34"/>
    </row>
    <row r="805" spans="1:24" x14ac:dyDescent="0.25">
      <c r="A805" s="33"/>
      <c r="B805" s="33"/>
      <c r="C805" s="34"/>
      <c r="D805" s="34"/>
      <c r="E805" s="34"/>
      <c r="S805" s="34"/>
      <c r="X805" s="34"/>
    </row>
    <row r="806" spans="1:24" x14ac:dyDescent="0.25">
      <c r="A806" s="33"/>
      <c r="B806" s="33"/>
      <c r="C806" s="34"/>
      <c r="D806" s="34"/>
      <c r="E806" s="34"/>
      <c r="S806" s="34"/>
      <c r="X806" s="34"/>
    </row>
    <row r="807" spans="1:24" x14ac:dyDescent="0.25">
      <c r="A807" s="33"/>
      <c r="B807" s="33"/>
      <c r="C807" s="34"/>
      <c r="D807" s="34"/>
      <c r="E807" s="34"/>
      <c r="S807" s="34"/>
      <c r="X807" s="34"/>
    </row>
    <row r="808" spans="1:24" x14ac:dyDescent="0.25">
      <c r="A808" s="33"/>
      <c r="B808" s="33"/>
      <c r="C808" s="34"/>
      <c r="D808" s="34"/>
      <c r="E808" s="34"/>
      <c r="S808" s="34"/>
      <c r="X808" s="34"/>
    </row>
    <row r="809" spans="1:24" x14ac:dyDescent="0.25">
      <c r="A809" s="33"/>
      <c r="B809" s="33"/>
      <c r="C809" s="34"/>
      <c r="D809" s="34"/>
      <c r="E809" s="34"/>
      <c r="S809" s="34"/>
      <c r="X809" s="34"/>
    </row>
    <row r="810" spans="1:24" x14ac:dyDescent="0.25">
      <c r="A810" s="33"/>
      <c r="B810" s="33"/>
      <c r="C810" s="34"/>
      <c r="D810" s="34"/>
      <c r="E810" s="34"/>
      <c r="S810" s="34"/>
      <c r="X810" s="34"/>
    </row>
    <row r="811" spans="1:24" x14ac:dyDescent="0.25">
      <c r="A811" s="33"/>
      <c r="B811" s="33"/>
      <c r="C811" s="34"/>
      <c r="D811" s="34"/>
      <c r="E811" s="34"/>
      <c r="S811" s="34"/>
      <c r="X811" s="34"/>
    </row>
    <row r="812" spans="1:24" x14ac:dyDescent="0.25">
      <c r="A812" s="33"/>
      <c r="B812" s="33"/>
      <c r="C812" s="34"/>
      <c r="D812" s="34"/>
      <c r="E812" s="34"/>
      <c r="S812" s="34"/>
      <c r="X812" s="34"/>
    </row>
    <row r="813" spans="1:24" x14ac:dyDescent="0.25">
      <c r="A813" s="33"/>
      <c r="B813" s="33"/>
      <c r="C813" s="34"/>
      <c r="D813" s="34"/>
      <c r="E813" s="34"/>
      <c r="S813" s="34"/>
      <c r="X813" s="34"/>
    </row>
    <row r="814" spans="1:24" x14ac:dyDescent="0.25">
      <c r="A814" s="33"/>
      <c r="B814" s="33"/>
      <c r="C814" s="34"/>
      <c r="D814" s="34"/>
      <c r="E814" s="34"/>
      <c r="S814" s="34"/>
      <c r="X814" s="34"/>
    </row>
    <row r="815" spans="1:24" x14ac:dyDescent="0.25">
      <c r="A815" s="33"/>
      <c r="B815" s="33"/>
      <c r="C815" s="34"/>
      <c r="D815" s="34"/>
      <c r="E815" s="34"/>
      <c r="S815" s="34"/>
      <c r="X815" s="34"/>
    </row>
    <row r="816" spans="1:24" x14ac:dyDescent="0.25">
      <c r="A816" s="33"/>
      <c r="B816" s="33"/>
      <c r="C816" s="34"/>
      <c r="D816" s="34"/>
      <c r="E816" s="34"/>
      <c r="S816" s="34"/>
      <c r="X816" s="34"/>
    </row>
    <row r="817" spans="1:24" x14ac:dyDescent="0.25">
      <c r="A817" s="33"/>
      <c r="B817" s="33"/>
      <c r="C817" s="34"/>
      <c r="D817" s="34"/>
      <c r="E817" s="34"/>
      <c r="S817" s="34"/>
      <c r="X817" s="34"/>
    </row>
    <row r="818" spans="1:24" x14ac:dyDescent="0.25">
      <c r="A818" s="33"/>
      <c r="B818" s="33"/>
      <c r="C818" s="34"/>
      <c r="D818" s="34"/>
      <c r="E818" s="34"/>
      <c r="S818" s="34"/>
      <c r="X818" s="34"/>
    </row>
    <row r="819" spans="1:24" x14ac:dyDescent="0.25">
      <c r="A819" s="33"/>
      <c r="B819" s="33"/>
      <c r="C819" s="34"/>
      <c r="D819" s="34"/>
      <c r="E819" s="34"/>
      <c r="S819" s="34"/>
      <c r="X819" s="34"/>
    </row>
    <row r="820" spans="1:24" x14ac:dyDescent="0.25">
      <c r="A820" s="33"/>
      <c r="B820" s="33"/>
      <c r="C820" s="34"/>
      <c r="D820" s="34"/>
      <c r="E820" s="34"/>
      <c r="S820" s="34"/>
      <c r="X820" s="34"/>
    </row>
    <row r="821" spans="1:24" x14ac:dyDescent="0.25">
      <c r="A821" s="33"/>
      <c r="B821" s="33"/>
      <c r="C821" s="34"/>
      <c r="D821" s="34"/>
      <c r="E821" s="34"/>
      <c r="S821" s="34"/>
      <c r="X821" s="34"/>
    </row>
    <row r="822" spans="1:24" x14ac:dyDescent="0.25">
      <c r="A822" s="33"/>
      <c r="B822" s="33"/>
      <c r="C822" s="34"/>
      <c r="D822" s="34"/>
      <c r="E822" s="34"/>
      <c r="S822" s="34"/>
      <c r="X822" s="34"/>
    </row>
    <row r="823" spans="1:24" x14ac:dyDescent="0.25">
      <c r="A823" s="33"/>
      <c r="B823" s="33"/>
      <c r="C823" s="34"/>
      <c r="D823" s="34"/>
      <c r="E823" s="34"/>
      <c r="S823" s="34"/>
      <c r="X823" s="34"/>
    </row>
    <row r="824" spans="1:24" x14ac:dyDescent="0.25">
      <c r="A824" s="33"/>
      <c r="B824" s="33"/>
      <c r="C824" s="34"/>
      <c r="D824" s="34"/>
      <c r="E824" s="34"/>
      <c r="S824" s="34"/>
      <c r="X824" s="34"/>
    </row>
    <row r="825" spans="1:24" x14ac:dyDescent="0.25">
      <c r="A825" s="33"/>
      <c r="B825" s="33"/>
      <c r="C825" s="34"/>
      <c r="D825" s="34"/>
      <c r="E825" s="34"/>
      <c r="S825" s="34"/>
      <c r="X825" s="34"/>
    </row>
    <row r="826" spans="1:24" x14ac:dyDescent="0.25">
      <c r="A826" s="33"/>
      <c r="B826" s="33"/>
      <c r="C826" s="34"/>
      <c r="D826" s="34"/>
      <c r="E826" s="34"/>
      <c r="S826" s="34"/>
      <c r="X826" s="34"/>
    </row>
    <row r="827" spans="1:24" x14ac:dyDescent="0.25">
      <c r="A827" s="33"/>
      <c r="B827" s="33"/>
      <c r="C827" s="34"/>
      <c r="D827" s="34"/>
      <c r="E827" s="34"/>
      <c r="S827" s="34"/>
      <c r="X827" s="34"/>
    </row>
    <row r="828" spans="1:24" x14ac:dyDescent="0.25">
      <c r="A828" s="33"/>
      <c r="B828" s="33"/>
      <c r="C828" s="34"/>
      <c r="D828" s="34"/>
      <c r="E828" s="34"/>
      <c r="S828" s="34"/>
      <c r="X828" s="34"/>
    </row>
    <row r="829" spans="1:24" x14ac:dyDescent="0.25">
      <c r="A829" s="33"/>
      <c r="B829" s="33"/>
      <c r="C829" s="34"/>
      <c r="D829" s="34"/>
      <c r="E829" s="34"/>
      <c r="S829" s="34"/>
      <c r="X829" s="34"/>
    </row>
    <row r="830" spans="1:24" x14ac:dyDescent="0.25">
      <c r="A830" s="33"/>
      <c r="B830" s="33"/>
      <c r="C830" s="34"/>
      <c r="D830" s="34"/>
      <c r="E830" s="34"/>
      <c r="S830" s="34"/>
      <c r="X830" s="34"/>
    </row>
    <row r="831" spans="1:24" x14ac:dyDescent="0.25">
      <c r="A831" s="33"/>
      <c r="B831" s="33"/>
      <c r="C831" s="34"/>
      <c r="D831" s="34"/>
      <c r="E831" s="34"/>
      <c r="S831" s="34"/>
      <c r="X831" s="34"/>
    </row>
    <row r="832" spans="1:24" x14ac:dyDescent="0.25">
      <c r="A832" s="33"/>
      <c r="B832" s="33"/>
      <c r="C832" s="34"/>
      <c r="D832" s="34"/>
      <c r="E832" s="34"/>
      <c r="S832" s="34"/>
      <c r="X832" s="34"/>
    </row>
    <row r="833" spans="1:24" x14ac:dyDescent="0.25">
      <c r="A833" s="33"/>
      <c r="B833" s="33"/>
      <c r="C833" s="34"/>
      <c r="D833" s="34"/>
      <c r="E833" s="34"/>
      <c r="S833" s="34"/>
      <c r="X833" s="34"/>
    </row>
    <row r="834" spans="1:24" x14ac:dyDescent="0.25">
      <c r="A834" s="33"/>
      <c r="B834" s="33"/>
      <c r="C834" s="34"/>
      <c r="D834" s="34"/>
      <c r="E834" s="34"/>
      <c r="S834" s="34"/>
      <c r="X834" s="34"/>
    </row>
    <row r="835" spans="1:24" x14ac:dyDescent="0.25">
      <c r="A835" s="33"/>
      <c r="B835" s="33"/>
      <c r="C835" s="34"/>
      <c r="D835" s="34"/>
      <c r="E835" s="34"/>
      <c r="S835" s="34"/>
      <c r="X835" s="34"/>
    </row>
    <row r="836" spans="1:24" x14ac:dyDescent="0.25">
      <c r="A836" s="33"/>
      <c r="B836" s="33"/>
      <c r="C836" s="34"/>
      <c r="D836" s="34"/>
      <c r="E836" s="34"/>
      <c r="S836" s="34"/>
      <c r="X836" s="34"/>
    </row>
    <row r="837" spans="1:24" x14ac:dyDescent="0.25">
      <c r="A837" s="33"/>
      <c r="B837" s="33"/>
      <c r="C837" s="34"/>
      <c r="D837" s="34"/>
      <c r="E837" s="34"/>
      <c r="S837" s="34"/>
      <c r="X837" s="34"/>
    </row>
    <row r="838" spans="1:24" x14ac:dyDescent="0.25">
      <c r="A838" s="33"/>
      <c r="B838" s="33"/>
      <c r="C838" s="34"/>
      <c r="D838" s="34"/>
      <c r="E838" s="34"/>
      <c r="S838" s="34"/>
      <c r="X838" s="34"/>
    </row>
    <row r="839" spans="1:24" x14ac:dyDescent="0.25">
      <c r="A839" s="33"/>
      <c r="B839" s="33"/>
      <c r="C839" s="34"/>
      <c r="D839" s="34"/>
      <c r="E839" s="34"/>
      <c r="S839" s="34"/>
      <c r="X839" s="34"/>
    </row>
    <row r="840" spans="1:24" x14ac:dyDescent="0.25">
      <c r="A840" s="33"/>
      <c r="B840" s="33"/>
      <c r="C840" s="34"/>
      <c r="D840" s="34"/>
      <c r="E840" s="34"/>
      <c r="S840" s="34"/>
      <c r="X840" s="34"/>
    </row>
    <row r="841" spans="1:24" x14ac:dyDescent="0.25">
      <c r="A841" s="33"/>
      <c r="B841" s="33"/>
      <c r="C841" s="34"/>
      <c r="D841" s="34"/>
      <c r="E841" s="34"/>
      <c r="S841" s="34"/>
      <c r="X841" s="34"/>
    </row>
    <row r="842" spans="1:24" x14ac:dyDescent="0.25">
      <c r="A842" s="33"/>
      <c r="B842" s="33"/>
      <c r="C842" s="34"/>
      <c r="D842" s="34"/>
      <c r="E842" s="34"/>
      <c r="S842" s="34"/>
      <c r="X842" s="34"/>
    </row>
    <row r="843" spans="1:24" x14ac:dyDescent="0.25">
      <c r="A843" s="33"/>
      <c r="B843" s="33"/>
      <c r="C843" s="34"/>
      <c r="D843" s="34"/>
      <c r="E843" s="34"/>
      <c r="S843" s="34"/>
      <c r="X843" s="34"/>
    </row>
    <row r="844" spans="1:24" x14ac:dyDescent="0.25">
      <c r="A844" s="33"/>
      <c r="B844" s="33"/>
      <c r="C844" s="34"/>
      <c r="D844" s="34"/>
      <c r="E844" s="34"/>
      <c r="S844" s="34"/>
      <c r="X844" s="34"/>
    </row>
    <row r="845" spans="1:24" x14ac:dyDescent="0.25">
      <c r="A845" s="33"/>
      <c r="B845" s="33"/>
      <c r="C845" s="34"/>
      <c r="D845" s="34"/>
      <c r="E845" s="34"/>
      <c r="S845" s="34"/>
      <c r="X845" s="34"/>
    </row>
    <row r="846" spans="1:24" x14ac:dyDescent="0.25">
      <c r="A846" s="33"/>
      <c r="B846" s="33"/>
      <c r="C846" s="34"/>
      <c r="D846" s="34"/>
      <c r="E846" s="34"/>
      <c r="S846" s="34"/>
      <c r="X846" s="34"/>
    </row>
    <row r="847" spans="1:24" x14ac:dyDescent="0.25">
      <c r="A847" s="33"/>
      <c r="B847" s="33"/>
      <c r="C847" s="34"/>
      <c r="D847" s="34"/>
      <c r="E847" s="34"/>
      <c r="S847" s="34"/>
      <c r="X847" s="34"/>
    </row>
    <row r="848" spans="1:24" x14ac:dyDescent="0.25">
      <c r="A848" s="33"/>
      <c r="B848" s="33"/>
      <c r="C848" s="34"/>
      <c r="D848" s="34"/>
      <c r="E848" s="34"/>
      <c r="S848" s="34"/>
      <c r="X848" s="34"/>
    </row>
    <row r="849" spans="1:24" x14ac:dyDescent="0.25">
      <c r="A849" s="33"/>
      <c r="B849" s="33"/>
      <c r="C849" s="34"/>
      <c r="D849" s="34"/>
      <c r="E849" s="34"/>
      <c r="S849" s="34"/>
      <c r="X849" s="34"/>
    </row>
    <row r="850" spans="1:24" x14ac:dyDescent="0.25">
      <c r="A850" s="33"/>
      <c r="B850" s="33"/>
      <c r="C850" s="34"/>
      <c r="D850" s="34"/>
      <c r="E850" s="34"/>
      <c r="S850" s="34"/>
      <c r="X850" s="34"/>
    </row>
    <row r="851" spans="1:24" x14ac:dyDescent="0.25">
      <c r="A851" s="33"/>
      <c r="B851" s="33"/>
      <c r="C851" s="34"/>
      <c r="D851" s="34"/>
      <c r="E851" s="34"/>
      <c r="S851" s="34"/>
      <c r="X851" s="34"/>
    </row>
    <row r="852" spans="1:24" x14ac:dyDescent="0.25">
      <c r="A852" s="33"/>
      <c r="B852" s="33"/>
      <c r="C852" s="34"/>
      <c r="D852" s="34"/>
      <c r="E852" s="34"/>
      <c r="S852" s="34"/>
      <c r="X852" s="34"/>
    </row>
    <row r="853" spans="1:24" x14ac:dyDescent="0.25">
      <c r="A853" s="33"/>
      <c r="B853" s="33"/>
      <c r="C853" s="34"/>
      <c r="D853" s="34"/>
      <c r="E853" s="34"/>
      <c r="S853" s="34"/>
      <c r="X853" s="34"/>
    </row>
    <row r="854" spans="1:24" x14ac:dyDescent="0.25">
      <c r="A854" s="33"/>
      <c r="B854" s="33"/>
      <c r="C854" s="34"/>
      <c r="D854" s="34"/>
      <c r="E854" s="34"/>
      <c r="S854" s="34"/>
      <c r="X854" s="34"/>
    </row>
    <row r="855" spans="1:24" x14ac:dyDescent="0.25">
      <c r="A855" s="33"/>
      <c r="B855" s="33"/>
      <c r="C855" s="34"/>
      <c r="D855" s="34"/>
      <c r="E855" s="34"/>
      <c r="S855" s="34"/>
      <c r="X855" s="34"/>
    </row>
    <row r="856" spans="1:24" x14ac:dyDescent="0.25">
      <c r="A856" s="33"/>
      <c r="B856" s="33"/>
      <c r="C856" s="34"/>
      <c r="D856" s="34"/>
      <c r="E856" s="34"/>
      <c r="S856" s="34"/>
      <c r="X856" s="34"/>
    </row>
    <row r="857" spans="1:24" x14ac:dyDescent="0.25">
      <c r="A857" s="33"/>
      <c r="B857" s="33"/>
      <c r="C857" s="34"/>
      <c r="D857" s="34"/>
      <c r="E857" s="34"/>
      <c r="S857" s="34"/>
      <c r="X857" s="34"/>
    </row>
    <row r="858" spans="1:24" x14ac:dyDescent="0.25">
      <c r="A858" s="33"/>
      <c r="B858" s="33"/>
      <c r="C858" s="34"/>
      <c r="D858" s="34"/>
      <c r="E858" s="34"/>
      <c r="S858" s="34"/>
      <c r="X858" s="34"/>
    </row>
    <row r="859" spans="1:24" x14ac:dyDescent="0.25">
      <c r="A859" s="33"/>
      <c r="B859" s="33"/>
      <c r="C859" s="34"/>
      <c r="D859" s="34"/>
      <c r="E859" s="34"/>
      <c r="S859" s="34"/>
      <c r="X859" s="34"/>
    </row>
    <row r="860" spans="1:24" x14ac:dyDescent="0.25">
      <c r="A860" s="33"/>
      <c r="B860" s="33"/>
      <c r="C860" s="34"/>
      <c r="D860" s="34"/>
      <c r="E860" s="34"/>
      <c r="S860" s="34"/>
      <c r="X860" s="34"/>
    </row>
    <row r="861" spans="1:24" x14ac:dyDescent="0.25">
      <c r="A861" s="33"/>
      <c r="B861" s="33"/>
      <c r="C861" s="34"/>
      <c r="D861" s="34"/>
      <c r="E861" s="34"/>
      <c r="S861" s="34"/>
      <c r="X861" s="34"/>
    </row>
    <row r="862" spans="1:24" x14ac:dyDescent="0.25">
      <c r="A862" s="33"/>
      <c r="B862" s="33"/>
      <c r="C862" s="34"/>
      <c r="D862" s="34"/>
      <c r="E862" s="34"/>
      <c r="S862" s="34"/>
      <c r="X862" s="34"/>
    </row>
    <row r="863" spans="1:24" x14ac:dyDescent="0.25">
      <c r="A863" s="33"/>
      <c r="B863" s="33"/>
      <c r="C863" s="34"/>
      <c r="D863" s="34"/>
      <c r="E863" s="34"/>
      <c r="S863" s="34"/>
      <c r="X863" s="34"/>
    </row>
    <row r="864" spans="1:24" x14ac:dyDescent="0.25">
      <c r="A864" s="33"/>
      <c r="B864" s="33"/>
      <c r="C864" s="34"/>
      <c r="D864" s="34"/>
      <c r="E864" s="34"/>
      <c r="S864" s="34"/>
      <c r="X864" s="34"/>
    </row>
    <row r="865" spans="1:24" x14ac:dyDescent="0.25">
      <c r="A865" s="33"/>
      <c r="B865" s="33"/>
      <c r="C865" s="34"/>
      <c r="D865" s="34"/>
      <c r="E865" s="34"/>
      <c r="S865" s="34"/>
      <c r="X865" s="34"/>
    </row>
    <row r="866" spans="1:24" x14ac:dyDescent="0.25">
      <c r="A866" s="33"/>
      <c r="B866" s="33"/>
      <c r="C866" s="34"/>
      <c r="D866" s="34"/>
      <c r="E866" s="34"/>
      <c r="S866" s="34"/>
      <c r="X866" s="34"/>
    </row>
    <row r="867" spans="1:24" x14ac:dyDescent="0.25">
      <c r="A867" s="33"/>
      <c r="B867" s="33"/>
      <c r="C867" s="34"/>
      <c r="D867" s="34"/>
      <c r="E867" s="34"/>
      <c r="S867" s="34"/>
      <c r="X867" s="34"/>
    </row>
    <row r="868" spans="1:24" x14ac:dyDescent="0.25">
      <c r="A868" s="33"/>
      <c r="B868" s="33"/>
      <c r="C868" s="34"/>
      <c r="D868" s="34"/>
      <c r="E868" s="34"/>
      <c r="S868" s="34"/>
      <c r="X868" s="34"/>
    </row>
    <row r="869" spans="1:24" x14ac:dyDescent="0.25">
      <c r="A869" s="33"/>
      <c r="B869" s="33"/>
      <c r="C869" s="34"/>
      <c r="D869" s="34"/>
      <c r="E869" s="34"/>
      <c r="S869" s="34"/>
      <c r="X869" s="34"/>
    </row>
    <row r="870" spans="1:24" x14ac:dyDescent="0.25">
      <c r="A870" s="33"/>
      <c r="B870" s="33"/>
      <c r="C870" s="34"/>
      <c r="D870" s="34"/>
      <c r="E870" s="34"/>
      <c r="S870" s="34"/>
      <c r="X870" s="34"/>
    </row>
    <row r="871" spans="1:24" x14ac:dyDescent="0.25">
      <c r="A871" s="33"/>
      <c r="B871" s="33"/>
      <c r="C871" s="34"/>
      <c r="D871" s="34"/>
      <c r="E871" s="34"/>
      <c r="S871" s="34"/>
      <c r="X871" s="34"/>
    </row>
    <row r="872" spans="1:24" x14ac:dyDescent="0.25">
      <c r="A872" s="33"/>
      <c r="B872" s="33"/>
      <c r="C872" s="34"/>
      <c r="D872" s="34"/>
      <c r="E872" s="34"/>
      <c r="S872" s="34"/>
      <c r="X872" s="34"/>
    </row>
    <row r="873" spans="1:24" x14ac:dyDescent="0.25">
      <c r="A873" s="33"/>
      <c r="B873" s="33"/>
      <c r="C873" s="34"/>
      <c r="D873" s="34"/>
      <c r="E873" s="34"/>
      <c r="S873" s="34"/>
      <c r="X873" s="34"/>
    </row>
    <row r="874" spans="1:24" x14ac:dyDescent="0.25">
      <c r="A874" s="33"/>
      <c r="B874" s="33"/>
      <c r="C874" s="34"/>
      <c r="D874" s="34"/>
      <c r="E874" s="34"/>
      <c r="S874" s="34"/>
      <c r="X874" s="34"/>
    </row>
    <row r="875" spans="1:24" x14ac:dyDescent="0.25">
      <c r="A875" s="33"/>
      <c r="B875" s="33"/>
      <c r="C875" s="34"/>
      <c r="D875" s="34"/>
      <c r="E875" s="34"/>
      <c r="S875" s="34"/>
      <c r="X875" s="34"/>
    </row>
    <row r="876" spans="1:24" x14ac:dyDescent="0.25">
      <c r="A876" s="33"/>
      <c r="B876" s="33"/>
      <c r="C876" s="34"/>
      <c r="D876" s="34"/>
      <c r="E876" s="34"/>
      <c r="S876" s="34"/>
      <c r="X876" s="34"/>
    </row>
    <row r="877" spans="1:24" x14ac:dyDescent="0.25">
      <c r="A877" s="33"/>
      <c r="B877" s="33"/>
      <c r="C877" s="34"/>
      <c r="D877" s="34"/>
      <c r="E877" s="34"/>
      <c r="S877" s="34"/>
      <c r="X877" s="34"/>
    </row>
    <row r="878" spans="1:24" x14ac:dyDescent="0.25">
      <c r="A878" s="33"/>
      <c r="B878" s="33"/>
      <c r="C878" s="34"/>
      <c r="D878" s="34"/>
      <c r="E878" s="34"/>
      <c r="S878" s="34"/>
      <c r="X878" s="34"/>
    </row>
    <row r="879" spans="1:24" x14ac:dyDescent="0.25">
      <c r="A879" s="33"/>
      <c r="B879" s="33"/>
      <c r="C879" s="34"/>
      <c r="D879" s="34"/>
      <c r="E879" s="34"/>
      <c r="S879" s="34"/>
      <c r="X879" s="34"/>
    </row>
    <row r="880" spans="1:24" x14ac:dyDescent="0.25">
      <c r="A880" s="33"/>
      <c r="B880" s="33"/>
      <c r="C880" s="34"/>
      <c r="D880" s="34"/>
      <c r="E880" s="34"/>
      <c r="S880" s="34"/>
      <c r="X880" s="34"/>
    </row>
    <row r="881" spans="1:24" x14ac:dyDescent="0.25">
      <c r="A881" s="33"/>
      <c r="B881" s="33"/>
      <c r="C881" s="34"/>
      <c r="D881" s="34"/>
      <c r="E881" s="34"/>
      <c r="S881" s="34"/>
      <c r="X881" s="34"/>
    </row>
    <row r="882" spans="1:24" x14ac:dyDescent="0.25">
      <c r="A882" s="33"/>
      <c r="B882" s="33"/>
      <c r="C882" s="34"/>
      <c r="D882" s="34"/>
      <c r="E882" s="34"/>
      <c r="S882" s="34"/>
      <c r="X882" s="34"/>
    </row>
    <row r="883" spans="1:24" x14ac:dyDescent="0.25">
      <c r="A883" s="33"/>
      <c r="B883" s="33"/>
      <c r="C883" s="34"/>
      <c r="D883" s="34"/>
      <c r="E883" s="34"/>
      <c r="S883" s="34"/>
      <c r="X883" s="34"/>
    </row>
    <row r="884" spans="1:24" x14ac:dyDescent="0.25">
      <c r="A884" s="33"/>
      <c r="B884" s="33"/>
      <c r="C884" s="34"/>
      <c r="D884" s="34"/>
      <c r="E884" s="34"/>
      <c r="S884" s="34"/>
      <c r="X884" s="34"/>
    </row>
    <row r="885" spans="1:24" x14ac:dyDescent="0.25">
      <c r="A885" s="33"/>
      <c r="B885" s="33"/>
      <c r="C885" s="34"/>
      <c r="D885" s="34"/>
      <c r="E885" s="34"/>
      <c r="S885" s="34"/>
      <c r="X885" s="34"/>
    </row>
    <row r="886" spans="1:24" x14ac:dyDescent="0.25">
      <c r="A886" s="33"/>
      <c r="B886" s="33"/>
      <c r="C886" s="34"/>
      <c r="D886" s="34"/>
      <c r="E886" s="34"/>
      <c r="S886" s="34"/>
      <c r="X886" s="34"/>
    </row>
    <row r="887" spans="1:24" x14ac:dyDescent="0.25">
      <c r="A887" s="33"/>
      <c r="B887" s="33"/>
      <c r="C887" s="34"/>
      <c r="D887" s="34"/>
      <c r="E887" s="34"/>
      <c r="S887" s="34"/>
      <c r="X887" s="34"/>
    </row>
    <row r="888" spans="1:24" x14ac:dyDescent="0.25">
      <c r="A888" s="33"/>
      <c r="B888" s="33"/>
      <c r="C888" s="34"/>
      <c r="D888" s="34"/>
      <c r="E888" s="34"/>
      <c r="S888" s="34"/>
      <c r="X888" s="34"/>
    </row>
    <row r="889" spans="1:24" x14ac:dyDescent="0.25">
      <c r="A889" s="33"/>
      <c r="B889" s="33"/>
      <c r="C889" s="34"/>
      <c r="D889" s="34"/>
      <c r="E889" s="34"/>
      <c r="S889" s="34"/>
      <c r="X889" s="34"/>
    </row>
    <row r="890" spans="1:24" x14ac:dyDescent="0.25">
      <c r="A890" s="33"/>
      <c r="B890" s="33"/>
      <c r="C890" s="34"/>
      <c r="D890" s="34"/>
      <c r="E890" s="34"/>
      <c r="S890" s="34"/>
      <c r="X890" s="34"/>
    </row>
    <row r="891" spans="1:24" x14ac:dyDescent="0.25">
      <c r="A891" s="33"/>
      <c r="B891" s="33"/>
      <c r="C891" s="34"/>
      <c r="D891" s="34"/>
      <c r="E891" s="34"/>
      <c r="S891" s="34"/>
      <c r="X891" s="34"/>
    </row>
    <row r="892" spans="1:24" x14ac:dyDescent="0.25">
      <c r="A892" s="33"/>
      <c r="B892" s="33"/>
      <c r="C892" s="34"/>
      <c r="D892" s="34"/>
      <c r="E892" s="34"/>
      <c r="S892" s="34"/>
      <c r="X892" s="34"/>
    </row>
    <row r="893" spans="1:24" x14ac:dyDescent="0.25">
      <c r="A893" s="33"/>
      <c r="B893" s="33"/>
      <c r="C893" s="34"/>
      <c r="D893" s="34"/>
      <c r="E893" s="34"/>
      <c r="S893" s="34"/>
      <c r="X893" s="34"/>
    </row>
    <row r="894" spans="1:24" x14ac:dyDescent="0.25">
      <c r="A894" s="33"/>
      <c r="B894" s="33"/>
      <c r="C894" s="34"/>
      <c r="D894" s="34"/>
      <c r="E894" s="34"/>
      <c r="S894" s="34"/>
      <c r="X894" s="34"/>
    </row>
    <row r="895" spans="1:24" x14ac:dyDescent="0.25">
      <c r="A895" s="33"/>
      <c r="B895" s="33"/>
      <c r="C895" s="34"/>
      <c r="D895" s="34"/>
      <c r="E895" s="34"/>
      <c r="S895" s="34"/>
      <c r="X895" s="34"/>
    </row>
    <row r="896" spans="1:24" x14ac:dyDescent="0.25">
      <c r="A896" s="33"/>
      <c r="B896" s="33"/>
      <c r="C896" s="34"/>
      <c r="D896" s="34"/>
      <c r="E896" s="34"/>
      <c r="S896" s="34"/>
      <c r="X896" s="34"/>
    </row>
    <row r="897" spans="1:24" x14ac:dyDescent="0.25">
      <c r="A897" s="33"/>
      <c r="B897" s="33"/>
      <c r="C897" s="34"/>
      <c r="D897" s="34"/>
      <c r="E897" s="34"/>
      <c r="S897" s="34"/>
      <c r="X897" s="34"/>
    </row>
    <row r="898" spans="1:24" x14ac:dyDescent="0.25">
      <c r="A898" s="33"/>
      <c r="B898" s="33"/>
      <c r="C898" s="34"/>
      <c r="D898" s="34"/>
      <c r="E898" s="34"/>
      <c r="S898" s="34"/>
      <c r="X898" s="34"/>
    </row>
    <row r="899" spans="1:24" x14ac:dyDescent="0.25">
      <c r="A899" s="33"/>
      <c r="B899" s="33"/>
      <c r="C899" s="34"/>
      <c r="D899" s="34"/>
      <c r="E899" s="34"/>
      <c r="S899" s="34"/>
      <c r="X899" s="34"/>
    </row>
    <row r="900" spans="1:24" x14ac:dyDescent="0.25">
      <c r="A900" s="33"/>
      <c r="B900" s="33"/>
      <c r="C900" s="34"/>
      <c r="D900" s="34"/>
      <c r="E900" s="34"/>
      <c r="S900" s="34"/>
      <c r="X900" s="34"/>
    </row>
    <row r="901" spans="1:24" x14ac:dyDescent="0.25">
      <c r="A901" s="33"/>
      <c r="B901" s="33"/>
      <c r="C901" s="34"/>
      <c r="D901" s="34"/>
      <c r="E901" s="34"/>
      <c r="S901" s="34"/>
      <c r="X901" s="34"/>
    </row>
    <row r="902" spans="1:24" x14ac:dyDescent="0.25">
      <c r="A902" s="33"/>
      <c r="B902" s="33"/>
      <c r="C902" s="34"/>
      <c r="D902" s="34"/>
      <c r="E902" s="34"/>
      <c r="S902" s="34"/>
      <c r="X902" s="34"/>
    </row>
    <row r="903" spans="1:24" x14ac:dyDescent="0.25">
      <c r="A903" s="33"/>
      <c r="B903" s="33"/>
      <c r="C903" s="34"/>
      <c r="D903" s="34"/>
      <c r="E903" s="34"/>
      <c r="S903" s="34"/>
      <c r="X903" s="34"/>
    </row>
    <row r="904" spans="1:24" x14ac:dyDescent="0.25">
      <c r="A904" s="33"/>
      <c r="B904" s="33"/>
      <c r="C904" s="34"/>
      <c r="D904" s="34"/>
      <c r="E904" s="34"/>
      <c r="S904" s="34"/>
      <c r="X904" s="34"/>
    </row>
    <row r="905" spans="1:24" x14ac:dyDescent="0.25">
      <c r="A905" s="33"/>
      <c r="B905" s="33"/>
      <c r="C905" s="34"/>
      <c r="D905" s="34"/>
      <c r="E905" s="34"/>
      <c r="S905" s="34"/>
      <c r="X905" s="34"/>
    </row>
    <row r="906" spans="1:24" x14ac:dyDescent="0.25">
      <c r="A906" s="33"/>
      <c r="B906" s="33"/>
      <c r="C906" s="34"/>
      <c r="D906" s="34"/>
      <c r="E906" s="34"/>
      <c r="S906" s="34"/>
      <c r="X906" s="34"/>
    </row>
    <row r="907" spans="1:24" x14ac:dyDescent="0.25">
      <c r="A907" s="33"/>
      <c r="B907" s="33"/>
      <c r="C907" s="34"/>
      <c r="D907" s="34"/>
      <c r="E907" s="34"/>
      <c r="S907" s="34"/>
      <c r="X907" s="34"/>
    </row>
    <row r="908" spans="1:24" x14ac:dyDescent="0.25">
      <c r="A908" s="33"/>
      <c r="B908" s="33"/>
      <c r="C908" s="34"/>
      <c r="D908" s="34"/>
      <c r="E908" s="34"/>
      <c r="S908" s="34"/>
      <c r="X908" s="34"/>
    </row>
    <row r="909" spans="1:24" x14ac:dyDescent="0.25">
      <c r="A909" s="33"/>
      <c r="B909" s="33"/>
      <c r="C909" s="34"/>
      <c r="D909" s="34"/>
      <c r="E909" s="34"/>
      <c r="S909" s="34"/>
      <c r="X909" s="34"/>
    </row>
    <row r="910" spans="1:24" x14ac:dyDescent="0.25">
      <c r="A910" s="33"/>
      <c r="B910" s="33"/>
      <c r="C910" s="34"/>
      <c r="D910" s="34"/>
      <c r="E910" s="34"/>
      <c r="S910" s="34"/>
      <c r="X910" s="34"/>
    </row>
    <row r="911" spans="1:24" x14ac:dyDescent="0.25">
      <c r="A911" s="33"/>
      <c r="B911" s="33"/>
      <c r="C911" s="34"/>
      <c r="D911" s="34"/>
      <c r="E911" s="34"/>
      <c r="S911" s="34"/>
      <c r="X911" s="34"/>
    </row>
    <row r="912" spans="1:24" x14ac:dyDescent="0.25">
      <c r="A912" s="33"/>
      <c r="B912" s="33"/>
      <c r="C912" s="34"/>
      <c r="D912" s="34"/>
      <c r="E912" s="34"/>
      <c r="S912" s="34"/>
      <c r="X912" s="34"/>
    </row>
    <row r="913" spans="1:24" x14ac:dyDescent="0.25">
      <c r="A913" s="33"/>
      <c r="B913" s="33"/>
      <c r="C913" s="34"/>
      <c r="D913" s="34"/>
      <c r="E913" s="34"/>
      <c r="S913" s="34"/>
      <c r="X913" s="34"/>
    </row>
    <row r="914" spans="1:24" x14ac:dyDescent="0.25">
      <c r="A914" s="33"/>
      <c r="B914" s="33"/>
      <c r="C914" s="34"/>
      <c r="D914" s="34"/>
      <c r="E914" s="34"/>
      <c r="S914" s="34"/>
      <c r="X914" s="34"/>
    </row>
    <row r="915" spans="1:24" x14ac:dyDescent="0.25">
      <c r="A915" s="33"/>
      <c r="B915" s="33"/>
      <c r="C915" s="34"/>
      <c r="D915" s="34"/>
      <c r="E915" s="34"/>
      <c r="S915" s="34"/>
      <c r="X915" s="34"/>
    </row>
    <row r="916" spans="1:24" x14ac:dyDescent="0.25">
      <c r="A916" s="33"/>
      <c r="B916" s="33"/>
      <c r="C916" s="34"/>
      <c r="D916" s="34"/>
      <c r="E916" s="34"/>
      <c r="S916" s="34"/>
      <c r="X916" s="34"/>
    </row>
    <row r="917" spans="1:24" x14ac:dyDescent="0.25">
      <c r="A917" s="33"/>
      <c r="B917" s="33"/>
      <c r="C917" s="34"/>
      <c r="D917" s="34"/>
      <c r="E917" s="34"/>
      <c r="S917" s="34"/>
      <c r="X917" s="34"/>
    </row>
    <row r="918" spans="1:24" x14ac:dyDescent="0.25">
      <c r="A918" s="33"/>
      <c r="B918" s="33"/>
      <c r="C918" s="34"/>
      <c r="D918" s="34"/>
      <c r="E918" s="34"/>
      <c r="S918" s="34"/>
      <c r="X918" s="34"/>
    </row>
    <row r="919" spans="1:24" x14ac:dyDescent="0.25">
      <c r="A919" s="33"/>
      <c r="B919" s="33"/>
      <c r="C919" s="34"/>
      <c r="D919" s="34"/>
      <c r="E919" s="34"/>
      <c r="S919" s="34"/>
      <c r="X919" s="34"/>
    </row>
    <row r="920" spans="1:24" x14ac:dyDescent="0.25">
      <c r="A920" s="33"/>
      <c r="B920" s="33"/>
      <c r="C920" s="34"/>
      <c r="D920" s="34"/>
      <c r="E920" s="34"/>
      <c r="S920" s="34"/>
      <c r="X920" s="34"/>
    </row>
    <row r="921" spans="1:24" x14ac:dyDescent="0.25">
      <c r="A921" s="33"/>
      <c r="B921" s="33"/>
      <c r="C921" s="34"/>
      <c r="D921" s="34"/>
      <c r="E921" s="34"/>
      <c r="S921" s="34"/>
      <c r="X921" s="34"/>
    </row>
    <row r="922" spans="1:24" x14ac:dyDescent="0.25">
      <c r="A922" s="33"/>
      <c r="B922" s="33"/>
      <c r="C922" s="34"/>
      <c r="D922" s="34"/>
      <c r="E922" s="34"/>
      <c r="S922" s="34"/>
      <c r="X922" s="34"/>
    </row>
    <row r="923" spans="1:24" x14ac:dyDescent="0.25">
      <c r="A923" s="33"/>
      <c r="B923" s="33"/>
      <c r="C923" s="34"/>
      <c r="D923" s="34"/>
      <c r="E923" s="34"/>
      <c r="S923" s="34"/>
      <c r="X923" s="34"/>
    </row>
    <row r="924" spans="1:24" x14ac:dyDescent="0.25">
      <c r="A924" s="33"/>
      <c r="B924" s="33"/>
      <c r="C924" s="34"/>
      <c r="D924" s="34"/>
      <c r="E924" s="34"/>
      <c r="S924" s="34"/>
      <c r="X924" s="34"/>
    </row>
    <row r="925" spans="1:24" x14ac:dyDescent="0.25">
      <c r="A925" s="33"/>
      <c r="B925" s="33"/>
      <c r="C925" s="34"/>
      <c r="D925" s="34"/>
      <c r="E925" s="34"/>
      <c r="S925" s="34"/>
      <c r="X925" s="34"/>
    </row>
    <row r="926" spans="1:24" x14ac:dyDescent="0.25">
      <c r="A926" s="33"/>
      <c r="B926" s="33"/>
      <c r="C926" s="34"/>
      <c r="D926" s="34"/>
      <c r="E926" s="34"/>
      <c r="S926" s="34"/>
      <c r="X926" s="34"/>
    </row>
    <row r="927" spans="1:24" x14ac:dyDescent="0.25">
      <c r="A927" s="33"/>
      <c r="B927" s="33"/>
      <c r="C927" s="34"/>
      <c r="D927" s="34"/>
      <c r="E927" s="34"/>
      <c r="S927" s="34"/>
      <c r="X927" s="34"/>
    </row>
    <row r="928" spans="1:24" x14ac:dyDescent="0.25">
      <c r="A928" s="33"/>
      <c r="B928" s="33"/>
      <c r="C928" s="34"/>
      <c r="D928" s="34"/>
      <c r="E928" s="34"/>
      <c r="S928" s="34"/>
      <c r="X928" s="34"/>
    </row>
    <row r="929" spans="1:24" x14ac:dyDescent="0.25">
      <c r="A929" s="33"/>
      <c r="B929" s="33"/>
      <c r="C929" s="34"/>
      <c r="D929" s="34"/>
      <c r="E929" s="34"/>
      <c r="S929" s="34"/>
      <c r="X929" s="34"/>
    </row>
    <row r="930" spans="1:24" x14ac:dyDescent="0.25">
      <c r="A930" s="33"/>
      <c r="B930" s="33"/>
      <c r="C930" s="34"/>
      <c r="D930" s="34"/>
      <c r="E930" s="34"/>
      <c r="S930" s="34"/>
      <c r="X930" s="34"/>
    </row>
    <row r="931" spans="1:24" x14ac:dyDescent="0.25">
      <c r="A931" s="33"/>
      <c r="B931" s="33"/>
      <c r="C931" s="34"/>
      <c r="D931" s="34"/>
      <c r="E931" s="34"/>
      <c r="S931" s="34"/>
      <c r="X931" s="34"/>
    </row>
    <row r="932" spans="1:24" x14ac:dyDescent="0.25">
      <c r="A932" s="33"/>
      <c r="B932" s="33"/>
      <c r="C932" s="34"/>
      <c r="D932" s="34"/>
      <c r="E932" s="34"/>
      <c r="S932" s="34"/>
      <c r="X932" s="34"/>
    </row>
    <row r="933" spans="1:24" x14ac:dyDescent="0.25">
      <c r="A933" s="33"/>
      <c r="B933" s="33"/>
      <c r="C933" s="34"/>
      <c r="D933" s="34"/>
      <c r="E933" s="34"/>
      <c r="S933" s="34"/>
      <c r="X933" s="34"/>
    </row>
    <row r="934" spans="1:24" x14ac:dyDescent="0.25">
      <c r="A934" s="33"/>
      <c r="B934" s="33"/>
      <c r="C934" s="34"/>
      <c r="D934" s="34"/>
      <c r="E934" s="34"/>
      <c r="S934" s="34"/>
      <c r="X934" s="34"/>
    </row>
    <row r="935" spans="1:24" x14ac:dyDescent="0.25">
      <c r="A935" s="33"/>
      <c r="B935" s="33"/>
      <c r="C935" s="34"/>
      <c r="D935" s="34"/>
      <c r="E935" s="34"/>
      <c r="S935" s="34"/>
      <c r="X935" s="34"/>
    </row>
    <row r="936" spans="1:24" x14ac:dyDescent="0.25">
      <c r="A936" s="33"/>
      <c r="B936" s="33"/>
      <c r="C936" s="34"/>
      <c r="D936" s="34"/>
      <c r="E936" s="34"/>
      <c r="S936" s="34"/>
      <c r="X936" s="34"/>
    </row>
    <row r="937" spans="1:24" x14ac:dyDescent="0.25">
      <c r="A937" s="33"/>
      <c r="B937" s="33"/>
      <c r="C937" s="34"/>
      <c r="D937" s="34"/>
      <c r="E937" s="34"/>
      <c r="S937" s="34"/>
      <c r="X937" s="34"/>
    </row>
    <row r="938" spans="1:24" x14ac:dyDescent="0.25">
      <c r="A938" s="33"/>
      <c r="B938" s="33"/>
      <c r="C938" s="34"/>
      <c r="D938" s="34"/>
      <c r="E938" s="34"/>
      <c r="S938" s="34"/>
      <c r="X938" s="34"/>
    </row>
    <row r="939" spans="1:24" x14ac:dyDescent="0.25">
      <c r="A939" s="33"/>
      <c r="B939" s="33"/>
      <c r="C939" s="34"/>
      <c r="D939" s="34"/>
      <c r="E939" s="34"/>
      <c r="S939" s="34"/>
      <c r="X939" s="34"/>
    </row>
    <row r="940" spans="1:24" x14ac:dyDescent="0.25">
      <c r="A940" s="33"/>
      <c r="B940" s="33"/>
      <c r="C940" s="34"/>
      <c r="D940" s="34"/>
      <c r="E940" s="34"/>
      <c r="S940" s="34"/>
      <c r="X940" s="34"/>
    </row>
    <row r="941" spans="1:24" x14ac:dyDescent="0.25">
      <c r="A941" s="33"/>
      <c r="B941" s="33"/>
      <c r="C941" s="34"/>
      <c r="D941" s="34"/>
      <c r="E941" s="34"/>
      <c r="S941" s="34"/>
      <c r="X941" s="34"/>
    </row>
    <row r="942" spans="1:24" x14ac:dyDescent="0.25">
      <c r="A942" s="33"/>
      <c r="B942" s="33"/>
      <c r="C942" s="34"/>
      <c r="D942" s="34"/>
      <c r="E942" s="34"/>
      <c r="S942" s="34"/>
      <c r="X942" s="34"/>
    </row>
    <row r="943" spans="1:24" x14ac:dyDescent="0.25">
      <c r="A943" s="33"/>
      <c r="B943" s="33"/>
      <c r="C943" s="34"/>
      <c r="D943" s="34"/>
      <c r="E943" s="34"/>
      <c r="S943" s="34"/>
      <c r="X943" s="34"/>
    </row>
    <row r="944" spans="1:24" x14ac:dyDescent="0.25">
      <c r="A944" s="33"/>
      <c r="B944" s="33"/>
      <c r="C944" s="34"/>
      <c r="D944" s="34"/>
      <c r="E944" s="34"/>
      <c r="S944" s="34"/>
      <c r="X944" s="34"/>
    </row>
    <row r="945" spans="1:24" x14ac:dyDescent="0.25">
      <c r="A945" s="33"/>
      <c r="B945" s="33"/>
      <c r="C945" s="34"/>
      <c r="D945" s="34"/>
      <c r="E945" s="34"/>
      <c r="S945" s="34"/>
      <c r="X945" s="34"/>
    </row>
    <row r="946" spans="1:24" x14ac:dyDescent="0.25">
      <c r="A946" s="33"/>
      <c r="B946" s="33"/>
      <c r="C946" s="34"/>
      <c r="D946" s="34"/>
      <c r="E946" s="34"/>
      <c r="S946" s="34"/>
      <c r="X946" s="34"/>
    </row>
    <row r="947" spans="1:24" x14ac:dyDescent="0.25">
      <c r="A947" s="33"/>
      <c r="B947" s="33"/>
      <c r="C947" s="34"/>
      <c r="D947" s="34"/>
      <c r="E947" s="34"/>
      <c r="S947" s="34"/>
      <c r="X947" s="34"/>
    </row>
    <row r="948" spans="1:24" x14ac:dyDescent="0.25">
      <c r="A948" s="33"/>
      <c r="B948" s="33"/>
      <c r="C948" s="34"/>
      <c r="D948" s="34"/>
      <c r="E948" s="34"/>
      <c r="S948" s="34"/>
      <c r="X948" s="34"/>
    </row>
    <row r="949" spans="1:24" x14ac:dyDescent="0.25">
      <c r="A949" s="33"/>
      <c r="B949" s="33"/>
      <c r="C949" s="34"/>
      <c r="D949" s="34"/>
      <c r="E949" s="34"/>
      <c r="S949" s="34"/>
      <c r="X949" s="34"/>
    </row>
    <row r="950" spans="1:24" x14ac:dyDescent="0.25">
      <c r="A950" s="33"/>
      <c r="B950" s="33"/>
      <c r="C950" s="34"/>
      <c r="D950" s="34"/>
      <c r="E950" s="34"/>
      <c r="S950" s="34"/>
      <c r="X950" s="34"/>
    </row>
    <row r="951" spans="1:24" x14ac:dyDescent="0.25">
      <c r="A951" s="33"/>
      <c r="B951" s="33"/>
      <c r="C951" s="34"/>
      <c r="D951" s="34"/>
      <c r="E951" s="34"/>
      <c r="S951" s="34"/>
      <c r="X951" s="34"/>
    </row>
    <row r="952" spans="1:24" x14ac:dyDescent="0.25">
      <c r="A952" s="33"/>
      <c r="B952" s="33"/>
      <c r="C952" s="34"/>
      <c r="D952" s="34"/>
      <c r="E952" s="34"/>
      <c r="S952" s="34"/>
      <c r="X952" s="34"/>
    </row>
    <row r="953" spans="1:24" x14ac:dyDescent="0.25">
      <c r="A953" s="33"/>
      <c r="B953" s="33"/>
      <c r="C953" s="34"/>
      <c r="D953" s="34"/>
      <c r="E953" s="34"/>
      <c r="S953" s="34"/>
      <c r="X953" s="34"/>
    </row>
    <row r="954" spans="1:24" x14ac:dyDescent="0.25">
      <c r="A954" s="33"/>
      <c r="B954" s="33"/>
      <c r="C954" s="34"/>
      <c r="D954" s="34"/>
      <c r="E954" s="34"/>
      <c r="S954" s="34"/>
      <c r="X954" s="34"/>
    </row>
    <row r="955" spans="1:24" x14ac:dyDescent="0.25">
      <c r="A955" s="33"/>
      <c r="B955" s="33"/>
      <c r="C955" s="34"/>
      <c r="D955" s="34"/>
      <c r="E955" s="34"/>
      <c r="S955" s="34"/>
      <c r="X955" s="34"/>
    </row>
    <row r="956" spans="1:24" x14ac:dyDescent="0.25">
      <c r="A956" s="33"/>
      <c r="B956" s="33"/>
      <c r="C956" s="34"/>
      <c r="D956" s="34"/>
      <c r="E956" s="34"/>
      <c r="S956" s="34"/>
      <c r="X956" s="34"/>
    </row>
    <row r="957" spans="1:24" x14ac:dyDescent="0.25">
      <c r="A957" s="33"/>
      <c r="B957" s="33"/>
      <c r="C957" s="34"/>
      <c r="D957" s="34"/>
      <c r="E957" s="34"/>
      <c r="S957" s="34"/>
      <c r="X957" s="34"/>
    </row>
    <row r="958" spans="1:24" x14ac:dyDescent="0.25">
      <c r="A958" s="33"/>
      <c r="B958" s="33"/>
      <c r="C958" s="34"/>
      <c r="D958" s="34"/>
      <c r="E958" s="34"/>
      <c r="S958" s="34"/>
      <c r="X958" s="34"/>
    </row>
    <row r="959" spans="1:24" x14ac:dyDescent="0.25">
      <c r="A959" s="33"/>
      <c r="B959" s="33"/>
      <c r="C959" s="34"/>
      <c r="D959" s="34"/>
      <c r="E959" s="34"/>
      <c r="S959" s="34"/>
      <c r="X959" s="34"/>
    </row>
    <row r="960" spans="1:24" x14ac:dyDescent="0.25">
      <c r="A960" s="33"/>
      <c r="B960" s="33"/>
      <c r="C960" s="34"/>
      <c r="D960" s="34"/>
      <c r="E960" s="34"/>
      <c r="S960" s="34"/>
      <c r="X960" s="34"/>
    </row>
    <row r="961" spans="1:24" x14ac:dyDescent="0.25">
      <c r="A961" s="33"/>
      <c r="B961" s="33"/>
      <c r="C961" s="34"/>
      <c r="D961" s="34"/>
      <c r="E961" s="34"/>
      <c r="S961" s="34"/>
      <c r="X961" s="34"/>
    </row>
    <row r="962" spans="1:24" x14ac:dyDescent="0.25">
      <c r="A962" s="33"/>
      <c r="B962" s="33"/>
      <c r="C962" s="34"/>
      <c r="D962" s="34"/>
      <c r="E962" s="34"/>
      <c r="S962" s="34"/>
      <c r="X962" s="34"/>
    </row>
    <row r="963" spans="1:24" x14ac:dyDescent="0.25">
      <c r="A963" s="33"/>
      <c r="B963" s="33"/>
      <c r="C963" s="34"/>
      <c r="D963" s="34"/>
      <c r="E963" s="34"/>
      <c r="S963" s="34"/>
      <c r="X963" s="34"/>
    </row>
    <row r="964" spans="1:24" x14ac:dyDescent="0.25">
      <c r="A964" s="33"/>
      <c r="B964" s="33"/>
      <c r="C964" s="34"/>
      <c r="D964" s="34"/>
      <c r="E964" s="34"/>
      <c r="S964" s="34"/>
      <c r="X964" s="34"/>
    </row>
    <row r="965" spans="1:24" x14ac:dyDescent="0.25">
      <c r="A965" s="33"/>
      <c r="B965" s="33"/>
      <c r="C965" s="34"/>
      <c r="D965" s="34"/>
      <c r="E965" s="34"/>
      <c r="S965" s="34"/>
      <c r="X965" s="34"/>
    </row>
    <row r="966" spans="1:24" x14ac:dyDescent="0.25">
      <c r="A966" s="33"/>
      <c r="B966" s="33"/>
      <c r="C966" s="34"/>
      <c r="D966" s="34"/>
      <c r="E966" s="34"/>
      <c r="S966" s="34"/>
      <c r="X966" s="3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0"/>
  <sheetViews>
    <sheetView topLeftCell="O1" workbookViewId="0">
      <selection activeCell="X10" sqref="A2:X10"/>
    </sheetView>
  </sheetViews>
  <sheetFormatPr defaultColWidth="12.6640625" defaultRowHeight="15.75" customHeight="1" x14ac:dyDescent="0.25"/>
  <cols>
    <col min="1" max="1" width="6.77734375" customWidth="1"/>
    <col min="2" max="2" width="5.109375" customWidth="1"/>
    <col min="3" max="3" width="5" customWidth="1"/>
    <col min="4" max="4" width="13.33203125" customWidth="1"/>
    <col min="5" max="5" width="6.21875" customWidth="1"/>
    <col min="6" max="6" width="5" customWidth="1"/>
    <col min="7" max="7" width="3.77734375" customWidth="1"/>
    <col min="8" max="8" width="6.6640625" customWidth="1"/>
    <col min="9" max="9" width="7.6640625" customWidth="1"/>
    <col min="10" max="10" width="12.21875" customWidth="1"/>
    <col min="11" max="11" width="7.6640625" customWidth="1"/>
    <col min="12" max="12" width="10.77734375" customWidth="1"/>
    <col min="13" max="13" width="12" customWidth="1"/>
    <col min="14" max="14" width="15.6640625" customWidth="1"/>
    <col min="15" max="15" width="9.44140625" customWidth="1"/>
    <col min="16" max="16" width="13.6640625" customWidth="1"/>
    <col min="17" max="17" width="16" customWidth="1"/>
    <col min="18" max="18" width="18" customWidth="1"/>
    <col min="19" max="19" width="10.44140625" customWidth="1"/>
    <col min="20" max="20" width="6.77734375" customWidth="1"/>
    <col min="21" max="21" width="3.77734375" customWidth="1"/>
    <col min="22" max="22" width="8.33203125" customWidth="1"/>
    <col min="23" max="23" width="5.33203125" bestFit="1" customWidth="1"/>
    <col min="24" max="24" width="5.8867187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6" t="s">
        <v>7</v>
      </c>
      <c r="I1" s="3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3" t="s">
        <v>13</v>
      </c>
      <c r="O1" s="3" t="s">
        <v>14</v>
      </c>
      <c r="P1" s="6" t="s">
        <v>15</v>
      </c>
      <c r="Q1" s="3" t="s">
        <v>16</v>
      </c>
      <c r="R1" s="6" t="s">
        <v>17</v>
      </c>
      <c r="S1" s="1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1" t="s">
        <v>23</v>
      </c>
    </row>
    <row r="2" spans="1:24" x14ac:dyDescent="0.25">
      <c r="A2" s="9"/>
      <c r="B2" s="9"/>
      <c r="C2" s="10"/>
      <c r="D2" s="9"/>
      <c r="E2" s="9"/>
      <c r="F2" s="12"/>
      <c r="G2" s="14"/>
      <c r="H2" s="18"/>
      <c r="I2" s="19"/>
      <c r="J2" s="18"/>
      <c r="K2" s="18"/>
      <c r="L2" s="18"/>
      <c r="M2" s="18"/>
      <c r="N2" s="12"/>
      <c r="O2" s="19"/>
      <c r="P2" s="18"/>
      <c r="Q2" s="12"/>
      <c r="R2" s="18"/>
      <c r="S2" s="22"/>
      <c r="T2" s="18"/>
      <c r="U2" s="18"/>
      <c r="V2" s="18"/>
      <c r="W2" s="24"/>
      <c r="X2" s="22"/>
    </row>
    <row r="3" spans="1:24" x14ac:dyDescent="0.25">
      <c r="A3" s="9"/>
      <c r="B3" s="9"/>
      <c r="C3" s="10"/>
      <c r="D3" s="9"/>
      <c r="E3" s="9"/>
      <c r="F3" s="12"/>
      <c r="G3" s="14"/>
      <c r="H3" s="18"/>
      <c r="I3" s="19"/>
      <c r="J3" s="18"/>
      <c r="K3" s="18"/>
      <c r="L3" s="18"/>
      <c r="M3" s="18"/>
      <c r="N3" s="12"/>
      <c r="O3" s="19"/>
      <c r="P3" s="18"/>
      <c r="Q3" s="12"/>
      <c r="R3" s="18"/>
      <c r="S3" s="22"/>
      <c r="T3" s="18"/>
      <c r="U3" s="18"/>
      <c r="V3" s="18"/>
      <c r="W3" s="24"/>
      <c r="X3" s="22"/>
    </row>
    <row r="4" spans="1:24" x14ac:dyDescent="0.25">
      <c r="A4" s="9"/>
      <c r="B4" s="9"/>
      <c r="C4" s="10"/>
      <c r="D4" s="9"/>
      <c r="E4" s="9"/>
      <c r="F4" s="12"/>
      <c r="G4" s="14"/>
      <c r="H4" s="18"/>
      <c r="I4" s="19"/>
      <c r="J4" s="18"/>
      <c r="K4" s="18"/>
      <c r="L4" s="18"/>
      <c r="M4" s="18"/>
      <c r="N4" s="12"/>
      <c r="O4" s="19"/>
      <c r="P4" s="18"/>
      <c r="Q4" s="12"/>
      <c r="R4" s="18"/>
      <c r="S4" s="22"/>
      <c r="T4" s="18"/>
      <c r="U4" s="18"/>
      <c r="V4" s="18"/>
      <c r="W4" s="24"/>
      <c r="X4" s="22"/>
    </row>
    <row r="5" spans="1:24" x14ac:dyDescent="0.25">
      <c r="A5" s="9"/>
      <c r="B5" s="9"/>
      <c r="C5" s="10"/>
      <c r="D5" s="9"/>
      <c r="E5" s="9"/>
      <c r="F5" s="12"/>
      <c r="G5" s="14"/>
      <c r="H5" s="18"/>
      <c r="I5" s="19"/>
      <c r="J5" s="18"/>
      <c r="K5" s="18"/>
      <c r="L5" s="18"/>
      <c r="M5" s="18"/>
      <c r="N5" s="12"/>
      <c r="O5" s="19"/>
      <c r="P5" s="18"/>
      <c r="Q5" s="12"/>
      <c r="R5" s="18"/>
      <c r="S5" s="22"/>
      <c r="T5" s="18"/>
      <c r="U5" s="18"/>
      <c r="V5" s="18"/>
      <c r="W5" s="24"/>
      <c r="X5" s="22"/>
    </row>
    <row r="6" spans="1:24" x14ac:dyDescent="0.25">
      <c r="A6" s="9"/>
      <c r="B6" s="9"/>
      <c r="C6" s="10"/>
      <c r="D6" s="9"/>
      <c r="E6" s="9"/>
      <c r="F6" s="12"/>
      <c r="G6" s="14"/>
      <c r="H6" s="18"/>
      <c r="I6" s="19"/>
      <c r="J6" s="18"/>
      <c r="K6" s="18"/>
      <c r="L6" s="18"/>
      <c r="M6" s="18"/>
      <c r="N6" s="12"/>
      <c r="O6" s="19"/>
      <c r="P6" s="18"/>
      <c r="Q6" s="12"/>
      <c r="R6" s="18"/>
      <c r="S6" s="22"/>
      <c r="T6" s="18"/>
      <c r="U6" s="18"/>
      <c r="V6" s="18"/>
      <c r="W6" s="24"/>
      <c r="X6" s="22"/>
    </row>
    <row r="7" spans="1:24" x14ac:dyDescent="0.25">
      <c r="A7" s="9"/>
      <c r="B7" s="9"/>
      <c r="C7" s="10"/>
      <c r="D7" s="9"/>
      <c r="E7" s="9"/>
      <c r="F7" s="12"/>
      <c r="G7" s="14"/>
      <c r="H7" s="18"/>
      <c r="I7" s="19"/>
      <c r="J7" s="18"/>
      <c r="K7" s="18"/>
      <c r="L7" s="18"/>
      <c r="M7" s="18"/>
      <c r="N7" s="12"/>
      <c r="O7" s="19"/>
      <c r="P7" s="18"/>
      <c r="Q7" s="12"/>
      <c r="R7" s="18"/>
      <c r="S7" s="22"/>
      <c r="T7" s="18"/>
      <c r="U7" s="18"/>
      <c r="V7" s="18"/>
      <c r="W7" s="24"/>
      <c r="X7" s="22"/>
    </row>
    <row r="8" spans="1:24" x14ac:dyDescent="0.25">
      <c r="A8" s="9"/>
      <c r="B8" s="9"/>
      <c r="C8" s="10"/>
      <c r="D8" s="9"/>
      <c r="E8" s="9"/>
      <c r="F8" s="12"/>
      <c r="G8" s="14"/>
      <c r="H8" s="18"/>
      <c r="I8" s="19"/>
      <c r="J8" s="18"/>
      <c r="K8" s="18"/>
      <c r="L8" s="18"/>
      <c r="M8" s="18"/>
      <c r="N8" s="12"/>
      <c r="O8" s="19"/>
      <c r="P8" s="18"/>
      <c r="Q8" s="12"/>
      <c r="R8" s="18"/>
      <c r="S8" s="22"/>
      <c r="T8" s="18"/>
      <c r="U8" s="18"/>
      <c r="V8" s="18"/>
      <c r="W8" s="24"/>
      <c r="X8" s="22"/>
    </row>
    <row r="9" spans="1:24" x14ac:dyDescent="0.25">
      <c r="A9" s="9"/>
      <c r="B9" s="9"/>
      <c r="C9" s="10"/>
      <c r="D9" s="9"/>
      <c r="E9" s="9"/>
      <c r="F9" s="12"/>
      <c r="G9" s="14"/>
      <c r="H9" s="18"/>
      <c r="I9" s="19"/>
      <c r="J9" s="18"/>
      <c r="K9" s="18"/>
      <c r="L9" s="18"/>
      <c r="M9" s="18"/>
      <c r="N9" s="12"/>
      <c r="O9" s="19"/>
      <c r="P9" s="18"/>
      <c r="Q9" s="12"/>
      <c r="R9" s="18"/>
      <c r="S9" s="22"/>
      <c r="T9" s="18"/>
      <c r="U9" s="18"/>
      <c r="V9" s="18"/>
      <c r="W9" s="24"/>
      <c r="X9" s="22"/>
    </row>
    <row r="10" spans="1:24" x14ac:dyDescent="0.25">
      <c r="A10" s="9"/>
      <c r="B10" s="9"/>
      <c r="C10" s="10"/>
      <c r="D10" s="9"/>
      <c r="E10" s="9"/>
      <c r="F10" s="12"/>
      <c r="G10" s="14"/>
      <c r="H10" s="18"/>
      <c r="I10" s="19"/>
      <c r="J10" s="18"/>
      <c r="K10" s="18"/>
      <c r="L10" s="18"/>
      <c r="M10" s="18"/>
      <c r="N10" s="12"/>
      <c r="O10" s="19"/>
      <c r="P10" s="18"/>
      <c r="Q10" s="12"/>
      <c r="R10" s="18"/>
      <c r="S10" s="22"/>
      <c r="T10" s="18"/>
      <c r="U10" s="18"/>
      <c r="V10" s="18"/>
      <c r="W10" s="24"/>
      <c r="X10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6"/>
  <sheetViews>
    <sheetView topLeftCell="E1" workbookViewId="0"/>
  </sheetViews>
  <sheetFormatPr defaultColWidth="12.6640625" defaultRowHeight="15.75" customHeight="1" x14ac:dyDescent="0.25"/>
  <cols>
    <col min="1" max="1" width="6.77734375" customWidth="1"/>
    <col min="2" max="2" width="12.21875" customWidth="1"/>
    <col min="3" max="3" width="5" customWidth="1"/>
    <col min="4" max="4" width="22.88671875" customWidth="1"/>
    <col min="5" max="5" width="6.21875" customWidth="1"/>
    <col min="6" max="6" width="5" customWidth="1"/>
    <col min="7" max="7" width="6.109375" customWidth="1"/>
    <col min="8" max="8" width="6.6640625" customWidth="1"/>
    <col min="9" max="9" width="7.6640625" customWidth="1"/>
    <col min="10" max="10" width="12.21875" customWidth="1"/>
    <col min="11" max="11" width="7.6640625" customWidth="1"/>
    <col min="12" max="12" width="10.77734375" customWidth="1"/>
    <col min="13" max="13" width="12" customWidth="1"/>
    <col min="14" max="14" width="15.6640625" customWidth="1"/>
    <col min="15" max="15" width="9.44140625" customWidth="1"/>
    <col min="16" max="16" width="13.6640625" customWidth="1"/>
    <col min="17" max="17" width="16" customWidth="1"/>
    <col min="18" max="18" width="18" customWidth="1"/>
    <col min="19" max="19" width="10.44140625" customWidth="1"/>
    <col min="20" max="20" width="6.77734375" customWidth="1"/>
    <col min="21" max="21" width="3.77734375" customWidth="1"/>
    <col min="22" max="22" width="8.33203125" customWidth="1"/>
    <col min="23" max="23" width="5" customWidth="1"/>
    <col min="24" max="24" width="5.8867187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6" t="s">
        <v>7</v>
      </c>
      <c r="I1" s="3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3" t="s">
        <v>13</v>
      </c>
      <c r="O1" s="3" t="s">
        <v>14</v>
      </c>
      <c r="P1" s="6" t="s">
        <v>15</v>
      </c>
      <c r="Q1" s="3" t="s">
        <v>16</v>
      </c>
      <c r="R1" s="6" t="s">
        <v>17</v>
      </c>
      <c r="S1" s="1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1" t="s">
        <v>23</v>
      </c>
    </row>
    <row r="2" spans="1:24" x14ac:dyDescent="0.25">
      <c r="A2" s="9" t="s">
        <v>24</v>
      </c>
      <c r="B2" s="9" t="s">
        <v>689</v>
      </c>
      <c r="C2" s="10"/>
      <c r="D2" s="9" t="s">
        <v>30</v>
      </c>
      <c r="E2" s="9" t="s">
        <v>33</v>
      </c>
      <c r="F2" s="12">
        <v>1</v>
      </c>
      <c r="G2" s="14">
        <v>16729</v>
      </c>
      <c r="H2" s="18">
        <f t="shared" ref="H2:H6" si="0">F2*G2</f>
        <v>16729</v>
      </c>
      <c r="I2" s="19">
        <v>0.18</v>
      </c>
      <c r="J2" s="18">
        <f t="shared" ref="J2:J6" si="1">H2*(100%+I2)</f>
        <v>19740.219999999998</v>
      </c>
      <c r="K2" s="18">
        <v>24152</v>
      </c>
      <c r="L2" s="18">
        <f t="shared" ref="L2:L6" si="2">K2*F2</f>
        <v>24152</v>
      </c>
      <c r="M2" s="18">
        <f t="shared" ref="M2:M6" si="3">L2*(100%+I2)</f>
        <v>28499.359999999997</v>
      </c>
      <c r="N2" s="12">
        <v>0</v>
      </c>
      <c r="O2" s="19">
        <v>0.18</v>
      </c>
      <c r="P2" s="18">
        <f t="shared" ref="P2:P6" si="4">N2*(100%+O2)</f>
        <v>0</v>
      </c>
      <c r="Q2" s="12">
        <v>0</v>
      </c>
      <c r="R2" s="18">
        <f t="shared" ref="R2:R6" si="5">M2+P2</f>
        <v>28499.359999999997</v>
      </c>
      <c r="S2" s="22">
        <f t="shared" ref="S2:S6" si="6">MROUND(R2,50)-1</f>
        <v>28499</v>
      </c>
      <c r="T2" s="18">
        <f t="shared" ref="T2:T6" si="7">S2-R2</f>
        <v>-0.3599999999969441</v>
      </c>
      <c r="U2" s="18">
        <f t="shared" ref="U2:U6" si="8">S2-J2-Q2</f>
        <v>8758.7800000000025</v>
      </c>
      <c r="V2" s="18">
        <f t="shared" ref="V2:V6" si="9">U2/(100%+I2)</f>
        <v>7422.6949152542402</v>
      </c>
      <c r="W2" s="24">
        <f t="shared" ref="W2:W6" si="10">V2/H2</f>
        <v>0.44370224850584256</v>
      </c>
      <c r="X2" s="22"/>
    </row>
    <row r="3" spans="1:24" x14ac:dyDescent="0.25">
      <c r="A3" s="9" t="s">
        <v>24</v>
      </c>
      <c r="B3" s="9" t="s">
        <v>686</v>
      </c>
      <c r="C3" s="10"/>
      <c r="D3" s="9" t="s">
        <v>38</v>
      </c>
      <c r="E3" s="9" t="s">
        <v>39</v>
      </c>
      <c r="F3" s="12">
        <v>1</v>
      </c>
      <c r="G3" s="14">
        <v>13864</v>
      </c>
      <c r="H3" s="18">
        <f t="shared" si="0"/>
        <v>13864</v>
      </c>
      <c r="I3" s="19">
        <v>0.18</v>
      </c>
      <c r="J3" s="18">
        <f t="shared" si="1"/>
        <v>16359.519999999999</v>
      </c>
      <c r="K3" s="18">
        <v>19914</v>
      </c>
      <c r="L3" s="18">
        <f t="shared" si="2"/>
        <v>19914</v>
      </c>
      <c r="M3" s="18">
        <f t="shared" si="3"/>
        <v>23498.52</v>
      </c>
      <c r="N3" s="12">
        <v>0</v>
      </c>
      <c r="O3" s="19">
        <v>0.18</v>
      </c>
      <c r="P3" s="18">
        <f t="shared" si="4"/>
        <v>0</v>
      </c>
      <c r="Q3" s="12">
        <v>0</v>
      </c>
      <c r="R3" s="18">
        <f t="shared" si="5"/>
        <v>23498.52</v>
      </c>
      <c r="S3" s="22">
        <f t="shared" si="6"/>
        <v>23499</v>
      </c>
      <c r="T3" s="18">
        <f t="shared" si="7"/>
        <v>0.47999999999956344</v>
      </c>
      <c r="U3" s="18">
        <f t="shared" si="8"/>
        <v>7139.4800000000014</v>
      </c>
      <c r="V3" s="18">
        <f t="shared" si="9"/>
        <v>6050.4067796610188</v>
      </c>
      <c r="W3" s="24">
        <f t="shared" si="10"/>
        <v>0.43641133725194886</v>
      </c>
      <c r="X3" s="22"/>
    </row>
    <row r="4" spans="1:24" x14ac:dyDescent="0.25">
      <c r="A4" s="9" t="s">
        <v>24</v>
      </c>
      <c r="B4" s="9" t="s">
        <v>44</v>
      </c>
      <c r="C4" s="10"/>
      <c r="D4" s="9" t="s">
        <v>46</v>
      </c>
      <c r="E4" s="9" t="s">
        <v>47</v>
      </c>
      <c r="F4" s="12">
        <v>1</v>
      </c>
      <c r="G4" s="14">
        <v>13206.91</v>
      </c>
      <c r="H4" s="18">
        <f t="shared" si="0"/>
        <v>13206.91</v>
      </c>
      <c r="I4" s="19">
        <v>0.18</v>
      </c>
      <c r="J4" s="18">
        <f t="shared" si="1"/>
        <v>15584.153799999998</v>
      </c>
      <c r="K4" s="18">
        <v>19067</v>
      </c>
      <c r="L4" s="18">
        <f t="shared" si="2"/>
        <v>19067</v>
      </c>
      <c r="M4" s="18">
        <f t="shared" si="3"/>
        <v>22499.059999999998</v>
      </c>
      <c r="N4" s="12">
        <v>0</v>
      </c>
      <c r="O4" s="19">
        <v>0.18</v>
      </c>
      <c r="P4" s="18">
        <f t="shared" si="4"/>
        <v>0</v>
      </c>
      <c r="Q4" s="12">
        <v>0</v>
      </c>
      <c r="R4" s="18">
        <f t="shared" si="5"/>
        <v>22499.059999999998</v>
      </c>
      <c r="S4" s="22">
        <f t="shared" si="6"/>
        <v>22499</v>
      </c>
      <c r="T4" s="18">
        <f t="shared" si="7"/>
        <v>-5.9999999997671694E-2</v>
      </c>
      <c r="U4" s="18">
        <f t="shared" si="8"/>
        <v>6914.8462000000018</v>
      </c>
      <c r="V4" s="18">
        <f t="shared" si="9"/>
        <v>5860.0391525423747</v>
      </c>
      <c r="W4" s="24">
        <f t="shared" si="10"/>
        <v>0.44371008453471517</v>
      </c>
      <c r="X4" s="22"/>
    </row>
    <row r="5" spans="1:24" x14ac:dyDescent="0.25">
      <c r="A5" s="9" t="s">
        <v>28</v>
      </c>
      <c r="B5" s="9" t="s">
        <v>25</v>
      </c>
      <c r="C5" s="10"/>
      <c r="D5" s="9" t="s">
        <v>53</v>
      </c>
      <c r="E5" s="9" t="s">
        <v>54</v>
      </c>
      <c r="F5" s="12">
        <v>1</v>
      </c>
      <c r="G5" s="14">
        <v>16729</v>
      </c>
      <c r="H5" s="18">
        <f t="shared" si="0"/>
        <v>16729</v>
      </c>
      <c r="I5" s="19">
        <v>0.18</v>
      </c>
      <c r="J5" s="18">
        <f t="shared" si="1"/>
        <v>19740.219999999998</v>
      </c>
      <c r="K5" s="18">
        <v>24152</v>
      </c>
      <c r="L5" s="18">
        <f t="shared" si="2"/>
        <v>24152</v>
      </c>
      <c r="M5" s="18">
        <f t="shared" si="3"/>
        <v>28499.359999999997</v>
      </c>
      <c r="N5" s="12">
        <v>0</v>
      </c>
      <c r="O5" s="19">
        <v>0.18</v>
      </c>
      <c r="P5" s="18">
        <f t="shared" si="4"/>
        <v>0</v>
      </c>
      <c r="Q5" s="12">
        <v>0</v>
      </c>
      <c r="R5" s="18">
        <f t="shared" si="5"/>
        <v>28499.359999999997</v>
      </c>
      <c r="S5" s="22">
        <f t="shared" si="6"/>
        <v>28499</v>
      </c>
      <c r="T5" s="18">
        <f t="shared" si="7"/>
        <v>-0.3599999999969441</v>
      </c>
      <c r="U5" s="18">
        <f t="shared" si="8"/>
        <v>8758.7800000000025</v>
      </c>
      <c r="V5" s="18">
        <f t="shared" si="9"/>
        <v>7422.6949152542402</v>
      </c>
      <c r="W5" s="24">
        <f t="shared" si="10"/>
        <v>0.44370224850584256</v>
      </c>
      <c r="X5" s="22"/>
    </row>
    <row r="6" spans="1:24" x14ac:dyDescent="0.25">
      <c r="A6" s="9" t="s">
        <v>28</v>
      </c>
      <c r="B6" s="9" t="s">
        <v>40</v>
      </c>
      <c r="C6" s="10"/>
      <c r="D6" s="9" t="s">
        <v>60</v>
      </c>
      <c r="E6" s="9" t="s">
        <v>61</v>
      </c>
      <c r="F6" s="12">
        <v>1</v>
      </c>
      <c r="G6" s="14">
        <v>18196</v>
      </c>
      <c r="H6" s="18">
        <f t="shared" si="0"/>
        <v>18196</v>
      </c>
      <c r="I6" s="19">
        <v>0.18</v>
      </c>
      <c r="J6" s="18">
        <f t="shared" si="1"/>
        <v>21471.279999999999</v>
      </c>
      <c r="K6" s="18">
        <v>26270</v>
      </c>
      <c r="L6" s="18">
        <f t="shared" si="2"/>
        <v>26270</v>
      </c>
      <c r="M6" s="18">
        <f t="shared" si="3"/>
        <v>30998.6</v>
      </c>
      <c r="N6" s="12">
        <v>0</v>
      </c>
      <c r="O6" s="19">
        <v>0.18</v>
      </c>
      <c r="P6" s="18">
        <f t="shared" si="4"/>
        <v>0</v>
      </c>
      <c r="Q6" s="12">
        <v>0</v>
      </c>
      <c r="R6" s="18">
        <f t="shared" si="5"/>
        <v>30998.6</v>
      </c>
      <c r="S6" s="22">
        <f t="shared" si="6"/>
        <v>30999</v>
      </c>
      <c r="T6" s="18">
        <f t="shared" si="7"/>
        <v>0.40000000000145519</v>
      </c>
      <c r="U6" s="18">
        <f t="shared" si="8"/>
        <v>9527.7200000000012</v>
      </c>
      <c r="V6" s="18">
        <f t="shared" si="9"/>
        <v>8074.3389830508486</v>
      </c>
      <c r="W6" s="24">
        <f t="shared" si="10"/>
        <v>0.44374252489837596</v>
      </c>
      <c r="X6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7"/>
  <sheetViews>
    <sheetView topLeftCell="K1" workbookViewId="0"/>
  </sheetViews>
  <sheetFormatPr defaultColWidth="12.6640625" defaultRowHeight="15.75" customHeight="1" x14ac:dyDescent="0.25"/>
  <cols>
    <col min="1" max="1" width="9" customWidth="1"/>
    <col min="2" max="2" width="29.33203125" customWidth="1"/>
    <col min="3" max="3" width="7.44140625" customWidth="1"/>
    <col min="4" max="4" width="25.109375" customWidth="1"/>
    <col min="5" max="5" width="8.77734375" customWidth="1"/>
    <col min="6" max="6" width="7.44140625" customWidth="1"/>
    <col min="7" max="7" width="6.109375" customWidth="1"/>
    <col min="8" max="8" width="9.109375" customWidth="1"/>
    <col min="9" max="9" width="10.109375" customWidth="1"/>
    <col min="10" max="10" width="14.77734375" customWidth="1"/>
    <col min="11" max="11" width="10.109375" customWidth="1"/>
    <col min="12" max="12" width="13.21875" customWidth="1"/>
    <col min="13" max="13" width="14.44140625" customWidth="1"/>
    <col min="14" max="14" width="18.109375" customWidth="1"/>
    <col min="15" max="15" width="12" customWidth="1"/>
    <col min="16" max="16" width="16.109375" customWidth="1"/>
    <col min="17" max="17" width="18.44140625" customWidth="1"/>
    <col min="18" max="18" width="20.44140625" customWidth="1"/>
    <col min="19" max="19" width="13" customWidth="1"/>
    <col min="20" max="20" width="9.21875" customWidth="1"/>
    <col min="21" max="21" width="6.109375" customWidth="1"/>
    <col min="22" max="22" width="10.88671875" customWidth="1"/>
    <col min="23" max="23" width="7.33203125" customWidth="1"/>
    <col min="24" max="24" width="8.33203125" customWidth="1"/>
  </cols>
  <sheetData>
    <row r="1" spans="1:2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7" t="s">
        <v>6</v>
      </c>
      <c r="H1" s="8" t="s">
        <v>7</v>
      </c>
      <c r="I1" s="5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5" t="s">
        <v>13</v>
      </c>
      <c r="O1" s="5" t="s">
        <v>14</v>
      </c>
      <c r="P1" s="8" t="s">
        <v>15</v>
      </c>
      <c r="Q1" s="5" t="s">
        <v>16</v>
      </c>
      <c r="R1" s="8" t="s">
        <v>17</v>
      </c>
      <c r="S1" s="2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2" t="s">
        <v>23</v>
      </c>
      <c r="Y1" s="11"/>
      <c r="Z1" s="11"/>
    </row>
    <row r="2" spans="1:26" x14ac:dyDescent="0.25">
      <c r="A2" s="13" t="s">
        <v>28</v>
      </c>
      <c r="B2" s="13" t="s">
        <v>29</v>
      </c>
      <c r="C2" s="15"/>
      <c r="D2" s="13" t="s">
        <v>31</v>
      </c>
      <c r="E2" s="13" t="s">
        <v>32</v>
      </c>
      <c r="F2" s="16">
        <v>1</v>
      </c>
      <c r="G2" s="17">
        <v>60349</v>
      </c>
      <c r="H2" s="20">
        <f t="shared" ref="H2:H8" si="0">F2*G2</f>
        <v>60349</v>
      </c>
      <c r="I2" s="21">
        <v>0.18</v>
      </c>
      <c r="J2" s="20">
        <f t="shared" ref="J2:J8" si="1">H2*(100%+I2)</f>
        <v>71211.819999999992</v>
      </c>
      <c r="K2" s="20">
        <v>72033</v>
      </c>
      <c r="L2" s="20">
        <f t="shared" ref="L2:L8" si="2">K2*F2</f>
        <v>72033</v>
      </c>
      <c r="M2" s="20">
        <f t="shared" ref="M2:M8" si="3">L2*(100%+I2)</f>
        <v>84998.94</v>
      </c>
      <c r="N2" s="16">
        <v>0</v>
      </c>
      <c r="O2" s="21">
        <v>0.18</v>
      </c>
      <c r="P2" s="20">
        <f t="shared" ref="P2:P8" si="4">N2*(100%+O2)</f>
        <v>0</v>
      </c>
      <c r="Q2" s="16">
        <v>0</v>
      </c>
      <c r="R2" s="20">
        <f t="shared" ref="R2:R8" si="5">M2+P2</f>
        <v>84998.94</v>
      </c>
      <c r="S2" s="23">
        <f t="shared" ref="S2:S8" si="6">MROUND(R2,50)-1</f>
        <v>84999</v>
      </c>
      <c r="T2" s="20">
        <f t="shared" ref="T2:T8" si="7">S2-R2</f>
        <v>5.9999999997671694E-2</v>
      </c>
      <c r="U2" s="20">
        <f t="shared" ref="U2:U8" si="8">S2-J2-Q2</f>
        <v>13787.180000000008</v>
      </c>
      <c r="V2" s="20">
        <f t="shared" ref="V2:V8" si="9">U2/(100%+I2)</f>
        <v>11684.050847457635</v>
      </c>
      <c r="W2" s="25">
        <f t="shared" ref="W2:W8" si="10">V2/H2</f>
        <v>0.19360802743140126</v>
      </c>
      <c r="X2" s="23"/>
      <c r="Y2" s="11"/>
      <c r="Z2" s="11"/>
    </row>
    <row r="3" spans="1:26" x14ac:dyDescent="0.25">
      <c r="A3" s="13" t="s">
        <v>28</v>
      </c>
      <c r="B3" s="13" t="s">
        <v>36</v>
      </c>
      <c r="C3" s="15"/>
      <c r="D3" s="13" t="s">
        <v>31</v>
      </c>
      <c r="E3" s="13" t="s">
        <v>37</v>
      </c>
      <c r="F3" s="16">
        <v>1</v>
      </c>
      <c r="G3" s="17">
        <v>68869</v>
      </c>
      <c r="H3" s="20">
        <f t="shared" si="0"/>
        <v>68869</v>
      </c>
      <c r="I3" s="21">
        <v>0.18</v>
      </c>
      <c r="J3" s="20">
        <f t="shared" si="1"/>
        <v>81265.42</v>
      </c>
      <c r="K3" s="20">
        <v>82203</v>
      </c>
      <c r="L3" s="20">
        <f t="shared" si="2"/>
        <v>82203</v>
      </c>
      <c r="M3" s="20">
        <f t="shared" si="3"/>
        <v>96999.54</v>
      </c>
      <c r="N3" s="16">
        <v>0</v>
      </c>
      <c r="O3" s="21">
        <v>0.18</v>
      </c>
      <c r="P3" s="20">
        <f t="shared" si="4"/>
        <v>0</v>
      </c>
      <c r="Q3" s="16">
        <v>0</v>
      </c>
      <c r="R3" s="20">
        <f t="shared" si="5"/>
        <v>96999.54</v>
      </c>
      <c r="S3" s="23">
        <f t="shared" si="6"/>
        <v>96999</v>
      </c>
      <c r="T3" s="20">
        <f t="shared" si="7"/>
        <v>-0.53999999999359716</v>
      </c>
      <c r="U3" s="20">
        <f t="shared" si="8"/>
        <v>15733.580000000002</v>
      </c>
      <c r="V3" s="20">
        <f t="shared" si="9"/>
        <v>13333.542372881358</v>
      </c>
      <c r="W3" s="25">
        <f t="shared" si="10"/>
        <v>0.19360731784810811</v>
      </c>
      <c r="X3" s="23"/>
      <c r="Y3" s="11"/>
      <c r="Z3" s="11"/>
    </row>
    <row r="4" spans="1:26" x14ac:dyDescent="0.25">
      <c r="A4" s="13" t="s">
        <v>28</v>
      </c>
      <c r="B4" s="13" t="s">
        <v>43</v>
      </c>
      <c r="C4" s="15"/>
      <c r="D4" s="13" t="s">
        <v>31</v>
      </c>
      <c r="E4" s="13" t="s">
        <v>45</v>
      </c>
      <c r="F4" s="16">
        <v>1</v>
      </c>
      <c r="G4" s="17">
        <v>60349</v>
      </c>
      <c r="H4" s="20">
        <f t="shared" si="0"/>
        <v>60349</v>
      </c>
      <c r="I4" s="21">
        <v>0.18</v>
      </c>
      <c r="J4" s="20">
        <f t="shared" si="1"/>
        <v>71211.819999999992</v>
      </c>
      <c r="K4" s="20">
        <v>72033</v>
      </c>
      <c r="L4" s="20">
        <f t="shared" si="2"/>
        <v>72033</v>
      </c>
      <c r="M4" s="20">
        <f t="shared" si="3"/>
        <v>84998.94</v>
      </c>
      <c r="N4" s="16">
        <v>0</v>
      </c>
      <c r="O4" s="21">
        <v>0.18</v>
      </c>
      <c r="P4" s="20">
        <f t="shared" si="4"/>
        <v>0</v>
      </c>
      <c r="Q4" s="16">
        <v>0</v>
      </c>
      <c r="R4" s="20">
        <f t="shared" si="5"/>
        <v>84998.94</v>
      </c>
      <c r="S4" s="23">
        <f t="shared" si="6"/>
        <v>84999</v>
      </c>
      <c r="T4" s="20">
        <f t="shared" si="7"/>
        <v>5.9999999997671694E-2</v>
      </c>
      <c r="U4" s="20">
        <f t="shared" si="8"/>
        <v>13787.180000000008</v>
      </c>
      <c r="V4" s="20">
        <f t="shared" si="9"/>
        <v>11684.050847457635</v>
      </c>
      <c r="W4" s="25">
        <f t="shared" si="10"/>
        <v>0.19360802743140126</v>
      </c>
      <c r="X4" s="23"/>
      <c r="Y4" s="11"/>
      <c r="Z4" s="11"/>
    </row>
    <row r="5" spans="1:26" x14ac:dyDescent="0.25">
      <c r="A5" s="13" t="s">
        <v>24</v>
      </c>
      <c r="B5" s="13" t="s">
        <v>50</v>
      </c>
      <c r="C5" s="15"/>
      <c r="D5" s="13" t="s">
        <v>31</v>
      </c>
      <c r="E5" s="13" t="s">
        <v>51</v>
      </c>
      <c r="F5" s="16">
        <v>1</v>
      </c>
      <c r="G5" s="17">
        <v>60349</v>
      </c>
      <c r="H5" s="20">
        <f t="shared" si="0"/>
        <v>60349</v>
      </c>
      <c r="I5" s="21">
        <v>0.18</v>
      </c>
      <c r="J5" s="20">
        <f t="shared" si="1"/>
        <v>71211.819999999992</v>
      </c>
      <c r="K5" s="20">
        <v>72033</v>
      </c>
      <c r="L5" s="20">
        <f t="shared" si="2"/>
        <v>72033</v>
      </c>
      <c r="M5" s="20">
        <f t="shared" si="3"/>
        <v>84998.94</v>
      </c>
      <c r="N5" s="16">
        <v>0</v>
      </c>
      <c r="O5" s="21">
        <v>0.18</v>
      </c>
      <c r="P5" s="20">
        <f t="shared" si="4"/>
        <v>0</v>
      </c>
      <c r="Q5" s="16">
        <v>0</v>
      </c>
      <c r="R5" s="20">
        <f t="shared" si="5"/>
        <v>84998.94</v>
      </c>
      <c r="S5" s="23">
        <f t="shared" si="6"/>
        <v>84999</v>
      </c>
      <c r="T5" s="20">
        <f t="shared" si="7"/>
        <v>5.9999999997671694E-2</v>
      </c>
      <c r="U5" s="20">
        <f t="shared" si="8"/>
        <v>13787.180000000008</v>
      </c>
      <c r="V5" s="20">
        <f t="shared" si="9"/>
        <v>11684.050847457635</v>
      </c>
      <c r="W5" s="25">
        <f t="shared" si="10"/>
        <v>0.19360802743140126</v>
      </c>
      <c r="X5" s="23"/>
      <c r="Y5" s="11"/>
      <c r="Z5" s="11"/>
    </row>
    <row r="6" spans="1:26" x14ac:dyDescent="0.25">
      <c r="A6" s="13" t="s">
        <v>24</v>
      </c>
      <c r="B6" s="13" t="s">
        <v>44</v>
      </c>
      <c r="C6" s="15"/>
      <c r="D6" s="13" t="s">
        <v>31</v>
      </c>
      <c r="E6" s="13" t="s">
        <v>57</v>
      </c>
      <c r="F6" s="16">
        <v>1</v>
      </c>
      <c r="G6" s="17">
        <v>48299</v>
      </c>
      <c r="H6" s="20">
        <f t="shared" si="0"/>
        <v>48299</v>
      </c>
      <c r="I6" s="21">
        <v>0.18</v>
      </c>
      <c r="J6" s="20">
        <f t="shared" si="1"/>
        <v>56992.82</v>
      </c>
      <c r="K6" s="20">
        <v>58474</v>
      </c>
      <c r="L6" s="20">
        <f t="shared" si="2"/>
        <v>58474</v>
      </c>
      <c r="M6" s="20">
        <f t="shared" si="3"/>
        <v>68999.319999999992</v>
      </c>
      <c r="N6" s="16">
        <v>0</v>
      </c>
      <c r="O6" s="21">
        <v>0.18</v>
      </c>
      <c r="P6" s="20">
        <f t="shared" si="4"/>
        <v>0</v>
      </c>
      <c r="Q6" s="16">
        <v>0</v>
      </c>
      <c r="R6" s="20">
        <f t="shared" si="5"/>
        <v>68999.319999999992</v>
      </c>
      <c r="S6" s="23">
        <f t="shared" si="6"/>
        <v>68999</v>
      </c>
      <c r="T6" s="20">
        <f t="shared" si="7"/>
        <v>-0.319999999992433</v>
      </c>
      <c r="U6" s="20">
        <f t="shared" si="8"/>
        <v>12006.18</v>
      </c>
      <c r="V6" s="20">
        <f t="shared" si="9"/>
        <v>10174.728813559323</v>
      </c>
      <c r="W6" s="25">
        <f t="shared" si="10"/>
        <v>0.21066127277085078</v>
      </c>
      <c r="X6" s="23"/>
      <c r="Y6" s="11"/>
      <c r="Z6" s="11"/>
    </row>
    <row r="7" spans="1:26" x14ac:dyDescent="0.25">
      <c r="A7" s="13" t="s">
        <v>24</v>
      </c>
      <c r="B7" s="13" t="s">
        <v>690</v>
      </c>
      <c r="C7" s="15"/>
      <c r="D7" s="13" t="s">
        <v>31</v>
      </c>
      <c r="E7" s="13" t="s">
        <v>62</v>
      </c>
      <c r="F7" s="16">
        <v>1</v>
      </c>
      <c r="G7" s="17">
        <v>52499</v>
      </c>
      <c r="H7" s="20">
        <f t="shared" si="0"/>
        <v>52499</v>
      </c>
      <c r="I7" s="21">
        <v>0.18</v>
      </c>
      <c r="J7" s="20">
        <f t="shared" si="1"/>
        <v>61948.82</v>
      </c>
      <c r="K7" s="20">
        <v>63558</v>
      </c>
      <c r="L7" s="20">
        <f t="shared" si="2"/>
        <v>63558</v>
      </c>
      <c r="M7" s="20">
        <f t="shared" si="3"/>
        <v>74998.44</v>
      </c>
      <c r="N7" s="16">
        <v>0</v>
      </c>
      <c r="O7" s="21">
        <v>0.18</v>
      </c>
      <c r="P7" s="20">
        <f t="shared" si="4"/>
        <v>0</v>
      </c>
      <c r="Q7" s="16">
        <v>0</v>
      </c>
      <c r="R7" s="20">
        <f t="shared" si="5"/>
        <v>74998.44</v>
      </c>
      <c r="S7" s="23">
        <f t="shared" si="6"/>
        <v>74999</v>
      </c>
      <c r="T7" s="20">
        <f t="shared" si="7"/>
        <v>0.55999999999767169</v>
      </c>
      <c r="U7" s="20">
        <f t="shared" si="8"/>
        <v>13050.18</v>
      </c>
      <c r="V7" s="20">
        <f t="shared" si="9"/>
        <v>11059.474576271186</v>
      </c>
      <c r="W7" s="25">
        <f t="shared" si="10"/>
        <v>0.2106606711798546</v>
      </c>
      <c r="X7" s="23"/>
      <c r="Y7" s="11"/>
      <c r="Z7" s="11"/>
    </row>
    <row r="8" spans="1:26" x14ac:dyDescent="0.25">
      <c r="A8" s="13" t="s">
        <v>24</v>
      </c>
      <c r="B8" s="13" t="s">
        <v>65</v>
      </c>
      <c r="C8" s="15"/>
      <c r="D8" s="13" t="s">
        <v>31</v>
      </c>
      <c r="E8" s="13" t="s">
        <v>45</v>
      </c>
      <c r="F8" s="16">
        <v>1</v>
      </c>
      <c r="G8" s="17">
        <v>60349</v>
      </c>
      <c r="H8" s="20">
        <f t="shared" si="0"/>
        <v>60349</v>
      </c>
      <c r="I8" s="21">
        <v>0.18</v>
      </c>
      <c r="J8" s="20">
        <f t="shared" si="1"/>
        <v>71211.819999999992</v>
      </c>
      <c r="K8" s="20">
        <v>72033</v>
      </c>
      <c r="L8" s="20">
        <f t="shared" si="2"/>
        <v>72033</v>
      </c>
      <c r="M8" s="20">
        <f t="shared" si="3"/>
        <v>84998.94</v>
      </c>
      <c r="N8" s="16">
        <v>0</v>
      </c>
      <c r="O8" s="21">
        <v>0.18</v>
      </c>
      <c r="P8" s="20">
        <f t="shared" si="4"/>
        <v>0</v>
      </c>
      <c r="Q8" s="16">
        <v>0</v>
      </c>
      <c r="R8" s="20">
        <f t="shared" si="5"/>
        <v>84998.94</v>
      </c>
      <c r="S8" s="23">
        <f t="shared" si="6"/>
        <v>84999</v>
      </c>
      <c r="T8" s="20">
        <f t="shared" si="7"/>
        <v>5.9999999997671694E-2</v>
      </c>
      <c r="U8" s="20">
        <f t="shared" si="8"/>
        <v>13787.180000000008</v>
      </c>
      <c r="V8" s="20">
        <f t="shared" si="9"/>
        <v>11684.050847457635</v>
      </c>
      <c r="W8" s="25">
        <f t="shared" si="10"/>
        <v>0.19360802743140126</v>
      </c>
      <c r="X8" s="23"/>
      <c r="Y8" s="11"/>
      <c r="Z8" s="11"/>
    </row>
    <row r="9" spans="1:26" x14ac:dyDescent="0.25">
      <c r="A9" s="13" t="s">
        <v>28</v>
      </c>
      <c r="B9" s="13" t="s">
        <v>29</v>
      </c>
      <c r="C9" s="15"/>
      <c r="D9" s="13" t="s">
        <v>68</v>
      </c>
      <c r="E9" s="13" t="s">
        <v>69</v>
      </c>
      <c r="F9" s="16">
        <v>1</v>
      </c>
      <c r="G9" s="17"/>
      <c r="H9" s="20"/>
      <c r="I9" s="21"/>
      <c r="J9" s="20"/>
      <c r="K9" s="20"/>
      <c r="L9" s="20"/>
      <c r="M9" s="20"/>
      <c r="N9" s="16"/>
      <c r="O9" s="21"/>
      <c r="P9" s="20"/>
      <c r="Q9" s="16"/>
      <c r="R9" s="20"/>
      <c r="S9" s="23"/>
      <c r="T9" s="20"/>
      <c r="U9" s="20"/>
      <c r="V9" s="20"/>
      <c r="W9" s="25"/>
      <c r="X9" s="23"/>
      <c r="Y9" s="11"/>
      <c r="Z9" s="11"/>
    </row>
    <row r="10" spans="1:26" x14ac:dyDescent="0.25">
      <c r="A10" s="13" t="s">
        <v>28</v>
      </c>
      <c r="B10" s="13" t="s">
        <v>36</v>
      </c>
      <c r="C10" s="15"/>
      <c r="D10" s="13" t="s">
        <v>68</v>
      </c>
      <c r="E10" s="13" t="s">
        <v>72</v>
      </c>
      <c r="F10" s="16">
        <v>1</v>
      </c>
      <c r="G10" s="17"/>
      <c r="H10" s="20"/>
      <c r="I10" s="21"/>
      <c r="J10" s="20"/>
      <c r="K10" s="20"/>
      <c r="L10" s="20"/>
      <c r="M10" s="20"/>
      <c r="N10" s="16"/>
      <c r="O10" s="21"/>
      <c r="P10" s="20"/>
      <c r="Q10" s="16"/>
      <c r="R10" s="20"/>
      <c r="S10" s="23"/>
      <c r="T10" s="20"/>
      <c r="U10" s="20"/>
      <c r="V10" s="20"/>
      <c r="W10" s="25"/>
      <c r="X10" s="23"/>
      <c r="Y10" s="11"/>
      <c r="Z10" s="11"/>
    </row>
    <row r="11" spans="1:26" x14ac:dyDescent="0.25">
      <c r="A11" s="13" t="s">
        <v>28</v>
      </c>
      <c r="B11" s="13" t="s">
        <v>43</v>
      </c>
      <c r="C11" s="15"/>
      <c r="D11" s="13" t="s">
        <v>68</v>
      </c>
      <c r="E11" s="13" t="s">
        <v>75</v>
      </c>
      <c r="F11" s="16">
        <v>1</v>
      </c>
      <c r="G11" s="17"/>
      <c r="H11" s="20"/>
      <c r="I11" s="21"/>
      <c r="J11" s="20"/>
      <c r="K11" s="20"/>
      <c r="L11" s="20"/>
      <c r="M11" s="20"/>
      <c r="N11" s="16"/>
      <c r="O11" s="21"/>
      <c r="P11" s="20"/>
      <c r="Q11" s="16"/>
      <c r="R11" s="20"/>
      <c r="S11" s="23"/>
      <c r="T11" s="20"/>
      <c r="U11" s="20"/>
      <c r="V11" s="20"/>
      <c r="W11" s="25"/>
      <c r="X11" s="23"/>
      <c r="Y11" s="11"/>
      <c r="Z11" s="11"/>
    </row>
    <row r="12" spans="1:26" x14ac:dyDescent="0.25">
      <c r="A12" s="13" t="s">
        <v>24</v>
      </c>
      <c r="B12" s="13" t="s">
        <v>50</v>
      </c>
      <c r="C12" s="15"/>
      <c r="D12" s="13" t="s">
        <v>68</v>
      </c>
      <c r="E12" s="13" t="s">
        <v>76</v>
      </c>
      <c r="F12" s="16">
        <v>1</v>
      </c>
      <c r="G12" s="17">
        <v>81649.289999999994</v>
      </c>
      <c r="H12" s="20">
        <f t="shared" ref="H12:H16" si="11">F12*G12</f>
        <v>81649.289999999994</v>
      </c>
      <c r="I12" s="21">
        <v>0.18</v>
      </c>
      <c r="J12" s="20">
        <f t="shared" ref="J12:J16" si="12">H12*(100%+I12)</f>
        <v>96346.162199999992</v>
      </c>
      <c r="K12" s="20">
        <v>97457</v>
      </c>
      <c r="L12" s="20">
        <f t="shared" ref="L12:L16" si="13">K12*F12</f>
        <v>97457</v>
      </c>
      <c r="M12" s="20">
        <f t="shared" ref="M12:M16" si="14">L12*(100%+I12)</f>
        <v>114999.26</v>
      </c>
      <c r="N12" s="16">
        <v>0</v>
      </c>
      <c r="O12" s="21">
        <v>0.18</v>
      </c>
      <c r="P12" s="20">
        <f t="shared" ref="P12:P16" si="15">N12*(100%+O12)</f>
        <v>0</v>
      </c>
      <c r="Q12" s="16">
        <v>0</v>
      </c>
      <c r="R12" s="20">
        <f t="shared" ref="R12:R16" si="16">M12+P12</f>
        <v>114999.26</v>
      </c>
      <c r="S12" s="23">
        <f t="shared" ref="S12:S16" si="17">MROUND(R12,50)-1</f>
        <v>114999</v>
      </c>
      <c r="T12" s="20">
        <f t="shared" ref="T12:T16" si="18">S12-R12</f>
        <v>-0.25999999999476131</v>
      </c>
      <c r="U12" s="20">
        <f t="shared" ref="U12:U16" si="19">S12-J12-Q12</f>
        <v>18652.837800000008</v>
      </c>
      <c r="V12" s="20">
        <f t="shared" ref="V12:V16" si="20">U12/(100%+I12)</f>
        <v>15807.489661016956</v>
      </c>
      <c r="W12" s="25">
        <f t="shared" ref="W12:W16" si="21">V12/H12</f>
        <v>0.1936022917164002</v>
      </c>
      <c r="X12" s="23"/>
      <c r="Y12" s="11"/>
      <c r="Z12" s="11"/>
    </row>
    <row r="13" spans="1:26" x14ac:dyDescent="0.25">
      <c r="A13" s="13" t="s">
        <v>24</v>
      </c>
      <c r="B13" s="13" t="s">
        <v>44</v>
      </c>
      <c r="C13" s="15"/>
      <c r="D13" s="13" t="s">
        <v>68</v>
      </c>
      <c r="E13" s="13" t="s">
        <v>82</v>
      </c>
      <c r="F13" s="16">
        <v>1</v>
      </c>
      <c r="G13" s="17">
        <v>70919.28</v>
      </c>
      <c r="H13" s="20">
        <f t="shared" si="11"/>
        <v>70919.28</v>
      </c>
      <c r="I13" s="21">
        <v>0.18</v>
      </c>
      <c r="J13" s="20">
        <f t="shared" si="12"/>
        <v>83684.75039999999</v>
      </c>
      <c r="K13" s="20">
        <v>83474</v>
      </c>
      <c r="L13" s="20">
        <f t="shared" si="13"/>
        <v>83474</v>
      </c>
      <c r="M13" s="20">
        <f t="shared" si="14"/>
        <v>98499.319999999992</v>
      </c>
      <c r="N13" s="16">
        <v>0</v>
      </c>
      <c r="O13" s="21">
        <v>0.18</v>
      </c>
      <c r="P13" s="20">
        <f t="shared" si="15"/>
        <v>0</v>
      </c>
      <c r="Q13" s="16">
        <v>0</v>
      </c>
      <c r="R13" s="20">
        <f t="shared" si="16"/>
        <v>98499.319999999992</v>
      </c>
      <c r="S13" s="23">
        <f t="shared" si="17"/>
        <v>98499</v>
      </c>
      <c r="T13" s="20">
        <f t="shared" si="18"/>
        <v>-0.319999999992433</v>
      </c>
      <c r="U13" s="20">
        <f t="shared" si="19"/>
        <v>14814.24960000001</v>
      </c>
      <c r="V13" s="20">
        <f t="shared" si="20"/>
        <v>12554.448813559331</v>
      </c>
      <c r="W13" s="25">
        <f t="shared" si="21"/>
        <v>0.177024482109228</v>
      </c>
      <c r="X13" s="23"/>
      <c r="Y13" s="11"/>
      <c r="Z13" s="11"/>
    </row>
    <row r="14" spans="1:26" x14ac:dyDescent="0.25">
      <c r="A14" s="13" t="s">
        <v>24</v>
      </c>
      <c r="B14" s="13" t="s">
        <v>691</v>
      </c>
      <c r="C14" s="15"/>
      <c r="D14" s="13" t="s">
        <v>68</v>
      </c>
      <c r="E14" s="13" t="s">
        <v>87</v>
      </c>
      <c r="F14" s="16">
        <v>1</v>
      </c>
      <c r="G14" s="17">
        <v>74549.289999999994</v>
      </c>
      <c r="H14" s="20">
        <f t="shared" si="11"/>
        <v>74549.289999999994</v>
      </c>
      <c r="I14" s="21">
        <v>0.18</v>
      </c>
      <c r="J14" s="20">
        <f t="shared" si="12"/>
        <v>87968.162199999992</v>
      </c>
      <c r="K14" s="20">
        <v>88982</v>
      </c>
      <c r="L14" s="20">
        <f t="shared" si="13"/>
        <v>88982</v>
      </c>
      <c r="M14" s="20">
        <f t="shared" si="14"/>
        <v>104998.76</v>
      </c>
      <c r="N14" s="16">
        <v>0</v>
      </c>
      <c r="O14" s="21">
        <v>0.18</v>
      </c>
      <c r="P14" s="20">
        <f t="shared" si="15"/>
        <v>0</v>
      </c>
      <c r="Q14" s="16">
        <v>0</v>
      </c>
      <c r="R14" s="20">
        <f t="shared" si="16"/>
        <v>104998.76</v>
      </c>
      <c r="S14" s="23">
        <f t="shared" si="17"/>
        <v>104999</v>
      </c>
      <c r="T14" s="20">
        <f t="shared" si="18"/>
        <v>0.24000000000523869</v>
      </c>
      <c r="U14" s="20">
        <f t="shared" si="19"/>
        <v>17030.837800000008</v>
      </c>
      <c r="V14" s="20">
        <f t="shared" si="20"/>
        <v>14432.913389830517</v>
      </c>
      <c r="W14" s="25">
        <f t="shared" si="21"/>
        <v>0.19360229171640023</v>
      </c>
      <c r="X14" s="23"/>
      <c r="Y14" s="11"/>
      <c r="Z14" s="11"/>
    </row>
    <row r="15" spans="1:26" x14ac:dyDescent="0.25">
      <c r="A15" s="13" t="s">
        <v>24</v>
      </c>
      <c r="B15" s="13" t="s">
        <v>88</v>
      </c>
      <c r="C15" s="15"/>
      <c r="D15" s="13" t="s">
        <v>68</v>
      </c>
      <c r="E15" s="13" t="s">
        <v>89</v>
      </c>
      <c r="F15" s="16">
        <v>1</v>
      </c>
      <c r="G15" s="17">
        <v>74549.289999999994</v>
      </c>
      <c r="H15" s="20">
        <f t="shared" si="11"/>
        <v>74549.289999999994</v>
      </c>
      <c r="I15" s="21">
        <v>0.18</v>
      </c>
      <c r="J15" s="20">
        <f t="shared" si="12"/>
        <v>87968.162199999992</v>
      </c>
      <c r="K15" s="20">
        <v>88982</v>
      </c>
      <c r="L15" s="20">
        <f t="shared" si="13"/>
        <v>88982</v>
      </c>
      <c r="M15" s="20">
        <f t="shared" si="14"/>
        <v>104998.76</v>
      </c>
      <c r="N15" s="16">
        <v>0</v>
      </c>
      <c r="O15" s="21">
        <v>0.18</v>
      </c>
      <c r="P15" s="20">
        <f t="shared" si="15"/>
        <v>0</v>
      </c>
      <c r="Q15" s="16">
        <v>0</v>
      </c>
      <c r="R15" s="20">
        <f t="shared" si="16"/>
        <v>104998.76</v>
      </c>
      <c r="S15" s="23">
        <f t="shared" si="17"/>
        <v>104999</v>
      </c>
      <c r="T15" s="20">
        <f t="shared" si="18"/>
        <v>0.24000000000523869</v>
      </c>
      <c r="U15" s="20">
        <f t="shared" si="19"/>
        <v>17030.837800000008</v>
      </c>
      <c r="V15" s="20">
        <f t="shared" si="20"/>
        <v>14432.913389830517</v>
      </c>
      <c r="W15" s="25">
        <f t="shared" si="21"/>
        <v>0.19360229171640023</v>
      </c>
      <c r="X15" s="23"/>
      <c r="Y15" s="11"/>
      <c r="Z15" s="11"/>
    </row>
    <row r="16" spans="1:26" x14ac:dyDescent="0.25">
      <c r="A16" s="13" t="s">
        <v>24</v>
      </c>
      <c r="B16" s="13" t="s">
        <v>65</v>
      </c>
      <c r="C16" s="15"/>
      <c r="D16" s="13" t="s">
        <v>68</v>
      </c>
      <c r="E16" s="13" t="s">
        <v>75</v>
      </c>
      <c r="F16" s="16">
        <v>1</v>
      </c>
      <c r="G16" s="17">
        <v>81649.289999999994</v>
      </c>
      <c r="H16" s="20">
        <f t="shared" si="11"/>
        <v>81649.289999999994</v>
      </c>
      <c r="I16" s="21">
        <v>0.18</v>
      </c>
      <c r="J16" s="20">
        <f t="shared" si="12"/>
        <v>96346.162199999992</v>
      </c>
      <c r="K16" s="20">
        <v>97457</v>
      </c>
      <c r="L16" s="20">
        <f t="shared" si="13"/>
        <v>97457</v>
      </c>
      <c r="M16" s="20">
        <f t="shared" si="14"/>
        <v>114999.26</v>
      </c>
      <c r="N16" s="16">
        <v>0</v>
      </c>
      <c r="O16" s="21">
        <v>0.18</v>
      </c>
      <c r="P16" s="20">
        <f t="shared" si="15"/>
        <v>0</v>
      </c>
      <c r="Q16" s="16">
        <v>0</v>
      </c>
      <c r="R16" s="20">
        <f t="shared" si="16"/>
        <v>114999.26</v>
      </c>
      <c r="S16" s="23">
        <f t="shared" si="17"/>
        <v>114999</v>
      </c>
      <c r="T16" s="20">
        <f t="shared" si="18"/>
        <v>-0.25999999999476131</v>
      </c>
      <c r="U16" s="20">
        <f t="shared" si="19"/>
        <v>18652.837800000008</v>
      </c>
      <c r="V16" s="20">
        <f t="shared" si="20"/>
        <v>15807.489661016956</v>
      </c>
      <c r="W16" s="25">
        <f t="shared" si="21"/>
        <v>0.1936022917164002</v>
      </c>
      <c r="X16" s="23"/>
      <c r="Y16" s="11"/>
      <c r="Z16" s="11"/>
    </row>
    <row r="17" spans="1:26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</sheetData>
  <autoFilter ref="A1:Z99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topLeftCell="G1" workbookViewId="0"/>
  </sheetViews>
  <sheetFormatPr defaultColWidth="12.6640625" defaultRowHeight="15.75" customHeight="1" x14ac:dyDescent="0.25"/>
  <cols>
    <col min="1" max="1" width="6.77734375" customWidth="1"/>
    <col min="2" max="2" width="5.109375" customWidth="1"/>
    <col min="3" max="3" width="5" customWidth="1"/>
    <col min="4" max="4" width="6.44140625" customWidth="1"/>
    <col min="5" max="5" width="13.33203125" customWidth="1"/>
    <col min="6" max="6" width="6.21875" customWidth="1"/>
    <col min="7" max="7" width="5" customWidth="1"/>
    <col min="8" max="8" width="3.77734375" customWidth="1"/>
    <col min="9" max="9" width="6.6640625" customWidth="1"/>
    <col min="10" max="10" width="7.6640625" customWidth="1"/>
    <col min="11" max="11" width="12.21875" customWidth="1"/>
    <col min="12" max="12" width="7.6640625" customWidth="1"/>
    <col min="13" max="13" width="10.77734375" customWidth="1"/>
    <col min="14" max="14" width="12" customWidth="1"/>
    <col min="15" max="15" width="15.6640625" customWidth="1"/>
    <col min="16" max="16" width="9.44140625" customWidth="1"/>
    <col min="17" max="17" width="13.6640625" customWidth="1"/>
    <col min="18" max="18" width="16" customWidth="1"/>
    <col min="19" max="19" width="18" customWidth="1"/>
    <col min="20" max="20" width="10.44140625" customWidth="1"/>
    <col min="21" max="21" width="6.77734375" customWidth="1"/>
    <col min="22" max="22" width="3.77734375" customWidth="1"/>
    <col min="23" max="23" width="8.33203125" customWidth="1"/>
    <col min="24" max="24" width="5" customWidth="1"/>
    <col min="25" max="25" width="5.88671875" customWidth="1"/>
  </cols>
  <sheetData>
    <row r="1" spans="1:27" x14ac:dyDescent="0.25">
      <c r="A1" s="2" t="s">
        <v>0</v>
      </c>
      <c r="B1" s="2" t="s">
        <v>1</v>
      </c>
      <c r="C1" s="2" t="s">
        <v>2</v>
      </c>
      <c r="D1" s="2" t="s">
        <v>91</v>
      </c>
      <c r="E1" s="2" t="s">
        <v>3</v>
      </c>
      <c r="F1" s="2" t="s">
        <v>4</v>
      </c>
      <c r="G1" s="5" t="s">
        <v>5</v>
      </c>
      <c r="H1" s="7" t="s">
        <v>6</v>
      </c>
      <c r="I1" s="8" t="s">
        <v>7</v>
      </c>
      <c r="J1" s="5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5" t="s">
        <v>13</v>
      </c>
      <c r="P1" s="5" t="s">
        <v>14</v>
      </c>
      <c r="Q1" s="8" t="s">
        <v>15</v>
      </c>
      <c r="R1" s="5" t="s">
        <v>16</v>
      </c>
      <c r="S1" s="8" t="s">
        <v>17</v>
      </c>
      <c r="T1" s="2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2" t="s">
        <v>23</v>
      </c>
      <c r="Z1" s="11"/>
      <c r="AA1" s="11"/>
    </row>
    <row r="2" spans="1:27" x14ac:dyDescent="0.25">
      <c r="A2" s="13" t="s">
        <v>24</v>
      </c>
      <c r="B2" s="13" t="s">
        <v>94</v>
      </c>
      <c r="C2" s="15"/>
      <c r="D2" s="13" t="s">
        <v>95</v>
      </c>
      <c r="E2" s="13" t="s">
        <v>96</v>
      </c>
      <c r="F2" s="13" t="s">
        <v>97</v>
      </c>
      <c r="G2" s="16">
        <v>1</v>
      </c>
      <c r="H2" s="17">
        <v>9452</v>
      </c>
      <c r="I2" s="20">
        <f>G2*H2</f>
        <v>9452</v>
      </c>
      <c r="J2" s="21">
        <v>0.18</v>
      </c>
      <c r="K2" s="20">
        <f>I2*(100%+J2)</f>
        <v>11153.359999999999</v>
      </c>
      <c r="L2" s="20">
        <v>11780</v>
      </c>
      <c r="M2" s="20">
        <f>L2*G2</f>
        <v>11780</v>
      </c>
      <c r="N2" s="20">
        <f>M2*(100%+J2)</f>
        <v>13900.4</v>
      </c>
      <c r="O2" s="16">
        <v>930</v>
      </c>
      <c r="P2" s="21">
        <v>0.18</v>
      </c>
      <c r="Q2" s="20">
        <f>O2*(100%+P2)</f>
        <v>1097.3999999999999</v>
      </c>
      <c r="R2" s="16">
        <v>150</v>
      </c>
      <c r="S2" s="20">
        <f>N2+Q2</f>
        <v>14997.8</v>
      </c>
      <c r="T2" s="23">
        <f>MROUND(S2,50)-1</f>
        <v>14999</v>
      </c>
      <c r="U2" s="20">
        <f>T2-S2</f>
        <v>1.2000000000007276</v>
      </c>
      <c r="V2" s="20">
        <f>T2-K2-R2</f>
        <v>3695.6400000000012</v>
      </c>
      <c r="W2" s="20">
        <f>V2/(100%+J2)</f>
        <v>3131.8983050847469</v>
      </c>
      <c r="X2" s="25">
        <f>W2/I2</f>
        <v>0.33134768356800115</v>
      </c>
      <c r="Y2" s="23"/>
      <c r="Z2" s="11"/>
      <c r="AA2" s="11"/>
    </row>
    <row r="3" spans="1:27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topLeftCell="F1" workbookViewId="0">
      <selection sqref="A1:D1"/>
    </sheetView>
  </sheetViews>
  <sheetFormatPr defaultColWidth="12.6640625" defaultRowHeight="15.75" customHeight="1" x14ac:dyDescent="0.25"/>
  <cols>
    <col min="1" max="1" width="8.6640625" customWidth="1"/>
    <col min="2" max="2" width="5.109375" customWidth="1"/>
    <col min="3" max="3" width="5" customWidth="1"/>
    <col min="4" max="4" width="4.77734375" customWidth="1"/>
    <col min="5" max="5" width="13.33203125" customWidth="1"/>
    <col min="6" max="6" width="6.21875" customWidth="1"/>
    <col min="7" max="7" width="5" customWidth="1"/>
    <col min="8" max="8" width="3.77734375" customWidth="1"/>
    <col min="9" max="9" width="6.6640625" customWidth="1"/>
    <col min="10" max="10" width="7.6640625" customWidth="1"/>
    <col min="11" max="11" width="12.21875" customWidth="1"/>
    <col min="12" max="12" width="7.6640625" customWidth="1"/>
    <col min="13" max="13" width="10.77734375" customWidth="1"/>
    <col min="14" max="14" width="12" customWidth="1"/>
    <col min="15" max="15" width="15.6640625" customWidth="1"/>
    <col min="16" max="16" width="9.44140625" customWidth="1"/>
    <col min="17" max="17" width="13.6640625" customWidth="1"/>
    <col min="18" max="18" width="16" customWidth="1"/>
    <col min="19" max="19" width="18" customWidth="1"/>
    <col min="20" max="20" width="10.44140625" customWidth="1"/>
    <col min="21" max="21" width="6.77734375" customWidth="1"/>
    <col min="22" max="22" width="3.77734375" customWidth="1"/>
    <col min="23" max="23" width="8.33203125" customWidth="1"/>
    <col min="24" max="24" width="5" customWidth="1"/>
    <col min="25" max="25" width="5.88671875" customWidth="1"/>
  </cols>
  <sheetData>
    <row r="1" spans="1:27" x14ac:dyDescent="0.25">
      <c r="A1" s="2" t="s">
        <v>0</v>
      </c>
      <c r="B1" s="2" t="s">
        <v>1</v>
      </c>
      <c r="C1" s="2" t="s">
        <v>2</v>
      </c>
      <c r="D1" s="2" t="s">
        <v>91</v>
      </c>
      <c r="E1" s="2" t="s">
        <v>3</v>
      </c>
      <c r="F1" s="2" t="s">
        <v>4</v>
      </c>
      <c r="G1" s="5" t="s">
        <v>5</v>
      </c>
      <c r="H1" s="7" t="s">
        <v>6</v>
      </c>
      <c r="I1" s="8" t="s">
        <v>7</v>
      </c>
      <c r="J1" s="5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5" t="s">
        <v>13</v>
      </c>
      <c r="P1" s="5" t="s">
        <v>14</v>
      </c>
      <c r="Q1" s="8" t="s">
        <v>15</v>
      </c>
      <c r="R1" s="5" t="s">
        <v>16</v>
      </c>
      <c r="S1" s="8" t="s">
        <v>17</v>
      </c>
      <c r="T1" s="2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2" t="s">
        <v>23</v>
      </c>
      <c r="Z1" s="11"/>
      <c r="AA1" s="11"/>
    </row>
    <row r="2" spans="1:27" x14ac:dyDescent="0.25">
      <c r="A2" s="13" t="s">
        <v>99</v>
      </c>
      <c r="B2" s="13" t="s">
        <v>94</v>
      </c>
      <c r="C2" s="15"/>
      <c r="D2" s="13" t="s">
        <v>100</v>
      </c>
      <c r="E2" s="13" t="s">
        <v>101</v>
      </c>
      <c r="F2" s="13" t="s">
        <v>102</v>
      </c>
      <c r="G2" s="16">
        <v>1</v>
      </c>
      <c r="H2" s="17">
        <v>950</v>
      </c>
      <c r="I2" s="20">
        <f>G2*H2</f>
        <v>950</v>
      </c>
      <c r="J2" s="21">
        <v>0.18</v>
      </c>
      <c r="K2" s="20">
        <f>I2*(100%+J2)</f>
        <v>1121</v>
      </c>
      <c r="L2" s="20">
        <v>1100.8499999999999</v>
      </c>
      <c r="M2" s="20">
        <f>L2*G2</f>
        <v>1100.8499999999999</v>
      </c>
      <c r="N2" s="20">
        <f>M2*(100%+J2)</f>
        <v>1299.0029999999999</v>
      </c>
      <c r="O2" s="16">
        <v>0</v>
      </c>
      <c r="P2" s="21">
        <v>0.18</v>
      </c>
      <c r="Q2" s="20">
        <f>O2*(100%+P2)</f>
        <v>0</v>
      </c>
      <c r="R2" s="16">
        <v>20</v>
      </c>
      <c r="S2" s="20">
        <f>N2+Q2</f>
        <v>1299.0029999999999</v>
      </c>
      <c r="T2" s="23">
        <f>MROUND(S2,50)-1</f>
        <v>1299</v>
      </c>
      <c r="U2" s="20">
        <f>T2-S2</f>
        <v>-2.9999999999290594E-3</v>
      </c>
      <c r="V2" s="20">
        <f>T2-K2-R2</f>
        <v>158</v>
      </c>
      <c r="W2" s="20">
        <f>V2/(100%+J2)</f>
        <v>133.89830508474577</v>
      </c>
      <c r="X2" s="25">
        <f>W2/I2</f>
        <v>0.14094558429973239</v>
      </c>
      <c r="Y2" s="23"/>
      <c r="Z2" s="11"/>
      <c r="AA2" s="11"/>
    </row>
    <row r="3" spans="1:27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opLeftCell="F1" workbookViewId="0"/>
  </sheetViews>
  <sheetFormatPr defaultColWidth="12.6640625" defaultRowHeight="15.75" customHeight="1" x14ac:dyDescent="0.25"/>
  <cols>
    <col min="1" max="1" width="6.44140625" customWidth="1"/>
    <col min="2" max="2" width="9.44140625" customWidth="1"/>
    <col min="3" max="3" width="5" customWidth="1"/>
    <col min="4" max="4" width="12.109375" customWidth="1"/>
    <col min="5" max="5" width="6.21875" customWidth="1"/>
    <col min="6" max="6" width="5" customWidth="1"/>
    <col min="7" max="7" width="3.77734375" customWidth="1"/>
    <col min="8" max="8" width="6.6640625" customWidth="1"/>
    <col min="9" max="9" width="7.6640625" customWidth="1"/>
    <col min="10" max="10" width="12.21875" customWidth="1"/>
    <col min="11" max="11" width="7.6640625" customWidth="1"/>
    <col min="12" max="12" width="10.77734375" customWidth="1"/>
    <col min="13" max="13" width="12" customWidth="1"/>
    <col min="14" max="14" width="15.6640625" customWidth="1"/>
    <col min="15" max="15" width="9.44140625" customWidth="1"/>
    <col min="16" max="16" width="13.6640625" customWidth="1"/>
    <col min="17" max="17" width="16" customWidth="1"/>
    <col min="18" max="18" width="18" customWidth="1"/>
    <col min="19" max="19" width="10.44140625" customWidth="1"/>
    <col min="20" max="20" width="6.77734375" customWidth="1"/>
    <col min="21" max="21" width="3.77734375" customWidth="1"/>
    <col min="22" max="22" width="8.33203125" customWidth="1"/>
    <col min="23" max="23" width="5.6640625" customWidth="1"/>
    <col min="24" max="24" width="5.88671875" customWidth="1"/>
  </cols>
  <sheetData>
    <row r="1" spans="1:2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7" t="s">
        <v>6</v>
      </c>
      <c r="H1" s="8" t="s">
        <v>7</v>
      </c>
      <c r="I1" s="5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5" t="s">
        <v>13</v>
      </c>
      <c r="O1" s="5" t="s">
        <v>14</v>
      </c>
      <c r="P1" s="8" t="s">
        <v>15</v>
      </c>
      <c r="Q1" s="5" t="s">
        <v>16</v>
      </c>
      <c r="R1" s="8" t="s">
        <v>17</v>
      </c>
      <c r="S1" s="2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2" t="s">
        <v>23</v>
      </c>
      <c r="Y1" s="11"/>
      <c r="Z1" s="11"/>
    </row>
    <row r="2" spans="1:26" x14ac:dyDescent="0.25">
      <c r="A2" s="13" t="s">
        <v>345</v>
      </c>
      <c r="B2" s="13" t="s">
        <v>684</v>
      </c>
      <c r="C2" s="15"/>
      <c r="D2" s="13" t="s">
        <v>549</v>
      </c>
      <c r="E2" s="13" t="s">
        <v>348</v>
      </c>
      <c r="F2" s="16">
        <v>1</v>
      </c>
      <c r="G2" s="17">
        <v>2061</v>
      </c>
      <c r="H2" s="20">
        <f>F2*G2</f>
        <v>2061</v>
      </c>
      <c r="I2" s="21">
        <v>0.05</v>
      </c>
      <c r="J2" s="20">
        <f>H2*(100%+I2)</f>
        <v>2164.0500000000002</v>
      </c>
      <c r="K2" s="20">
        <v>2061</v>
      </c>
      <c r="L2" s="20">
        <f>K2*F2</f>
        <v>2061</v>
      </c>
      <c r="M2" s="20">
        <f>L2*(100%+I2)</f>
        <v>2164.0500000000002</v>
      </c>
      <c r="N2" s="16">
        <v>3680</v>
      </c>
      <c r="O2" s="21">
        <v>0.18</v>
      </c>
      <c r="P2" s="20">
        <f>N2*(100%+O2)</f>
        <v>4342.3999999999996</v>
      </c>
      <c r="Q2" s="16">
        <v>0</v>
      </c>
      <c r="R2" s="20">
        <f>M2+P2</f>
        <v>6506.45</v>
      </c>
      <c r="S2" s="23">
        <f>MROUND(R2,50)-1</f>
        <v>6499</v>
      </c>
      <c r="T2" s="20">
        <f>S2-R2</f>
        <v>-7.4499999999998181</v>
      </c>
      <c r="U2" s="20">
        <f>S2-J2-Q2</f>
        <v>4334.95</v>
      </c>
      <c r="V2" s="20">
        <f>U2/(100%+I2)</f>
        <v>4128.5238095238092</v>
      </c>
      <c r="W2" s="25">
        <f>V2/H2</f>
        <v>2.0031653612439637</v>
      </c>
      <c r="X2" s="23"/>
      <c r="Y2" s="11"/>
      <c r="Z2" s="11"/>
    </row>
    <row r="3" spans="1:26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Accessories</vt:lpstr>
      <vt:lpstr>Maxicare</vt:lpstr>
      <vt:lpstr>Ceramic</vt:lpstr>
      <vt:lpstr>PPF</vt:lpstr>
      <vt:lpstr>GPS VLTD</vt:lpstr>
      <vt:lpstr>RTO Tape</vt:lpstr>
      <vt:lpstr>Kazam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CK_BMPL</dc:creator>
  <cp:lastModifiedBy>CK_BMPL</cp:lastModifiedBy>
  <dcterms:created xsi:type="dcterms:W3CDTF">2026-07-31T18:48:40Z</dcterms:created>
  <dcterms:modified xsi:type="dcterms:W3CDTF">2026-08-01T05:27:31Z</dcterms:modified>
</cp:coreProperties>
</file>