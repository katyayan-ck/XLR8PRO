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K_BMPL\Downloads\"/>
    </mc:Choice>
  </mc:AlternateContent>
  <bookViews>
    <workbookView xWindow="0" yWindow="0" windowWidth="23040" windowHeight="9264"/>
  </bookViews>
  <sheets>
    <sheet name="Accessories Pri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5" i="1" l="1"/>
  <c r="L235" i="1"/>
  <c r="M235" i="1" s="1"/>
  <c r="R235" i="1" s="1"/>
  <c r="S235" i="1" s="1"/>
  <c r="J235" i="1"/>
  <c r="H235" i="1"/>
  <c r="S234" i="1"/>
  <c r="R234" i="1"/>
  <c r="P234" i="1"/>
  <c r="M234" i="1"/>
  <c r="L234" i="1"/>
  <c r="J234" i="1"/>
  <c r="H234" i="1"/>
  <c r="R233" i="1"/>
  <c r="S233" i="1" s="1"/>
  <c r="P233" i="1"/>
  <c r="M233" i="1"/>
  <c r="K233" i="1"/>
  <c r="L233" i="1" s="1"/>
  <c r="J233" i="1"/>
  <c r="H233" i="1"/>
  <c r="G233" i="1"/>
  <c r="U232" i="1"/>
  <c r="V232" i="1" s="1"/>
  <c r="W232" i="1" s="1"/>
  <c r="T232" i="1"/>
  <c r="R232" i="1"/>
  <c r="S232" i="1" s="1"/>
  <c r="P232" i="1"/>
  <c r="L232" i="1"/>
  <c r="M232" i="1" s="1"/>
  <c r="H232" i="1"/>
  <c r="J232" i="1" s="1"/>
  <c r="P231" i="1"/>
  <c r="L231" i="1"/>
  <c r="M231" i="1" s="1"/>
  <c r="R231" i="1" s="1"/>
  <c r="S231" i="1" s="1"/>
  <c r="T231" i="1" s="1"/>
  <c r="H231" i="1"/>
  <c r="J231" i="1" s="1"/>
  <c r="P230" i="1"/>
  <c r="M230" i="1"/>
  <c r="L230" i="1"/>
  <c r="J230" i="1"/>
  <c r="H230" i="1"/>
  <c r="P229" i="1"/>
  <c r="R229" i="1" s="1"/>
  <c r="S229" i="1" s="1"/>
  <c r="T229" i="1" s="1"/>
  <c r="M229" i="1"/>
  <c r="L229" i="1"/>
  <c r="J229" i="1"/>
  <c r="H229" i="1"/>
  <c r="P228" i="1"/>
  <c r="L228" i="1"/>
  <c r="M228" i="1" s="1"/>
  <c r="R228" i="1" s="1"/>
  <c r="S228" i="1" s="1"/>
  <c r="H228" i="1"/>
  <c r="J228" i="1" s="1"/>
  <c r="R227" i="1"/>
  <c r="S227" i="1" s="1"/>
  <c r="P227" i="1"/>
  <c r="M227" i="1"/>
  <c r="L227" i="1"/>
  <c r="H227" i="1"/>
  <c r="J227" i="1" s="1"/>
  <c r="P226" i="1"/>
  <c r="L226" i="1"/>
  <c r="M226" i="1" s="1"/>
  <c r="R226" i="1" s="1"/>
  <c r="S226" i="1" s="1"/>
  <c r="H226" i="1"/>
  <c r="J226" i="1" s="1"/>
  <c r="P225" i="1"/>
  <c r="L225" i="1"/>
  <c r="M225" i="1" s="1"/>
  <c r="R225" i="1" s="1"/>
  <c r="S225" i="1" s="1"/>
  <c r="H225" i="1"/>
  <c r="J225" i="1" s="1"/>
  <c r="R224" i="1"/>
  <c r="S224" i="1" s="1"/>
  <c r="P224" i="1"/>
  <c r="M224" i="1"/>
  <c r="L224" i="1"/>
  <c r="H224" i="1"/>
  <c r="J224" i="1" s="1"/>
  <c r="R223" i="1"/>
  <c r="S223" i="1" s="1"/>
  <c r="P223" i="1"/>
  <c r="M223" i="1"/>
  <c r="L223" i="1"/>
  <c r="H223" i="1"/>
  <c r="J223" i="1" s="1"/>
  <c r="S222" i="1"/>
  <c r="U222" i="1" s="1"/>
  <c r="V222" i="1" s="1"/>
  <c r="W222" i="1" s="1"/>
  <c r="R222" i="1"/>
  <c r="P222" i="1"/>
  <c r="M222" i="1"/>
  <c r="L222" i="1"/>
  <c r="J222" i="1"/>
  <c r="H222" i="1"/>
  <c r="S221" i="1"/>
  <c r="P221" i="1"/>
  <c r="L221" i="1"/>
  <c r="M221" i="1" s="1"/>
  <c r="R221" i="1" s="1"/>
  <c r="H221" i="1"/>
  <c r="J221" i="1" s="1"/>
  <c r="P220" i="1"/>
  <c r="L220" i="1"/>
  <c r="M220" i="1" s="1"/>
  <c r="J220" i="1"/>
  <c r="H220" i="1"/>
  <c r="P219" i="1"/>
  <c r="L219" i="1"/>
  <c r="M219" i="1" s="1"/>
  <c r="R219" i="1" s="1"/>
  <c r="S219" i="1" s="1"/>
  <c r="J219" i="1"/>
  <c r="H219" i="1"/>
  <c r="U218" i="1"/>
  <c r="V218" i="1" s="1"/>
  <c r="W218" i="1" s="1"/>
  <c r="P218" i="1"/>
  <c r="L218" i="1"/>
  <c r="M218" i="1" s="1"/>
  <c r="R218" i="1" s="1"/>
  <c r="S218" i="1" s="1"/>
  <c r="T218" i="1" s="1"/>
  <c r="H218" i="1"/>
  <c r="J218" i="1" s="1"/>
  <c r="V217" i="1"/>
  <c r="W217" i="1" s="1"/>
  <c r="U217" i="1"/>
  <c r="P217" i="1"/>
  <c r="M217" i="1"/>
  <c r="R217" i="1" s="1"/>
  <c r="S217" i="1" s="1"/>
  <c r="T217" i="1" s="1"/>
  <c r="L217" i="1"/>
  <c r="J217" i="1"/>
  <c r="H217" i="1"/>
  <c r="P216" i="1"/>
  <c r="M216" i="1"/>
  <c r="R216" i="1" s="1"/>
  <c r="S216" i="1" s="1"/>
  <c r="L216" i="1"/>
  <c r="H216" i="1"/>
  <c r="J216" i="1" s="1"/>
  <c r="P215" i="1"/>
  <c r="M215" i="1"/>
  <c r="R215" i="1" s="1"/>
  <c r="S215" i="1" s="1"/>
  <c r="L215" i="1"/>
  <c r="H215" i="1"/>
  <c r="J215" i="1" s="1"/>
  <c r="P214" i="1"/>
  <c r="M214" i="1"/>
  <c r="L214" i="1"/>
  <c r="J214" i="1"/>
  <c r="H214" i="1"/>
  <c r="S213" i="1"/>
  <c r="U213" i="1" s="1"/>
  <c r="V213" i="1" s="1"/>
  <c r="W213" i="1" s="1"/>
  <c r="R213" i="1"/>
  <c r="P213" i="1"/>
  <c r="M213" i="1"/>
  <c r="L213" i="1"/>
  <c r="J213" i="1"/>
  <c r="H213" i="1"/>
  <c r="R212" i="1"/>
  <c r="S212" i="1" s="1"/>
  <c r="P212" i="1"/>
  <c r="L212" i="1"/>
  <c r="M212" i="1" s="1"/>
  <c r="H212" i="1"/>
  <c r="J212" i="1" s="1"/>
  <c r="R211" i="1"/>
  <c r="S211" i="1" s="1"/>
  <c r="T211" i="1" s="1"/>
  <c r="P211" i="1"/>
  <c r="M211" i="1"/>
  <c r="L211" i="1"/>
  <c r="H211" i="1"/>
  <c r="J211" i="1" s="1"/>
  <c r="U211" i="1" s="1"/>
  <c r="V211" i="1" s="1"/>
  <c r="W211" i="1" s="1"/>
  <c r="P210" i="1"/>
  <c r="M210" i="1"/>
  <c r="L210" i="1"/>
  <c r="H210" i="1"/>
  <c r="J210" i="1" s="1"/>
  <c r="P209" i="1"/>
  <c r="L209" i="1"/>
  <c r="M209" i="1" s="1"/>
  <c r="R209" i="1" s="1"/>
  <c r="S209" i="1" s="1"/>
  <c r="J209" i="1"/>
  <c r="H209" i="1"/>
  <c r="R208" i="1"/>
  <c r="S208" i="1" s="1"/>
  <c r="P208" i="1"/>
  <c r="M208" i="1"/>
  <c r="L208" i="1"/>
  <c r="H208" i="1"/>
  <c r="J208" i="1" s="1"/>
  <c r="T207" i="1"/>
  <c r="S207" i="1"/>
  <c r="U207" i="1" s="1"/>
  <c r="V207" i="1" s="1"/>
  <c r="W207" i="1" s="1"/>
  <c r="R207" i="1"/>
  <c r="P207" i="1"/>
  <c r="M207" i="1"/>
  <c r="L207" i="1"/>
  <c r="H207" i="1"/>
  <c r="J207" i="1" s="1"/>
  <c r="R206" i="1"/>
  <c r="S206" i="1" s="1"/>
  <c r="P206" i="1"/>
  <c r="M206" i="1"/>
  <c r="L206" i="1"/>
  <c r="J206" i="1"/>
  <c r="H206" i="1"/>
  <c r="V205" i="1"/>
  <c r="W205" i="1" s="1"/>
  <c r="T205" i="1"/>
  <c r="S205" i="1"/>
  <c r="U205" i="1" s="1"/>
  <c r="P205" i="1"/>
  <c r="L205" i="1"/>
  <c r="M205" i="1" s="1"/>
  <c r="R205" i="1" s="1"/>
  <c r="H205" i="1"/>
  <c r="J205" i="1" s="1"/>
  <c r="P204" i="1"/>
  <c r="R204" i="1" s="1"/>
  <c r="S204" i="1" s="1"/>
  <c r="T204" i="1" s="1"/>
  <c r="L204" i="1"/>
  <c r="M204" i="1" s="1"/>
  <c r="J204" i="1"/>
  <c r="H204" i="1"/>
  <c r="P203" i="1"/>
  <c r="M203" i="1"/>
  <c r="R203" i="1" s="1"/>
  <c r="S203" i="1" s="1"/>
  <c r="U203" i="1" s="1"/>
  <c r="V203" i="1" s="1"/>
  <c r="W203" i="1" s="1"/>
  <c r="L203" i="1"/>
  <c r="J203" i="1"/>
  <c r="H203" i="1"/>
  <c r="P202" i="1"/>
  <c r="L202" i="1"/>
  <c r="M202" i="1" s="1"/>
  <c r="R202" i="1" s="1"/>
  <c r="S202" i="1" s="1"/>
  <c r="H202" i="1"/>
  <c r="J202" i="1" s="1"/>
  <c r="S201" i="1"/>
  <c r="R201" i="1"/>
  <c r="P201" i="1"/>
  <c r="M201" i="1"/>
  <c r="L201" i="1"/>
  <c r="J201" i="1"/>
  <c r="H201" i="1"/>
  <c r="V200" i="1"/>
  <c r="W200" i="1" s="1"/>
  <c r="T200" i="1"/>
  <c r="S200" i="1"/>
  <c r="U200" i="1" s="1"/>
  <c r="R200" i="1"/>
  <c r="P200" i="1"/>
  <c r="L200" i="1"/>
  <c r="M200" i="1" s="1"/>
  <c r="H200" i="1"/>
  <c r="J200" i="1" s="1"/>
  <c r="P199" i="1"/>
  <c r="L199" i="1"/>
  <c r="M199" i="1" s="1"/>
  <c r="H199" i="1"/>
  <c r="J199" i="1" s="1"/>
  <c r="U198" i="1"/>
  <c r="V198" i="1" s="1"/>
  <c r="W198" i="1" s="1"/>
  <c r="S198" i="1"/>
  <c r="T198" i="1" s="1"/>
  <c r="P198" i="1"/>
  <c r="M198" i="1"/>
  <c r="R198" i="1" s="1"/>
  <c r="L198" i="1"/>
  <c r="J198" i="1"/>
  <c r="H198" i="1"/>
  <c r="P197" i="1"/>
  <c r="M197" i="1"/>
  <c r="R197" i="1" s="1"/>
  <c r="S197" i="1" s="1"/>
  <c r="L197" i="1"/>
  <c r="J197" i="1"/>
  <c r="H197" i="1"/>
  <c r="P196" i="1"/>
  <c r="L196" i="1"/>
  <c r="M196" i="1" s="1"/>
  <c r="R196" i="1" s="1"/>
  <c r="S196" i="1" s="1"/>
  <c r="J196" i="1"/>
  <c r="H196" i="1"/>
  <c r="U195" i="1"/>
  <c r="V195" i="1" s="1"/>
  <c r="W195" i="1" s="1"/>
  <c r="R195" i="1"/>
  <c r="S195" i="1" s="1"/>
  <c r="T195" i="1" s="1"/>
  <c r="P195" i="1"/>
  <c r="M195" i="1"/>
  <c r="L195" i="1"/>
  <c r="H195" i="1"/>
  <c r="J195" i="1" s="1"/>
  <c r="R194" i="1"/>
  <c r="S194" i="1" s="1"/>
  <c r="P194" i="1"/>
  <c r="M194" i="1"/>
  <c r="L194" i="1"/>
  <c r="K194" i="1"/>
  <c r="H194" i="1"/>
  <c r="J194" i="1" s="1"/>
  <c r="G194" i="1"/>
  <c r="P193" i="1"/>
  <c r="L193" i="1"/>
  <c r="M193" i="1" s="1"/>
  <c r="R193" i="1" s="1"/>
  <c r="S193" i="1" s="1"/>
  <c r="J193" i="1"/>
  <c r="H193" i="1"/>
  <c r="P192" i="1"/>
  <c r="L192" i="1"/>
  <c r="M192" i="1" s="1"/>
  <c r="R192" i="1" s="1"/>
  <c r="S192" i="1" s="1"/>
  <c r="T192" i="1" s="1"/>
  <c r="H192" i="1"/>
  <c r="J192" i="1" s="1"/>
  <c r="U192" i="1" s="1"/>
  <c r="V192" i="1" s="1"/>
  <c r="W192" i="1" s="1"/>
  <c r="R191" i="1"/>
  <c r="S191" i="1" s="1"/>
  <c r="P191" i="1"/>
  <c r="M191" i="1"/>
  <c r="L191" i="1"/>
  <c r="J191" i="1"/>
  <c r="H191" i="1"/>
  <c r="R190" i="1"/>
  <c r="S190" i="1" s="1"/>
  <c r="P190" i="1"/>
  <c r="L190" i="1"/>
  <c r="M190" i="1" s="1"/>
  <c r="H190" i="1"/>
  <c r="J190" i="1" s="1"/>
  <c r="P189" i="1"/>
  <c r="L189" i="1"/>
  <c r="M189" i="1" s="1"/>
  <c r="R189" i="1" s="1"/>
  <c r="S189" i="1" s="1"/>
  <c r="T189" i="1" s="1"/>
  <c r="H189" i="1"/>
  <c r="J189" i="1" s="1"/>
  <c r="V188" i="1"/>
  <c r="W188" i="1" s="1"/>
  <c r="U188" i="1"/>
  <c r="S188" i="1"/>
  <c r="T188" i="1" s="1"/>
  <c r="P188" i="1"/>
  <c r="M188" i="1"/>
  <c r="R188" i="1" s="1"/>
  <c r="L188" i="1"/>
  <c r="J188" i="1"/>
  <c r="H188" i="1"/>
  <c r="P187" i="1"/>
  <c r="M187" i="1"/>
  <c r="R187" i="1" s="1"/>
  <c r="S187" i="1" s="1"/>
  <c r="L187" i="1"/>
  <c r="J187" i="1"/>
  <c r="H187" i="1"/>
  <c r="P186" i="1"/>
  <c r="M186" i="1"/>
  <c r="R186" i="1" s="1"/>
  <c r="S186" i="1" s="1"/>
  <c r="L186" i="1"/>
  <c r="J186" i="1"/>
  <c r="H186" i="1"/>
  <c r="R185" i="1"/>
  <c r="S185" i="1" s="1"/>
  <c r="T185" i="1" s="1"/>
  <c r="P185" i="1"/>
  <c r="M185" i="1"/>
  <c r="L185" i="1"/>
  <c r="H185" i="1"/>
  <c r="J185" i="1" s="1"/>
  <c r="U184" i="1"/>
  <c r="V184" i="1" s="1"/>
  <c r="W184" i="1" s="1"/>
  <c r="T184" i="1"/>
  <c r="S184" i="1"/>
  <c r="R184" i="1"/>
  <c r="P184" i="1"/>
  <c r="M184" i="1"/>
  <c r="L184" i="1"/>
  <c r="H184" i="1"/>
  <c r="J184" i="1" s="1"/>
  <c r="R183" i="1"/>
  <c r="S183" i="1" s="1"/>
  <c r="P183" i="1"/>
  <c r="M183" i="1"/>
  <c r="K183" i="1"/>
  <c r="L183" i="1" s="1"/>
  <c r="H183" i="1"/>
  <c r="J183" i="1" s="1"/>
  <c r="G183" i="1"/>
  <c r="U182" i="1"/>
  <c r="V182" i="1" s="1"/>
  <c r="W182" i="1" s="1"/>
  <c r="P182" i="1"/>
  <c r="M182" i="1"/>
  <c r="R182" i="1" s="1"/>
  <c r="S182" i="1" s="1"/>
  <c r="T182" i="1" s="1"/>
  <c r="L182" i="1"/>
  <c r="H182" i="1"/>
  <c r="J182" i="1" s="1"/>
  <c r="P181" i="1"/>
  <c r="M181" i="1"/>
  <c r="R181" i="1" s="1"/>
  <c r="S181" i="1" s="1"/>
  <c r="T181" i="1" s="1"/>
  <c r="L181" i="1"/>
  <c r="J181" i="1"/>
  <c r="H181" i="1"/>
  <c r="R180" i="1"/>
  <c r="S180" i="1" s="1"/>
  <c r="U180" i="1" s="1"/>
  <c r="V180" i="1" s="1"/>
  <c r="W180" i="1" s="1"/>
  <c r="P180" i="1"/>
  <c r="M180" i="1"/>
  <c r="L180" i="1"/>
  <c r="H180" i="1"/>
  <c r="J180" i="1" s="1"/>
  <c r="P179" i="1"/>
  <c r="M179" i="1"/>
  <c r="R179" i="1" s="1"/>
  <c r="S179" i="1" s="1"/>
  <c r="T179" i="1" s="1"/>
  <c r="L179" i="1"/>
  <c r="H179" i="1"/>
  <c r="J179" i="1" s="1"/>
  <c r="P178" i="1"/>
  <c r="M178" i="1"/>
  <c r="R178" i="1" s="1"/>
  <c r="S178" i="1" s="1"/>
  <c r="L178" i="1"/>
  <c r="J178" i="1"/>
  <c r="H178" i="1"/>
  <c r="P177" i="1"/>
  <c r="L177" i="1"/>
  <c r="M177" i="1" s="1"/>
  <c r="R177" i="1" s="1"/>
  <c r="S177" i="1" s="1"/>
  <c r="J177" i="1"/>
  <c r="H177" i="1"/>
  <c r="P176" i="1"/>
  <c r="L176" i="1"/>
  <c r="M176" i="1" s="1"/>
  <c r="R176" i="1" s="1"/>
  <c r="S176" i="1" s="1"/>
  <c r="J176" i="1"/>
  <c r="H176" i="1"/>
  <c r="R175" i="1"/>
  <c r="S175" i="1" s="1"/>
  <c r="U175" i="1" s="1"/>
  <c r="V175" i="1" s="1"/>
  <c r="W175" i="1" s="1"/>
  <c r="P175" i="1"/>
  <c r="M175" i="1"/>
  <c r="L175" i="1"/>
  <c r="H175" i="1"/>
  <c r="J175" i="1" s="1"/>
  <c r="P174" i="1"/>
  <c r="M174" i="1"/>
  <c r="R174" i="1" s="1"/>
  <c r="S174" i="1" s="1"/>
  <c r="L174" i="1"/>
  <c r="H174" i="1"/>
  <c r="J174" i="1" s="1"/>
  <c r="P173" i="1"/>
  <c r="M173" i="1"/>
  <c r="R173" i="1" s="1"/>
  <c r="S173" i="1" s="1"/>
  <c r="L173" i="1"/>
  <c r="J173" i="1"/>
  <c r="H173" i="1"/>
  <c r="R172" i="1"/>
  <c r="S172" i="1" s="1"/>
  <c r="P172" i="1"/>
  <c r="L172" i="1"/>
  <c r="M172" i="1" s="1"/>
  <c r="J172" i="1"/>
  <c r="H172" i="1"/>
  <c r="R171" i="1"/>
  <c r="S171" i="1" s="1"/>
  <c r="P171" i="1"/>
  <c r="M171" i="1"/>
  <c r="L171" i="1"/>
  <c r="J171" i="1"/>
  <c r="H171" i="1"/>
  <c r="P170" i="1"/>
  <c r="M170" i="1"/>
  <c r="R170" i="1" s="1"/>
  <c r="S170" i="1" s="1"/>
  <c r="L170" i="1"/>
  <c r="J170" i="1"/>
  <c r="H170" i="1"/>
  <c r="P169" i="1"/>
  <c r="L169" i="1"/>
  <c r="M169" i="1" s="1"/>
  <c r="R169" i="1" s="1"/>
  <c r="S169" i="1" s="1"/>
  <c r="J169" i="1"/>
  <c r="H169" i="1"/>
  <c r="P168" i="1"/>
  <c r="L168" i="1"/>
  <c r="M168" i="1" s="1"/>
  <c r="R168" i="1" s="1"/>
  <c r="S168" i="1" s="1"/>
  <c r="J168" i="1"/>
  <c r="H168" i="1"/>
  <c r="P167" i="1"/>
  <c r="L167" i="1"/>
  <c r="M167" i="1" s="1"/>
  <c r="R167" i="1" s="1"/>
  <c r="S167" i="1" s="1"/>
  <c r="J167" i="1"/>
  <c r="H167" i="1"/>
  <c r="P166" i="1"/>
  <c r="L166" i="1"/>
  <c r="M166" i="1" s="1"/>
  <c r="R166" i="1" s="1"/>
  <c r="S166" i="1" s="1"/>
  <c r="J166" i="1"/>
  <c r="H166" i="1"/>
  <c r="P165" i="1"/>
  <c r="L165" i="1"/>
  <c r="M165" i="1" s="1"/>
  <c r="R165" i="1" s="1"/>
  <c r="S165" i="1" s="1"/>
  <c r="J165" i="1"/>
  <c r="H165" i="1"/>
  <c r="R164" i="1"/>
  <c r="S164" i="1" s="1"/>
  <c r="P164" i="1"/>
  <c r="M164" i="1"/>
  <c r="L164" i="1"/>
  <c r="J164" i="1"/>
  <c r="H164" i="1"/>
  <c r="P163" i="1"/>
  <c r="L163" i="1"/>
  <c r="M163" i="1" s="1"/>
  <c r="R163" i="1" s="1"/>
  <c r="S163" i="1" s="1"/>
  <c r="H163" i="1"/>
  <c r="J163" i="1" s="1"/>
  <c r="P162" i="1"/>
  <c r="M162" i="1"/>
  <c r="L162" i="1"/>
  <c r="H162" i="1"/>
  <c r="J162" i="1" s="1"/>
  <c r="P161" i="1"/>
  <c r="L161" i="1"/>
  <c r="M161" i="1" s="1"/>
  <c r="R161" i="1" s="1"/>
  <c r="S161" i="1" s="1"/>
  <c r="J161" i="1"/>
  <c r="H161" i="1"/>
  <c r="P160" i="1"/>
  <c r="M160" i="1"/>
  <c r="R160" i="1" s="1"/>
  <c r="S160" i="1" s="1"/>
  <c r="L160" i="1"/>
  <c r="J160" i="1"/>
  <c r="H160" i="1"/>
  <c r="W159" i="1"/>
  <c r="V159" i="1"/>
  <c r="U159" i="1"/>
  <c r="R159" i="1"/>
  <c r="S159" i="1" s="1"/>
  <c r="T159" i="1" s="1"/>
  <c r="P159" i="1"/>
  <c r="M159" i="1"/>
  <c r="L159" i="1"/>
  <c r="H159" i="1"/>
  <c r="J159" i="1" s="1"/>
  <c r="P158" i="1"/>
  <c r="L158" i="1"/>
  <c r="M158" i="1" s="1"/>
  <c r="R158" i="1" s="1"/>
  <c r="S158" i="1" s="1"/>
  <c r="H158" i="1"/>
  <c r="J158" i="1" s="1"/>
  <c r="P157" i="1"/>
  <c r="M157" i="1"/>
  <c r="R157" i="1" s="1"/>
  <c r="S157" i="1" s="1"/>
  <c r="L157" i="1"/>
  <c r="J157" i="1"/>
  <c r="H157" i="1"/>
  <c r="S156" i="1"/>
  <c r="T156" i="1" s="1"/>
  <c r="P156" i="1"/>
  <c r="L156" i="1"/>
  <c r="M156" i="1" s="1"/>
  <c r="R156" i="1" s="1"/>
  <c r="J156" i="1"/>
  <c r="H156" i="1"/>
  <c r="P155" i="1"/>
  <c r="M155" i="1"/>
  <c r="R155" i="1" s="1"/>
  <c r="S155" i="1" s="1"/>
  <c r="U155" i="1" s="1"/>
  <c r="V155" i="1" s="1"/>
  <c r="W155" i="1" s="1"/>
  <c r="L155" i="1"/>
  <c r="J155" i="1"/>
  <c r="H155" i="1"/>
  <c r="P154" i="1"/>
  <c r="L154" i="1"/>
  <c r="M154" i="1" s="1"/>
  <c r="R154" i="1" s="1"/>
  <c r="S154" i="1" s="1"/>
  <c r="J154" i="1"/>
  <c r="H154" i="1"/>
  <c r="P153" i="1"/>
  <c r="L153" i="1"/>
  <c r="M153" i="1" s="1"/>
  <c r="R153" i="1" s="1"/>
  <c r="S153" i="1" s="1"/>
  <c r="J153" i="1"/>
  <c r="H153" i="1"/>
  <c r="R152" i="1"/>
  <c r="S152" i="1" s="1"/>
  <c r="P152" i="1"/>
  <c r="L152" i="1"/>
  <c r="M152" i="1" s="1"/>
  <c r="J152" i="1"/>
  <c r="H152" i="1"/>
  <c r="S151" i="1"/>
  <c r="R151" i="1"/>
  <c r="P151" i="1"/>
  <c r="M151" i="1"/>
  <c r="L151" i="1"/>
  <c r="J151" i="1"/>
  <c r="H151" i="1"/>
  <c r="T150" i="1"/>
  <c r="P150" i="1"/>
  <c r="M150" i="1"/>
  <c r="R150" i="1" s="1"/>
  <c r="S150" i="1" s="1"/>
  <c r="U150" i="1" s="1"/>
  <c r="V150" i="1" s="1"/>
  <c r="W150" i="1" s="1"/>
  <c r="L150" i="1"/>
  <c r="H150" i="1"/>
  <c r="J150" i="1" s="1"/>
  <c r="T149" i="1"/>
  <c r="S149" i="1"/>
  <c r="U149" i="1" s="1"/>
  <c r="V149" i="1" s="1"/>
  <c r="W149" i="1" s="1"/>
  <c r="P149" i="1"/>
  <c r="M149" i="1"/>
  <c r="R149" i="1" s="1"/>
  <c r="L149" i="1"/>
  <c r="J149" i="1"/>
  <c r="H149" i="1"/>
  <c r="P148" i="1"/>
  <c r="K148" i="1"/>
  <c r="L148" i="1" s="1"/>
  <c r="M148" i="1" s="1"/>
  <c r="R148" i="1" s="1"/>
  <c r="S148" i="1" s="1"/>
  <c r="J148" i="1"/>
  <c r="G148" i="1"/>
  <c r="H148" i="1" s="1"/>
  <c r="P147" i="1"/>
  <c r="L147" i="1"/>
  <c r="M147" i="1" s="1"/>
  <c r="R147" i="1" s="1"/>
  <c r="S147" i="1" s="1"/>
  <c r="H147" i="1"/>
  <c r="J147" i="1" s="1"/>
  <c r="R146" i="1"/>
  <c r="S146" i="1" s="1"/>
  <c r="P146" i="1"/>
  <c r="L146" i="1"/>
  <c r="M146" i="1" s="1"/>
  <c r="H146" i="1"/>
  <c r="J146" i="1" s="1"/>
  <c r="S145" i="1"/>
  <c r="U145" i="1" s="1"/>
  <c r="V145" i="1" s="1"/>
  <c r="W145" i="1" s="1"/>
  <c r="R145" i="1"/>
  <c r="P145" i="1"/>
  <c r="M145" i="1"/>
  <c r="L145" i="1"/>
  <c r="H145" i="1"/>
  <c r="J145" i="1" s="1"/>
  <c r="R144" i="1"/>
  <c r="S144" i="1" s="1"/>
  <c r="P144" i="1"/>
  <c r="M144" i="1"/>
  <c r="L144" i="1"/>
  <c r="J144" i="1"/>
  <c r="H144" i="1"/>
  <c r="V143" i="1"/>
  <c r="W143" i="1" s="1"/>
  <c r="T143" i="1"/>
  <c r="S143" i="1"/>
  <c r="U143" i="1" s="1"/>
  <c r="P143" i="1"/>
  <c r="L143" i="1"/>
  <c r="M143" i="1" s="1"/>
  <c r="R143" i="1" s="1"/>
  <c r="H143" i="1"/>
  <c r="J143" i="1" s="1"/>
  <c r="P142" i="1"/>
  <c r="R142" i="1" s="1"/>
  <c r="S142" i="1" s="1"/>
  <c r="L142" i="1"/>
  <c r="M142" i="1" s="1"/>
  <c r="J142" i="1"/>
  <c r="H142" i="1"/>
  <c r="T141" i="1"/>
  <c r="P141" i="1"/>
  <c r="M141" i="1"/>
  <c r="R141" i="1" s="1"/>
  <c r="S141" i="1" s="1"/>
  <c r="U141" i="1" s="1"/>
  <c r="V141" i="1" s="1"/>
  <c r="W141" i="1" s="1"/>
  <c r="L141" i="1"/>
  <c r="H141" i="1"/>
  <c r="J141" i="1" s="1"/>
  <c r="P140" i="1"/>
  <c r="M140" i="1"/>
  <c r="R140" i="1" s="1"/>
  <c r="S140" i="1" s="1"/>
  <c r="U140" i="1" s="1"/>
  <c r="V140" i="1" s="1"/>
  <c r="W140" i="1" s="1"/>
  <c r="L140" i="1"/>
  <c r="J140" i="1"/>
  <c r="H140" i="1"/>
  <c r="P139" i="1"/>
  <c r="M139" i="1"/>
  <c r="R139" i="1" s="1"/>
  <c r="S139" i="1" s="1"/>
  <c r="L139" i="1"/>
  <c r="J139" i="1"/>
  <c r="H139" i="1"/>
  <c r="R138" i="1"/>
  <c r="S138" i="1" s="1"/>
  <c r="P138" i="1"/>
  <c r="L138" i="1"/>
  <c r="M138" i="1" s="1"/>
  <c r="H138" i="1"/>
  <c r="J138" i="1" s="1"/>
  <c r="P137" i="1"/>
  <c r="K137" i="1"/>
  <c r="L137" i="1" s="1"/>
  <c r="M137" i="1" s="1"/>
  <c r="R137" i="1" s="1"/>
  <c r="S137" i="1" s="1"/>
  <c r="J137" i="1"/>
  <c r="H137" i="1"/>
  <c r="T136" i="1"/>
  <c r="P136" i="1"/>
  <c r="R136" i="1" s="1"/>
  <c r="S136" i="1" s="1"/>
  <c r="U136" i="1" s="1"/>
  <c r="V136" i="1" s="1"/>
  <c r="W136" i="1" s="1"/>
  <c r="M136" i="1"/>
  <c r="L136" i="1"/>
  <c r="H136" i="1"/>
  <c r="J136" i="1" s="1"/>
  <c r="P135" i="1"/>
  <c r="R135" i="1" s="1"/>
  <c r="S135" i="1" s="1"/>
  <c r="M135" i="1"/>
  <c r="L135" i="1"/>
  <c r="H135" i="1"/>
  <c r="J135" i="1" s="1"/>
  <c r="P134" i="1"/>
  <c r="M134" i="1"/>
  <c r="R134" i="1" s="1"/>
  <c r="S134" i="1" s="1"/>
  <c r="L134" i="1"/>
  <c r="J134" i="1"/>
  <c r="H134" i="1"/>
  <c r="S133" i="1"/>
  <c r="T133" i="1" s="1"/>
  <c r="R133" i="1"/>
  <c r="P133" i="1"/>
  <c r="M133" i="1"/>
  <c r="L133" i="1"/>
  <c r="J133" i="1"/>
  <c r="H133" i="1"/>
  <c r="P132" i="1"/>
  <c r="M132" i="1"/>
  <c r="R132" i="1" s="1"/>
  <c r="S132" i="1" s="1"/>
  <c r="L132" i="1"/>
  <c r="J132" i="1"/>
  <c r="H132" i="1"/>
  <c r="P131" i="1"/>
  <c r="L131" i="1"/>
  <c r="M131" i="1" s="1"/>
  <c r="R131" i="1" s="1"/>
  <c r="S131" i="1" s="1"/>
  <c r="H131" i="1"/>
  <c r="J131" i="1" s="1"/>
  <c r="P130" i="1"/>
  <c r="L130" i="1"/>
  <c r="M130" i="1" s="1"/>
  <c r="R130" i="1" s="1"/>
  <c r="S130" i="1" s="1"/>
  <c r="H130" i="1"/>
  <c r="J130" i="1" s="1"/>
  <c r="T129" i="1"/>
  <c r="P129" i="1"/>
  <c r="L129" i="1"/>
  <c r="M129" i="1" s="1"/>
  <c r="R129" i="1" s="1"/>
  <c r="S129" i="1" s="1"/>
  <c r="U129" i="1" s="1"/>
  <c r="V129" i="1" s="1"/>
  <c r="W129" i="1" s="1"/>
  <c r="J129" i="1"/>
  <c r="H129" i="1"/>
  <c r="P128" i="1"/>
  <c r="L128" i="1"/>
  <c r="M128" i="1" s="1"/>
  <c r="R128" i="1" s="1"/>
  <c r="S128" i="1" s="1"/>
  <c r="H128" i="1"/>
  <c r="J128" i="1" s="1"/>
  <c r="P127" i="1"/>
  <c r="L127" i="1"/>
  <c r="M127" i="1" s="1"/>
  <c r="R127" i="1" s="1"/>
  <c r="S127" i="1" s="1"/>
  <c r="H127" i="1"/>
  <c r="J127" i="1" s="1"/>
  <c r="P126" i="1"/>
  <c r="L126" i="1"/>
  <c r="M126" i="1" s="1"/>
  <c r="R126" i="1" s="1"/>
  <c r="S126" i="1" s="1"/>
  <c r="J126" i="1"/>
  <c r="H126" i="1"/>
  <c r="P125" i="1"/>
  <c r="L125" i="1"/>
  <c r="M125" i="1" s="1"/>
  <c r="R125" i="1" s="1"/>
  <c r="S125" i="1" s="1"/>
  <c r="J125" i="1"/>
  <c r="H125" i="1"/>
  <c r="P124" i="1"/>
  <c r="M124" i="1"/>
  <c r="L124" i="1"/>
  <c r="J124" i="1"/>
  <c r="H124" i="1"/>
  <c r="T123" i="1"/>
  <c r="P123" i="1"/>
  <c r="M123" i="1"/>
  <c r="R123" i="1" s="1"/>
  <c r="S123" i="1" s="1"/>
  <c r="U123" i="1" s="1"/>
  <c r="V123" i="1" s="1"/>
  <c r="W123" i="1" s="1"/>
  <c r="L123" i="1"/>
  <c r="J123" i="1"/>
  <c r="H123" i="1"/>
  <c r="P122" i="1"/>
  <c r="K122" i="1"/>
  <c r="L122" i="1" s="1"/>
  <c r="M122" i="1" s="1"/>
  <c r="R122" i="1" s="1"/>
  <c r="S122" i="1" s="1"/>
  <c r="G122" i="1"/>
  <c r="H122" i="1" s="1"/>
  <c r="J122" i="1" s="1"/>
  <c r="P121" i="1"/>
  <c r="L121" i="1"/>
  <c r="M121" i="1" s="1"/>
  <c r="R121" i="1" s="1"/>
  <c r="S121" i="1" s="1"/>
  <c r="J121" i="1"/>
  <c r="H121" i="1"/>
  <c r="P120" i="1"/>
  <c r="L120" i="1"/>
  <c r="M120" i="1" s="1"/>
  <c r="R120" i="1" s="1"/>
  <c r="S120" i="1" s="1"/>
  <c r="H120" i="1"/>
  <c r="J120" i="1" s="1"/>
  <c r="R119" i="1"/>
  <c r="S119" i="1" s="1"/>
  <c r="P119" i="1"/>
  <c r="L119" i="1"/>
  <c r="M119" i="1" s="1"/>
  <c r="J119" i="1"/>
  <c r="H119" i="1"/>
  <c r="P118" i="1"/>
  <c r="M118" i="1"/>
  <c r="R118" i="1" s="1"/>
  <c r="S118" i="1" s="1"/>
  <c r="L118" i="1"/>
  <c r="J118" i="1"/>
  <c r="H118" i="1"/>
  <c r="T117" i="1"/>
  <c r="P117" i="1"/>
  <c r="L117" i="1"/>
  <c r="M117" i="1" s="1"/>
  <c r="R117" i="1" s="1"/>
  <c r="S117" i="1" s="1"/>
  <c r="U117" i="1" s="1"/>
  <c r="V117" i="1" s="1"/>
  <c r="W117" i="1" s="1"/>
  <c r="H117" i="1"/>
  <c r="J117" i="1" s="1"/>
  <c r="P116" i="1"/>
  <c r="M116" i="1"/>
  <c r="R116" i="1" s="1"/>
  <c r="S116" i="1" s="1"/>
  <c r="L116" i="1"/>
  <c r="J116" i="1"/>
  <c r="H116" i="1"/>
  <c r="P115" i="1"/>
  <c r="L115" i="1"/>
  <c r="M115" i="1" s="1"/>
  <c r="R115" i="1" s="1"/>
  <c r="S115" i="1" s="1"/>
  <c r="H115" i="1"/>
  <c r="J115" i="1" s="1"/>
  <c r="P114" i="1"/>
  <c r="L114" i="1"/>
  <c r="M114" i="1" s="1"/>
  <c r="R114" i="1" s="1"/>
  <c r="S114" i="1" s="1"/>
  <c r="H114" i="1"/>
  <c r="J114" i="1" s="1"/>
  <c r="S113" i="1"/>
  <c r="U113" i="1" s="1"/>
  <c r="V113" i="1" s="1"/>
  <c r="W113" i="1" s="1"/>
  <c r="P113" i="1"/>
  <c r="M113" i="1"/>
  <c r="R113" i="1" s="1"/>
  <c r="L113" i="1"/>
  <c r="J113" i="1"/>
  <c r="H113" i="1"/>
  <c r="U112" i="1"/>
  <c r="V112" i="1" s="1"/>
  <c r="W112" i="1" s="1"/>
  <c r="T112" i="1"/>
  <c r="S112" i="1"/>
  <c r="R112" i="1"/>
  <c r="P112" i="1"/>
  <c r="M112" i="1"/>
  <c r="L112" i="1"/>
  <c r="J112" i="1"/>
  <c r="H112" i="1"/>
  <c r="P111" i="1"/>
  <c r="M111" i="1"/>
  <c r="R111" i="1" s="1"/>
  <c r="S111" i="1" s="1"/>
  <c r="L111" i="1"/>
  <c r="H111" i="1"/>
  <c r="J111" i="1" s="1"/>
  <c r="W110" i="1"/>
  <c r="V110" i="1"/>
  <c r="U110" i="1"/>
  <c r="R110" i="1"/>
  <c r="S110" i="1" s="1"/>
  <c r="T110" i="1" s="1"/>
  <c r="P110" i="1"/>
  <c r="M110" i="1"/>
  <c r="L110" i="1"/>
  <c r="H110" i="1"/>
  <c r="J110" i="1" s="1"/>
  <c r="P109" i="1"/>
  <c r="L109" i="1"/>
  <c r="M109" i="1" s="1"/>
  <c r="R109" i="1" s="1"/>
  <c r="S109" i="1" s="1"/>
  <c r="H109" i="1"/>
  <c r="J109" i="1" s="1"/>
  <c r="P108" i="1"/>
  <c r="M108" i="1"/>
  <c r="L108" i="1"/>
  <c r="J108" i="1"/>
  <c r="H108" i="1"/>
  <c r="R107" i="1"/>
  <c r="S107" i="1" s="1"/>
  <c r="P107" i="1"/>
  <c r="L107" i="1"/>
  <c r="M107" i="1" s="1"/>
  <c r="J107" i="1"/>
  <c r="H107" i="1"/>
  <c r="U106" i="1"/>
  <c r="V106" i="1" s="1"/>
  <c r="W106" i="1" s="1"/>
  <c r="T106" i="1"/>
  <c r="S106" i="1"/>
  <c r="R106" i="1"/>
  <c r="P106" i="1"/>
  <c r="M106" i="1"/>
  <c r="L106" i="1"/>
  <c r="J106" i="1"/>
  <c r="H106" i="1"/>
  <c r="R105" i="1"/>
  <c r="S105" i="1" s="1"/>
  <c r="P105" i="1"/>
  <c r="L105" i="1"/>
  <c r="M105" i="1" s="1"/>
  <c r="H105" i="1"/>
  <c r="J105" i="1" s="1"/>
  <c r="T104" i="1"/>
  <c r="P104" i="1"/>
  <c r="L104" i="1"/>
  <c r="M104" i="1" s="1"/>
  <c r="R104" i="1" s="1"/>
  <c r="S104" i="1" s="1"/>
  <c r="H104" i="1"/>
  <c r="J104" i="1" s="1"/>
  <c r="T103" i="1"/>
  <c r="P103" i="1"/>
  <c r="L103" i="1"/>
  <c r="M103" i="1" s="1"/>
  <c r="R103" i="1" s="1"/>
  <c r="S103" i="1" s="1"/>
  <c r="U103" i="1" s="1"/>
  <c r="V103" i="1" s="1"/>
  <c r="W103" i="1" s="1"/>
  <c r="J103" i="1"/>
  <c r="H103" i="1"/>
  <c r="P102" i="1"/>
  <c r="R102" i="1" s="1"/>
  <c r="S102" i="1" s="1"/>
  <c r="M102" i="1"/>
  <c r="L102" i="1"/>
  <c r="H102" i="1"/>
  <c r="J102" i="1" s="1"/>
  <c r="P101" i="1"/>
  <c r="L101" i="1"/>
  <c r="M101" i="1" s="1"/>
  <c r="R101" i="1" s="1"/>
  <c r="S101" i="1" s="1"/>
  <c r="H101" i="1"/>
  <c r="J101" i="1" s="1"/>
  <c r="R100" i="1"/>
  <c r="S100" i="1" s="1"/>
  <c r="P100" i="1"/>
  <c r="M100" i="1"/>
  <c r="L100" i="1"/>
  <c r="J100" i="1"/>
  <c r="H100" i="1"/>
  <c r="R99" i="1"/>
  <c r="S99" i="1" s="1"/>
  <c r="P99" i="1"/>
  <c r="M99" i="1"/>
  <c r="L99" i="1"/>
  <c r="J99" i="1"/>
  <c r="H99" i="1"/>
  <c r="P98" i="1"/>
  <c r="N98" i="1"/>
  <c r="L98" i="1"/>
  <c r="M98" i="1" s="1"/>
  <c r="H98" i="1"/>
  <c r="J98" i="1" s="1"/>
  <c r="R97" i="1"/>
  <c r="S97" i="1" s="1"/>
  <c r="U97" i="1" s="1"/>
  <c r="V97" i="1" s="1"/>
  <c r="W97" i="1" s="1"/>
  <c r="P97" i="1"/>
  <c r="M97" i="1"/>
  <c r="L97" i="1"/>
  <c r="H97" i="1"/>
  <c r="J97" i="1" s="1"/>
  <c r="P96" i="1"/>
  <c r="M96" i="1"/>
  <c r="L96" i="1"/>
  <c r="H96" i="1"/>
  <c r="J96" i="1" s="1"/>
  <c r="P95" i="1"/>
  <c r="M95" i="1"/>
  <c r="R95" i="1" s="1"/>
  <c r="S95" i="1" s="1"/>
  <c r="L95" i="1"/>
  <c r="J95" i="1"/>
  <c r="H95" i="1"/>
  <c r="P94" i="1"/>
  <c r="L94" i="1"/>
  <c r="M94" i="1" s="1"/>
  <c r="R94" i="1" s="1"/>
  <c r="S94" i="1" s="1"/>
  <c r="J94" i="1"/>
  <c r="H94" i="1"/>
  <c r="P93" i="1"/>
  <c r="R93" i="1" s="1"/>
  <c r="S93" i="1" s="1"/>
  <c r="M93" i="1"/>
  <c r="L93" i="1"/>
  <c r="J93" i="1"/>
  <c r="H93" i="1"/>
  <c r="P92" i="1"/>
  <c r="R92" i="1" s="1"/>
  <c r="S92" i="1" s="1"/>
  <c r="M92" i="1"/>
  <c r="L92" i="1"/>
  <c r="H92" i="1"/>
  <c r="J92" i="1" s="1"/>
  <c r="S91" i="1"/>
  <c r="U91" i="1" s="1"/>
  <c r="V91" i="1" s="1"/>
  <c r="W91" i="1" s="1"/>
  <c r="P91" i="1"/>
  <c r="L91" i="1"/>
  <c r="M91" i="1" s="1"/>
  <c r="R91" i="1" s="1"/>
  <c r="J91" i="1"/>
  <c r="H91" i="1"/>
  <c r="U90" i="1"/>
  <c r="V90" i="1" s="1"/>
  <c r="W90" i="1" s="1"/>
  <c r="T90" i="1"/>
  <c r="S90" i="1"/>
  <c r="R90" i="1"/>
  <c r="P90" i="1"/>
  <c r="L90" i="1"/>
  <c r="M90" i="1" s="1"/>
  <c r="J90" i="1"/>
  <c r="H90" i="1"/>
  <c r="T89" i="1"/>
  <c r="S89" i="1"/>
  <c r="P89" i="1"/>
  <c r="L89" i="1"/>
  <c r="M89" i="1" s="1"/>
  <c r="R89" i="1" s="1"/>
  <c r="J89" i="1"/>
  <c r="U89" i="1" s="1"/>
  <c r="V89" i="1" s="1"/>
  <c r="W89" i="1" s="1"/>
  <c r="H89" i="1"/>
  <c r="U88" i="1"/>
  <c r="V88" i="1" s="1"/>
  <c r="W88" i="1" s="1"/>
  <c r="T88" i="1"/>
  <c r="P88" i="1"/>
  <c r="M88" i="1"/>
  <c r="R88" i="1" s="1"/>
  <c r="S88" i="1" s="1"/>
  <c r="L88" i="1"/>
  <c r="J88" i="1"/>
  <c r="H88" i="1"/>
  <c r="R87" i="1"/>
  <c r="S87" i="1" s="1"/>
  <c r="P87" i="1"/>
  <c r="M87" i="1"/>
  <c r="L87" i="1"/>
  <c r="J87" i="1"/>
  <c r="H87" i="1"/>
  <c r="U86" i="1"/>
  <c r="V86" i="1" s="1"/>
  <c r="W86" i="1" s="1"/>
  <c r="T86" i="1"/>
  <c r="S86" i="1"/>
  <c r="R86" i="1"/>
  <c r="P86" i="1"/>
  <c r="M86" i="1"/>
  <c r="L86" i="1"/>
  <c r="J86" i="1"/>
  <c r="H86" i="1"/>
  <c r="P85" i="1"/>
  <c r="L85" i="1"/>
  <c r="M85" i="1" s="1"/>
  <c r="R85" i="1" s="1"/>
  <c r="S85" i="1" s="1"/>
  <c r="H85" i="1"/>
  <c r="J85" i="1" s="1"/>
  <c r="P84" i="1"/>
  <c r="N84" i="1"/>
  <c r="M84" i="1"/>
  <c r="L84" i="1"/>
  <c r="H84" i="1"/>
  <c r="J84" i="1" s="1"/>
  <c r="P83" i="1"/>
  <c r="M83" i="1"/>
  <c r="R83" i="1" s="1"/>
  <c r="S83" i="1" s="1"/>
  <c r="L83" i="1"/>
  <c r="H83" i="1"/>
  <c r="J83" i="1" s="1"/>
  <c r="P82" i="1"/>
  <c r="L82" i="1"/>
  <c r="M82" i="1" s="1"/>
  <c r="R82" i="1" s="1"/>
  <c r="S82" i="1" s="1"/>
  <c r="H82" i="1"/>
  <c r="J82" i="1" s="1"/>
  <c r="P81" i="1"/>
  <c r="L81" i="1"/>
  <c r="M81" i="1" s="1"/>
  <c r="R81" i="1" s="1"/>
  <c r="S81" i="1" s="1"/>
  <c r="J81" i="1"/>
  <c r="H81" i="1"/>
  <c r="P80" i="1"/>
  <c r="M80" i="1"/>
  <c r="R80" i="1" s="1"/>
  <c r="S80" i="1" s="1"/>
  <c r="L80" i="1"/>
  <c r="J80" i="1"/>
  <c r="H80" i="1"/>
  <c r="P79" i="1"/>
  <c r="L79" i="1"/>
  <c r="M79" i="1" s="1"/>
  <c r="R79" i="1" s="1"/>
  <c r="S79" i="1" s="1"/>
  <c r="H79" i="1"/>
  <c r="J79" i="1" s="1"/>
  <c r="P78" i="1"/>
  <c r="L78" i="1"/>
  <c r="M78" i="1" s="1"/>
  <c r="R78" i="1" s="1"/>
  <c r="S78" i="1" s="1"/>
  <c r="J78" i="1"/>
  <c r="H78" i="1"/>
  <c r="U77" i="1"/>
  <c r="V77" i="1" s="1"/>
  <c r="W77" i="1" s="1"/>
  <c r="S77" i="1"/>
  <c r="T77" i="1" s="1"/>
  <c r="R77" i="1"/>
  <c r="P77" i="1"/>
  <c r="L77" i="1"/>
  <c r="M77" i="1" s="1"/>
  <c r="J77" i="1"/>
  <c r="H77" i="1"/>
  <c r="P76" i="1"/>
  <c r="L76" i="1"/>
  <c r="M76" i="1" s="1"/>
  <c r="R76" i="1" s="1"/>
  <c r="S76" i="1" s="1"/>
  <c r="H76" i="1"/>
  <c r="J76" i="1" s="1"/>
  <c r="T75" i="1"/>
  <c r="P75" i="1"/>
  <c r="M75" i="1"/>
  <c r="R75" i="1" s="1"/>
  <c r="S75" i="1" s="1"/>
  <c r="L75" i="1"/>
  <c r="J75" i="1"/>
  <c r="U75" i="1" s="1"/>
  <c r="V75" i="1" s="1"/>
  <c r="W75" i="1" s="1"/>
  <c r="H75" i="1"/>
  <c r="R74" i="1"/>
  <c r="S74" i="1" s="1"/>
  <c r="P74" i="1"/>
  <c r="M74" i="1"/>
  <c r="L74" i="1"/>
  <c r="J74" i="1"/>
  <c r="H74" i="1"/>
  <c r="P73" i="1"/>
  <c r="R73" i="1" s="1"/>
  <c r="S73" i="1" s="1"/>
  <c r="M73" i="1"/>
  <c r="L73" i="1"/>
  <c r="H73" i="1"/>
  <c r="J73" i="1" s="1"/>
  <c r="P72" i="1"/>
  <c r="M72" i="1"/>
  <c r="R72" i="1" s="1"/>
  <c r="S72" i="1" s="1"/>
  <c r="T72" i="1" s="1"/>
  <c r="L72" i="1"/>
  <c r="J72" i="1"/>
  <c r="H72" i="1"/>
  <c r="P71" i="1"/>
  <c r="M71" i="1"/>
  <c r="R71" i="1" s="1"/>
  <c r="S71" i="1" s="1"/>
  <c r="L71" i="1"/>
  <c r="J71" i="1"/>
  <c r="H71" i="1"/>
  <c r="S70" i="1"/>
  <c r="P70" i="1"/>
  <c r="L70" i="1"/>
  <c r="M70" i="1" s="1"/>
  <c r="R70" i="1" s="1"/>
  <c r="H70" i="1"/>
  <c r="J70" i="1" s="1"/>
  <c r="P69" i="1"/>
  <c r="L69" i="1"/>
  <c r="M69" i="1" s="1"/>
  <c r="R69" i="1" s="1"/>
  <c r="S69" i="1" s="1"/>
  <c r="H69" i="1"/>
  <c r="J69" i="1" s="1"/>
  <c r="P68" i="1"/>
  <c r="L68" i="1"/>
  <c r="M68" i="1" s="1"/>
  <c r="R68" i="1" s="1"/>
  <c r="S68" i="1" s="1"/>
  <c r="H68" i="1"/>
  <c r="J68" i="1" s="1"/>
  <c r="P67" i="1"/>
  <c r="L67" i="1"/>
  <c r="M67" i="1" s="1"/>
  <c r="R67" i="1" s="1"/>
  <c r="S67" i="1" s="1"/>
  <c r="J67" i="1"/>
  <c r="H67" i="1"/>
  <c r="P66" i="1"/>
  <c r="L66" i="1"/>
  <c r="M66" i="1" s="1"/>
  <c r="R66" i="1" s="1"/>
  <c r="S66" i="1" s="1"/>
  <c r="J66" i="1"/>
  <c r="H66" i="1"/>
  <c r="P65" i="1"/>
  <c r="M65" i="1"/>
  <c r="R65" i="1" s="1"/>
  <c r="S65" i="1" s="1"/>
  <c r="L65" i="1"/>
  <c r="J65" i="1"/>
  <c r="H65" i="1"/>
  <c r="P64" i="1"/>
  <c r="M64" i="1"/>
  <c r="R64" i="1" s="1"/>
  <c r="S64" i="1" s="1"/>
  <c r="T64" i="1" s="1"/>
  <c r="L64" i="1"/>
  <c r="H64" i="1"/>
  <c r="J64" i="1" s="1"/>
  <c r="R63" i="1"/>
  <c r="S63" i="1" s="1"/>
  <c r="P63" i="1"/>
  <c r="M63" i="1"/>
  <c r="L63" i="1"/>
  <c r="H63" i="1"/>
  <c r="J63" i="1" s="1"/>
  <c r="P62" i="1"/>
  <c r="L62" i="1"/>
  <c r="M62" i="1" s="1"/>
  <c r="R62" i="1" s="1"/>
  <c r="S62" i="1" s="1"/>
  <c r="H62" i="1"/>
  <c r="J62" i="1" s="1"/>
  <c r="P61" i="1"/>
  <c r="L61" i="1"/>
  <c r="M61" i="1" s="1"/>
  <c r="R61" i="1" s="1"/>
  <c r="S61" i="1" s="1"/>
  <c r="H61" i="1"/>
  <c r="J61" i="1" s="1"/>
  <c r="P60" i="1"/>
  <c r="M60" i="1"/>
  <c r="R60" i="1" s="1"/>
  <c r="S60" i="1" s="1"/>
  <c r="L60" i="1"/>
  <c r="J60" i="1"/>
  <c r="H60" i="1"/>
  <c r="P59" i="1"/>
  <c r="L59" i="1"/>
  <c r="M59" i="1" s="1"/>
  <c r="R59" i="1" s="1"/>
  <c r="S59" i="1" s="1"/>
  <c r="H59" i="1"/>
  <c r="J59" i="1" s="1"/>
  <c r="R58" i="1"/>
  <c r="S58" i="1" s="1"/>
  <c r="P58" i="1"/>
  <c r="M58" i="1"/>
  <c r="L58" i="1"/>
  <c r="H58" i="1"/>
  <c r="J58" i="1" s="1"/>
  <c r="P57" i="1"/>
  <c r="L57" i="1"/>
  <c r="M57" i="1" s="1"/>
  <c r="R57" i="1" s="1"/>
  <c r="S57" i="1" s="1"/>
  <c r="H57" i="1"/>
  <c r="J57" i="1" s="1"/>
  <c r="P56" i="1"/>
  <c r="M56" i="1"/>
  <c r="R56" i="1" s="1"/>
  <c r="S56" i="1" s="1"/>
  <c r="L56" i="1"/>
  <c r="J56" i="1"/>
  <c r="H56" i="1"/>
  <c r="P55" i="1"/>
  <c r="L55" i="1"/>
  <c r="M55" i="1" s="1"/>
  <c r="R55" i="1" s="1"/>
  <c r="S55" i="1" s="1"/>
  <c r="H55" i="1"/>
  <c r="J55" i="1" s="1"/>
  <c r="T54" i="1"/>
  <c r="S54" i="1"/>
  <c r="R54" i="1"/>
  <c r="P54" i="1"/>
  <c r="M54" i="1"/>
  <c r="K54" i="1"/>
  <c r="L54" i="1" s="1"/>
  <c r="G54" i="1"/>
  <c r="H54" i="1" s="1"/>
  <c r="J54" i="1" s="1"/>
  <c r="P53" i="1"/>
  <c r="M53" i="1"/>
  <c r="R53" i="1" s="1"/>
  <c r="S53" i="1" s="1"/>
  <c r="L53" i="1"/>
  <c r="H53" i="1"/>
  <c r="J53" i="1" s="1"/>
  <c r="P52" i="1"/>
  <c r="L52" i="1"/>
  <c r="M52" i="1" s="1"/>
  <c r="R52" i="1" s="1"/>
  <c r="S52" i="1" s="1"/>
  <c r="H52" i="1"/>
  <c r="J52" i="1" s="1"/>
  <c r="P51" i="1"/>
  <c r="M51" i="1"/>
  <c r="L51" i="1"/>
  <c r="J51" i="1"/>
  <c r="H51" i="1"/>
  <c r="P50" i="1"/>
  <c r="M50" i="1"/>
  <c r="R50" i="1" s="1"/>
  <c r="S50" i="1" s="1"/>
  <c r="L50" i="1"/>
  <c r="J50" i="1"/>
  <c r="H50" i="1"/>
  <c r="P49" i="1"/>
  <c r="M49" i="1"/>
  <c r="R49" i="1" s="1"/>
  <c r="S49" i="1" s="1"/>
  <c r="L49" i="1"/>
  <c r="J49" i="1"/>
  <c r="H49" i="1"/>
  <c r="P48" i="1"/>
  <c r="M48" i="1"/>
  <c r="R48" i="1" s="1"/>
  <c r="S48" i="1" s="1"/>
  <c r="L48" i="1"/>
  <c r="H48" i="1"/>
  <c r="J48" i="1" s="1"/>
  <c r="R47" i="1"/>
  <c r="S47" i="1" s="1"/>
  <c r="P47" i="1"/>
  <c r="L47" i="1"/>
  <c r="M47" i="1" s="1"/>
  <c r="K47" i="1"/>
  <c r="G47" i="1"/>
  <c r="H47" i="1" s="1"/>
  <c r="J47" i="1" s="1"/>
  <c r="N46" i="1"/>
  <c r="P46" i="1" s="1"/>
  <c r="L46" i="1"/>
  <c r="M46" i="1" s="1"/>
  <c r="R46" i="1" s="1"/>
  <c r="S46" i="1" s="1"/>
  <c r="H46" i="1"/>
  <c r="J46" i="1" s="1"/>
  <c r="R45" i="1"/>
  <c r="S45" i="1" s="1"/>
  <c r="P45" i="1"/>
  <c r="M45" i="1"/>
  <c r="L45" i="1"/>
  <c r="J45" i="1"/>
  <c r="H45" i="1"/>
  <c r="P44" i="1"/>
  <c r="L44" i="1"/>
  <c r="M44" i="1" s="1"/>
  <c r="R44" i="1" s="1"/>
  <c r="S44" i="1" s="1"/>
  <c r="H44" i="1"/>
  <c r="J44" i="1" s="1"/>
  <c r="P43" i="1"/>
  <c r="M43" i="1"/>
  <c r="R43" i="1" s="1"/>
  <c r="S43" i="1" s="1"/>
  <c r="L43" i="1"/>
  <c r="J43" i="1"/>
  <c r="H43" i="1"/>
  <c r="P42" i="1"/>
  <c r="M42" i="1"/>
  <c r="R42" i="1" s="1"/>
  <c r="S42" i="1" s="1"/>
  <c r="L42" i="1"/>
  <c r="H42" i="1"/>
  <c r="J42" i="1" s="1"/>
  <c r="R41" i="1"/>
  <c r="S41" i="1" s="1"/>
  <c r="U41" i="1" s="1"/>
  <c r="V41" i="1" s="1"/>
  <c r="W41" i="1" s="1"/>
  <c r="P41" i="1"/>
  <c r="M41" i="1"/>
  <c r="L41" i="1"/>
  <c r="J41" i="1"/>
  <c r="H41" i="1"/>
  <c r="P40" i="1"/>
  <c r="L40" i="1"/>
  <c r="M40" i="1" s="1"/>
  <c r="R40" i="1" s="1"/>
  <c r="S40" i="1" s="1"/>
  <c r="H40" i="1"/>
  <c r="J40" i="1" s="1"/>
  <c r="P39" i="1"/>
  <c r="L39" i="1"/>
  <c r="M39" i="1" s="1"/>
  <c r="R39" i="1" s="1"/>
  <c r="S39" i="1" s="1"/>
  <c r="J39" i="1"/>
  <c r="H39" i="1"/>
  <c r="P38" i="1"/>
  <c r="L38" i="1"/>
  <c r="M38" i="1" s="1"/>
  <c r="R38" i="1" s="1"/>
  <c r="S38" i="1" s="1"/>
  <c r="H38" i="1"/>
  <c r="J38" i="1" s="1"/>
  <c r="R37" i="1"/>
  <c r="S37" i="1" s="1"/>
  <c r="P37" i="1"/>
  <c r="M37" i="1"/>
  <c r="L37" i="1"/>
  <c r="J37" i="1"/>
  <c r="H37" i="1"/>
  <c r="P36" i="1"/>
  <c r="L36" i="1"/>
  <c r="M36" i="1" s="1"/>
  <c r="R36" i="1" s="1"/>
  <c r="S36" i="1" s="1"/>
  <c r="H36" i="1"/>
  <c r="J36" i="1" s="1"/>
  <c r="P35" i="1"/>
  <c r="M35" i="1"/>
  <c r="R35" i="1" s="1"/>
  <c r="S35" i="1" s="1"/>
  <c r="L35" i="1"/>
  <c r="J35" i="1"/>
  <c r="H35" i="1"/>
  <c r="P34" i="1"/>
  <c r="L34" i="1"/>
  <c r="M34" i="1" s="1"/>
  <c r="R34" i="1" s="1"/>
  <c r="S34" i="1" s="1"/>
  <c r="J34" i="1"/>
  <c r="H34" i="1"/>
  <c r="R33" i="1"/>
  <c r="S33" i="1" s="1"/>
  <c r="P33" i="1"/>
  <c r="M33" i="1"/>
  <c r="L33" i="1"/>
  <c r="J33" i="1"/>
  <c r="H33" i="1"/>
  <c r="T32" i="1"/>
  <c r="S32" i="1"/>
  <c r="U32" i="1" s="1"/>
  <c r="V32" i="1" s="1"/>
  <c r="W32" i="1" s="1"/>
  <c r="R32" i="1"/>
  <c r="P32" i="1"/>
  <c r="M32" i="1"/>
  <c r="L32" i="1"/>
  <c r="J32" i="1"/>
  <c r="H32" i="1"/>
  <c r="P31" i="1"/>
  <c r="L31" i="1"/>
  <c r="M31" i="1" s="1"/>
  <c r="R31" i="1" s="1"/>
  <c r="S31" i="1" s="1"/>
  <c r="J31" i="1"/>
  <c r="H31" i="1"/>
  <c r="P30" i="1"/>
  <c r="L30" i="1"/>
  <c r="M30" i="1" s="1"/>
  <c r="R30" i="1" s="1"/>
  <c r="S30" i="1" s="1"/>
  <c r="H30" i="1"/>
  <c r="J30" i="1" s="1"/>
  <c r="R29" i="1"/>
  <c r="S29" i="1" s="1"/>
  <c r="P29" i="1"/>
  <c r="M29" i="1"/>
  <c r="L29" i="1"/>
  <c r="J29" i="1"/>
  <c r="H29" i="1"/>
  <c r="P28" i="1"/>
  <c r="L28" i="1"/>
  <c r="M28" i="1" s="1"/>
  <c r="R28" i="1" s="1"/>
  <c r="S28" i="1" s="1"/>
  <c r="H28" i="1"/>
  <c r="J28" i="1" s="1"/>
  <c r="P27" i="1"/>
  <c r="M27" i="1"/>
  <c r="R27" i="1" s="1"/>
  <c r="S27" i="1" s="1"/>
  <c r="K27" i="1"/>
  <c r="L27" i="1" s="1"/>
  <c r="H27" i="1"/>
  <c r="J27" i="1" s="1"/>
  <c r="G27" i="1"/>
  <c r="P26" i="1"/>
  <c r="M26" i="1"/>
  <c r="R26" i="1" s="1"/>
  <c r="S26" i="1" s="1"/>
  <c r="L26" i="1"/>
  <c r="H26" i="1"/>
  <c r="J26" i="1" s="1"/>
  <c r="R25" i="1"/>
  <c r="S25" i="1" s="1"/>
  <c r="P25" i="1"/>
  <c r="M25" i="1"/>
  <c r="L25" i="1"/>
  <c r="J25" i="1"/>
  <c r="H25" i="1"/>
  <c r="P24" i="1"/>
  <c r="L24" i="1"/>
  <c r="M24" i="1" s="1"/>
  <c r="R24" i="1" s="1"/>
  <c r="S24" i="1" s="1"/>
  <c r="J24" i="1"/>
  <c r="H24" i="1"/>
  <c r="P23" i="1"/>
  <c r="R23" i="1" s="1"/>
  <c r="S23" i="1" s="1"/>
  <c r="L23" i="1"/>
  <c r="H23" i="1"/>
  <c r="J23" i="1" s="1"/>
  <c r="P22" i="1"/>
  <c r="L22" i="1"/>
  <c r="M22" i="1" s="1"/>
  <c r="R22" i="1" s="1"/>
  <c r="S22" i="1" s="1"/>
  <c r="H22" i="1"/>
  <c r="J22" i="1" s="1"/>
  <c r="S21" i="1"/>
  <c r="U21" i="1" s="1"/>
  <c r="V21" i="1" s="1"/>
  <c r="W21" i="1" s="1"/>
  <c r="R21" i="1"/>
  <c r="P21" i="1"/>
  <c r="M21" i="1"/>
  <c r="L21" i="1"/>
  <c r="J21" i="1"/>
  <c r="H21" i="1"/>
  <c r="P20" i="1"/>
  <c r="L20" i="1"/>
  <c r="M20" i="1" s="1"/>
  <c r="R20" i="1" s="1"/>
  <c r="S20" i="1" s="1"/>
  <c r="J20" i="1"/>
  <c r="H20" i="1"/>
  <c r="R19" i="1"/>
  <c r="S19" i="1" s="1"/>
  <c r="P19" i="1"/>
  <c r="M19" i="1"/>
  <c r="L19" i="1"/>
  <c r="J19" i="1"/>
  <c r="H19" i="1"/>
  <c r="P18" i="1"/>
  <c r="L18" i="1"/>
  <c r="M18" i="1" s="1"/>
  <c r="R18" i="1" s="1"/>
  <c r="S18" i="1" s="1"/>
  <c r="H18" i="1"/>
  <c r="J18" i="1" s="1"/>
  <c r="P17" i="1"/>
  <c r="L17" i="1"/>
  <c r="M17" i="1" s="1"/>
  <c r="R17" i="1" s="1"/>
  <c r="S17" i="1" s="1"/>
  <c r="J17" i="1"/>
  <c r="H17" i="1"/>
  <c r="P16" i="1"/>
  <c r="L16" i="1"/>
  <c r="M16" i="1" s="1"/>
  <c r="R16" i="1" s="1"/>
  <c r="S16" i="1" s="1"/>
  <c r="H16" i="1"/>
  <c r="J16" i="1" s="1"/>
  <c r="U15" i="1"/>
  <c r="V15" i="1" s="1"/>
  <c r="W15" i="1" s="1"/>
  <c r="P15" i="1"/>
  <c r="M15" i="1"/>
  <c r="R15" i="1" s="1"/>
  <c r="S15" i="1" s="1"/>
  <c r="T15" i="1" s="1"/>
  <c r="L15" i="1"/>
  <c r="J15" i="1"/>
  <c r="H15" i="1"/>
  <c r="P14" i="1"/>
  <c r="M14" i="1"/>
  <c r="R14" i="1" s="1"/>
  <c r="S14" i="1" s="1"/>
  <c r="L14" i="1"/>
  <c r="H14" i="1"/>
  <c r="J14" i="1" s="1"/>
  <c r="R13" i="1"/>
  <c r="S13" i="1" s="1"/>
  <c r="P13" i="1"/>
  <c r="M13" i="1"/>
  <c r="L13" i="1"/>
  <c r="H13" i="1"/>
  <c r="J13" i="1" s="1"/>
  <c r="P12" i="1"/>
  <c r="L12" i="1"/>
  <c r="M12" i="1" s="1"/>
  <c r="R12" i="1" s="1"/>
  <c r="S12" i="1" s="1"/>
  <c r="H12" i="1"/>
  <c r="J12" i="1" s="1"/>
  <c r="P11" i="1"/>
  <c r="R11" i="1" s="1"/>
  <c r="S11" i="1" s="1"/>
  <c r="M11" i="1"/>
  <c r="L11" i="1"/>
  <c r="J11" i="1"/>
  <c r="H11" i="1"/>
  <c r="P10" i="1"/>
  <c r="L10" i="1"/>
  <c r="M10" i="1" s="1"/>
  <c r="R10" i="1" s="1"/>
  <c r="S10" i="1" s="1"/>
  <c r="H10" i="1"/>
  <c r="J10" i="1" s="1"/>
  <c r="P9" i="1"/>
  <c r="M9" i="1"/>
  <c r="R9" i="1" s="1"/>
  <c r="S9" i="1" s="1"/>
  <c r="L9" i="1"/>
  <c r="J9" i="1"/>
  <c r="H9" i="1"/>
  <c r="R8" i="1"/>
  <c r="S8" i="1" s="1"/>
  <c r="P8" i="1"/>
  <c r="L8" i="1"/>
  <c r="M8" i="1" s="1"/>
  <c r="H8" i="1"/>
  <c r="J8" i="1" s="1"/>
  <c r="P7" i="1"/>
  <c r="L7" i="1"/>
  <c r="M7" i="1" s="1"/>
  <c r="R7" i="1" s="1"/>
  <c r="S7" i="1" s="1"/>
  <c r="J7" i="1"/>
  <c r="H7" i="1"/>
  <c r="P6" i="1"/>
  <c r="L6" i="1"/>
  <c r="M6" i="1" s="1"/>
  <c r="R6" i="1" s="1"/>
  <c r="S6" i="1" s="1"/>
  <c r="H6" i="1"/>
  <c r="J6" i="1" s="1"/>
  <c r="S5" i="1"/>
  <c r="U5" i="1" s="1"/>
  <c r="V5" i="1" s="1"/>
  <c r="W5" i="1" s="1"/>
  <c r="R5" i="1"/>
  <c r="P5" i="1"/>
  <c r="M5" i="1"/>
  <c r="L5" i="1"/>
  <c r="J5" i="1"/>
  <c r="H5" i="1"/>
  <c r="P4" i="1"/>
  <c r="L4" i="1"/>
  <c r="M4" i="1" s="1"/>
  <c r="R4" i="1" s="1"/>
  <c r="S4" i="1" s="1"/>
  <c r="J4" i="1"/>
  <c r="H4" i="1"/>
  <c r="S3" i="1"/>
  <c r="U3" i="1" s="1"/>
  <c r="V3" i="1" s="1"/>
  <c r="W3" i="1" s="1"/>
  <c r="R3" i="1"/>
  <c r="T3" i="1" s="1"/>
  <c r="P3" i="1"/>
  <c r="M3" i="1"/>
  <c r="L3" i="1"/>
  <c r="J3" i="1"/>
  <c r="H3" i="1"/>
  <c r="T2" i="1"/>
  <c r="S2" i="1"/>
  <c r="P2" i="1"/>
  <c r="L2" i="1"/>
  <c r="M2" i="1" s="1"/>
  <c r="R2" i="1" s="1"/>
  <c r="H2" i="1"/>
  <c r="J2" i="1" s="1"/>
  <c r="U2" i="1" s="1"/>
  <c r="V2" i="1" s="1"/>
  <c r="W2" i="1" s="1"/>
  <c r="T8" i="1" l="1"/>
  <c r="U8" i="1"/>
  <c r="V8" i="1" s="1"/>
  <c r="W8" i="1" s="1"/>
  <c r="U79" i="1"/>
  <c r="V79" i="1" s="1"/>
  <c r="W79" i="1" s="1"/>
  <c r="T79" i="1"/>
  <c r="U105" i="1"/>
  <c r="V105" i="1" s="1"/>
  <c r="W105" i="1" s="1"/>
  <c r="T105" i="1"/>
  <c r="U57" i="1"/>
  <c r="V57" i="1" s="1"/>
  <c r="W57" i="1" s="1"/>
  <c r="T57" i="1"/>
  <c r="T166" i="1"/>
  <c r="U166" i="1"/>
  <c r="V166" i="1" s="1"/>
  <c r="W166" i="1" s="1"/>
  <c r="T39" i="1"/>
  <c r="U39" i="1"/>
  <c r="V39" i="1" s="1"/>
  <c r="W39" i="1" s="1"/>
  <c r="U30" i="1"/>
  <c r="V30" i="1" s="1"/>
  <c r="W30" i="1" s="1"/>
  <c r="T30" i="1"/>
  <c r="T44" i="1"/>
  <c r="U44" i="1"/>
  <c r="V44" i="1" s="1"/>
  <c r="W44" i="1" s="1"/>
  <c r="T85" i="1"/>
  <c r="U85" i="1"/>
  <c r="V85" i="1" s="1"/>
  <c r="W85" i="1" s="1"/>
  <c r="U131" i="1"/>
  <c r="V131" i="1" s="1"/>
  <c r="W131" i="1" s="1"/>
  <c r="T131" i="1"/>
  <c r="T19" i="1"/>
  <c r="U19" i="1"/>
  <c r="V19" i="1" s="1"/>
  <c r="W19" i="1" s="1"/>
  <c r="T81" i="1"/>
  <c r="U81" i="1"/>
  <c r="V81" i="1" s="1"/>
  <c r="W81" i="1" s="1"/>
  <c r="U157" i="1"/>
  <c r="V157" i="1" s="1"/>
  <c r="W157" i="1" s="1"/>
  <c r="T157" i="1"/>
  <c r="U178" i="1"/>
  <c r="V178" i="1" s="1"/>
  <c r="W178" i="1" s="1"/>
  <c r="T178" i="1"/>
  <c r="U187" i="1"/>
  <c r="V187" i="1" s="1"/>
  <c r="W187" i="1" s="1"/>
  <c r="T187" i="1"/>
  <c r="U190" i="1"/>
  <c r="V190" i="1" s="1"/>
  <c r="W190" i="1" s="1"/>
  <c r="T190" i="1"/>
  <c r="U42" i="1"/>
  <c r="V42" i="1" s="1"/>
  <c r="W42" i="1" s="1"/>
  <c r="T42" i="1"/>
  <c r="U69" i="1"/>
  <c r="V69" i="1" s="1"/>
  <c r="W69" i="1" s="1"/>
  <c r="T69" i="1"/>
  <c r="U16" i="1"/>
  <c r="V16" i="1" s="1"/>
  <c r="W16" i="1" s="1"/>
  <c r="T16" i="1"/>
  <c r="T23" i="1"/>
  <c r="U23" i="1"/>
  <c r="V23" i="1" s="1"/>
  <c r="W23" i="1" s="1"/>
  <c r="U48" i="1"/>
  <c r="V48" i="1" s="1"/>
  <c r="W48" i="1" s="1"/>
  <c r="T48" i="1"/>
  <c r="T55" i="1"/>
  <c r="U55" i="1"/>
  <c r="V55" i="1" s="1"/>
  <c r="W55" i="1" s="1"/>
  <c r="T59" i="1"/>
  <c r="U59" i="1"/>
  <c r="V59" i="1" s="1"/>
  <c r="W59" i="1" s="1"/>
  <c r="U71" i="1"/>
  <c r="V71" i="1" s="1"/>
  <c r="W71" i="1" s="1"/>
  <c r="T71" i="1"/>
  <c r="T74" i="1"/>
  <c r="U74" i="1"/>
  <c r="V74" i="1" s="1"/>
  <c r="W74" i="1" s="1"/>
  <c r="U127" i="1"/>
  <c r="V127" i="1" s="1"/>
  <c r="W127" i="1" s="1"/>
  <c r="T127" i="1"/>
  <c r="U144" i="1"/>
  <c r="V144" i="1" s="1"/>
  <c r="W144" i="1" s="1"/>
  <c r="T144" i="1"/>
  <c r="T148" i="1"/>
  <c r="U148" i="1"/>
  <c r="V148" i="1" s="1"/>
  <c r="W148" i="1" s="1"/>
  <c r="U154" i="1"/>
  <c r="V154" i="1" s="1"/>
  <c r="W154" i="1" s="1"/>
  <c r="T154" i="1"/>
  <c r="U168" i="1"/>
  <c r="V168" i="1" s="1"/>
  <c r="W168" i="1" s="1"/>
  <c r="T168" i="1"/>
  <c r="U171" i="1"/>
  <c r="V171" i="1" s="1"/>
  <c r="W171" i="1" s="1"/>
  <c r="T171" i="1"/>
  <c r="U226" i="1"/>
  <c r="V226" i="1" s="1"/>
  <c r="W226" i="1" s="1"/>
  <c r="T226" i="1"/>
  <c r="T5" i="1"/>
  <c r="U9" i="1"/>
  <c r="V9" i="1" s="1"/>
  <c r="W9" i="1" s="1"/>
  <c r="T9" i="1"/>
  <c r="U33" i="1"/>
  <c r="V33" i="1" s="1"/>
  <c r="W33" i="1" s="1"/>
  <c r="T33" i="1"/>
  <c r="T63" i="1"/>
  <c r="U63" i="1"/>
  <c r="V63" i="1" s="1"/>
  <c r="W63" i="1" s="1"/>
  <c r="U67" i="1"/>
  <c r="V67" i="1" s="1"/>
  <c r="W67" i="1" s="1"/>
  <c r="T67" i="1"/>
  <c r="U93" i="1"/>
  <c r="V93" i="1" s="1"/>
  <c r="W93" i="1" s="1"/>
  <c r="T93" i="1"/>
  <c r="U119" i="1"/>
  <c r="V119" i="1" s="1"/>
  <c r="W119" i="1" s="1"/>
  <c r="T119" i="1"/>
  <c r="U138" i="1"/>
  <c r="V138" i="1" s="1"/>
  <c r="W138" i="1" s="1"/>
  <c r="T138" i="1"/>
  <c r="T164" i="1"/>
  <c r="U164" i="1"/>
  <c r="V164" i="1" s="1"/>
  <c r="W164" i="1" s="1"/>
  <c r="U197" i="1"/>
  <c r="V197" i="1" s="1"/>
  <c r="W197" i="1" s="1"/>
  <c r="T197" i="1"/>
  <c r="U219" i="1"/>
  <c r="V219" i="1" s="1"/>
  <c r="W219" i="1" s="1"/>
  <c r="T219" i="1"/>
  <c r="U14" i="1"/>
  <c r="V14" i="1" s="1"/>
  <c r="W14" i="1" s="1"/>
  <c r="T14" i="1"/>
  <c r="T61" i="1"/>
  <c r="U61" i="1"/>
  <c r="V61" i="1" s="1"/>
  <c r="W61" i="1" s="1"/>
  <c r="U20" i="1"/>
  <c r="V20" i="1" s="1"/>
  <c r="W20" i="1" s="1"/>
  <c r="T20" i="1"/>
  <c r="U31" i="1"/>
  <c r="V31" i="1" s="1"/>
  <c r="W31" i="1" s="1"/>
  <c r="T31" i="1"/>
  <c r="U82" i="1"/>
  <c r="V82" i="1" s="1"/>
  <c r="W82" i="1" s="1"/>
  <c r="T82" i="1"/>
  <c r="T116" i="1"/>
  <c r="U116" i="1"/>
  <c r="V116" i="1" s="1"/>
  <c r="W116" i="1" s="1"/>
  <c r="U6" i="1"/>
  <c r="V6" i="1" s="1"/>
  <c r="W6" i="1" s="1"/>
  <c r="T6" i="1"/>
  <c r="U37" i="1"/>
  <c r="V37" i="1" s="1"/>
  <c r="W37" i="1" s="1"/>
  <c r="T37" i="1"/>
  <c r="T128" i="1"/>
  <c r="U128" i="1"/>
  <c r="V128" i="1" s="1"/>
  <c r="W128" i="1" s="1"/>
  <c r="U132" i="1"/>
  <c r="V132" i="1" s="1"/>
  <c r="W132" i="1" s="1"/>
  <c r="T132" i="1"/>
  <c r="U161" i="1"/>
  <c r="V161" i="1" s="1"/>
  <c r="W161" i="1" s="1"/>
  <c r="T161" i="1"/>
  <c r="U194" i="1"/>
  <c r="V194" i="1" s="1"/>
  <c r="W194" i="1" s="1"/>
  <c r="T194" i="1"/>
  <c r="U233" i="1"/>
  <c r="V233" i="1" s="1"/>
  <c r="W233" i="1" s="1"/>
  <c r="T233" i="1"/>
  <c r="U27" i="1"/>
  <c r="V27" i="1" s="1"/>
  <c r="W27" i="1" s="1"/>
  <c r="T27" i="1"/>
  <c r="T13" i="1"/>
  <c r="U13" i="1"/>
  <c r="V13" i="1" s="1"/>
  <c r="W13" i="1" s="1"/>
  <c r="U17" i="1"/>
  <c r="V17" i="1" s="1"/>
  <c r="W17" i="1" s="1"/>
  <c r="T17" i="1"/>
  <c r="U34" i="1"/>
  <c r="V34" i="1" s="1"/>
  <c r="W34" i="1" s="1"/>
  <c r="T34" i="1"/>
  <c r="U68" i="1"/>
  <c r="V68" i="1" s="1"/>
  <c r="W68" i="1" s="1"/>
  <c r="T68" i="1"/>
  <c r="T94" i="1"/>
  <c r="U94" i="1"/>
  <c r="V94" i="1" s="1"/>
  <c r="W94" i="1" s="1"/>
  <c r="U135" i="1"/>
  <c r="V135" i="1" s="1"/>
  <c r="W135" i="1" s="1"/>
  <c r="T135" i="1"/>
  <c r="T142" i="1"/>
  <c r="U142" i="1"/>
  <c r="V142" i="1" s="1"/>
  <c r="W142" i="1" s="1"/>
  <c r="U165" i="1"/>
  <c r="V165" i="1" s="1"/>
  <c r="W165" i="1" s="1"/>
  <c r="T165" i="1"/>
  <c r="U121" i="1"/>
  <c r="V121" i="1" s="1"/>
  <c r="W121" i="1" s="1"/>
  <c r="T121" i="1"/>
  <c r="U52" i="1"/>
  <c r="V52" i="1" s="1"/>
  <c r="W52" i="1" s="1"/>
  <c r="T52" i="1"/>
  <c r="U158" i="1"/>
  <c r="V158" i="1" s="1"/>
  <c r="W158" i="1" s="1"/>
  <c r="T158" i="1"/>
  <c r="U206" i="1"/>
  <c r="V206" i="1" s="1"/>
  <c r="W206" i="1" s="1"/>
  <c r="T206" i="1"/>
  <c r="U216" i="1"/>
  <c r="V216" i="1" s="1"/>
  <c r="W216" i="1" s="1"/>
  <c r="T216" i="1"/>
  <c r="U24" i="1"/>
  <c r="V24" i="1" s="1"/>
  <c r="W24" i="1" s="1"/>
  <c r="T24" i="1"/>
  <c r="U78" i="1"/>
  <c r="V78" i="1" s="1"/>
  <c r="W78" i="1" s="1"/>
  <c r="T78" i="1"/>
  <c r="U100" i="1"/>
  <c r="V100" i="1" s="1"/>
  <c r="W100" i="1" s="1"/>
  <c r="T100" i="1"/>
  <c r="U120" i="1"/>
  <c r="V120" i="1" s="1"/>
  <c r="W120" i="1" s="1"/>
  <c r="T120" i="1"/>
  <c r="U10" i="1"/>
  <c r="V10" i="1" s="1"/>
  <c r="W10" i="1" s="1"/>
  <c r="T10" i="1"/>
  <c r="T28" i="1"/>
  <c r="U28" i="1"/>
  <c r="V28" i="1" s="1"/>
  <c r="W28" i="1" s="1"/>
  <c r="T38" i="1"/>
  <c r="U38" i="1"/>
  <c r="V38" i="1" s="1"/>
  <c r="W38" i="1" s="1"/>
  <c r="U45" i="1"/>
  <c r="V45" i="1" s="1"/>
  <c r="W45" i="1" s="1"/>
  <c r="T45" i="1"/>
  <c r="U49" i="1"/>
  <c r="V49" i="1" s="1"/>
  <c r="W49" i="1" s="1"/>
  <c r="T49" i="1"/>
  <c r="U56" i="1"/>
  <c r="V56" i="1" s="1"/>
  <c r="W56" i="1" s="1"/>
  <c r="T56" i="1"/>
  <c r="U60" i="1"/>
  <c r="V60" i="1" s="1"/>
  <c r="W60" i="1" s="1"/>
  <c r="T60" i="1"/>
  <c r="U101" i="1"/>
  <c r="V101" i="1" s="1"/>
  <c r="W101" i="1" s="1"/>
  <c r="T101" i="1"/>
  <c r="T107" i="1"/>
  <c r="U107" i="1"/>
  <c r="V107" i="1" s="1"/>
  <c r="W107" i="1" s="1"/>
  <c r="U139" i="1"/>
  <c r="V139" i="1" s="1"/>
  <c r="W139" i="1" s="1"/>
  <c r="T139" i="1"/>
  <c r="T172" i="1"/>
  <c r="U172" i="1"/>
  <c r="V172" i="1" s="1"/>
  <c r="W172" i="1" s="1"/>
  <c r="U191" i="1"/>
  <c r="V191" i="1" s="1"/>
  <c r="W191" i="1" s="1"/>
  <c r="T191" i="1"/>
  <c r="U53" i="1"/>
  <c r="V53" i="1" s="1"/>
  <c r="W53" i="1" s="1"/>
  <c r="T53" i="1"/>
  <c r="U223" i="1"/>
  <c r="V223" i="1" s="1"/>
  <c r="W223" i="1" s="1"/>
  <c r="T223" i="1"/>
  <c r="U7" i="1"/>
  <c r="V7" i="1" s="1"/>
  <c r="W7" i="1" s="1"/>
  <c r="T7" i="1"/>
  <c r="U18" i="1"/>
  <c r="V18" i="1" s="1"/>
  <c r="W18" i="1" s="1"/>
  <c r="U83" i="1"/>
  <c r="V83" i="1" s="1"/>
  <c r="W83" i="1" s="1"/>
  <c r="T83" i="1"/>
  <c r="U46" i="1"/>
  <c r="V46" i="1" s="1"/>
  <c r="W46" i="1" s="1"/>
  <c r="T46" i="1"/>
  <c r="T4" i="1"/>
  <c r="U4" i="1"/>
  <c r="V4" i="1" s="1"/>
  <c r="W4" i="1" s="1"/>
  <c r="U228" i="1"/>
  <c r="V228" i="1" s="1"/>
  <c r="W228" i="1" s="1"/>
  <c r="T228" i="1"/>
  <c r="T18" i="1"/>
  <c r="T125" i="1"/>
  <c r="U125" i="1"/>
  <c r="V125" i="1" s="1"/>
  <c r="W125" i="1" s="1"/>
  <c r="T152" i="1"/>
  <c r="U152" i="1"/>
  <c r="V152" i="1" s="1"/>
  <c r="W152" i="1" s="1"/>
  <c r="U173" i="1"/>
  <c r="V173" i="1" s="1"/>
  <c r="W173" i="1" s="1"/>
  <c r="T173" i="1"/>
  <c r="U183" i="1"/>
  <c r="V183" i="1" s="1"/>
  <c r="W183" i="1" s="1"/>
  <c r="T183" i="1"/>
  <c r="U25" i="1"/>
  <c r="V25" i="1" s="1"/>
  <c r="W25" i="1" s="1"/>
  <c r="T25" i="1"/>
  <c r="U50" i="1"/>
  <c r="V50" i="1" s="1"/>
  <c r="W50" i="1" s="1"/>
  <c r="T50" i="1"/>
  <c r="U73" i="1"/>
  <c r="V73" i="1" s="1"/>
  <c r="W73" i="1" s="1"/>
  <c r="T73" i="1"/>
  <c r="T102" i="1"/>
  <c r="U102" i="1"/>
  <c r="V102" i="1" s="1"/>
  <c r="W102" i="1" s="1"/>
  <c r="T114" i="1"/>
  <c r="U114" i="1"/>
  <c r="V114" i="1" s="1"/>
  <c r="W114" i="1" s="1"/>
  <c r="T122" i="1"/>
  <c r="U122" i="1"/>
  <c r="V122" i="1" s="1"/>
  <c r="W122" i="1" s="1"/>
  <c r="T146" i="1"/>
  <c r="U146" i="1"/>
  <c r="V146" i="1" s="1"/>
  <c r="W146" i="1" s="1"/>
  <c r="T163" i="1"/>
  <c r="U163" i="1"/>
  <c r="V163" i="1" s="1"/>
  <c r="W163" i="1" s="1"/>
  <c r="U177" i="1"/>
  <c r="V177" i="1" s="1"/>
  <c r="W177" i="1" s="1"/>
  <c r="T177" i="1"/>
  <c r="U11" i="1"/>
  <c r="V11" i="1" s="1"/>
  <c r="W11" i="1" s="1"/>
  <c r="T11" i="1"/>
  <c r="U43" i="1"/>
  <c r="V43" i="1" s="1"/>
  <c r="W43" i="1" s="1"/>
  <c r="T43" i="1"/>
  <c r="U62" i="1"/>
  <c r="V62" i="1" s="1"/>
  <c r="W62" i="1" s="1"/>
  <c r="T62" i="1"/>
  <c r="U80" i="1"/>
  <c r="V80" i="1" s="1"/>
  <c r="W80" i="1" s="1"/>
  <c r="T80" i="1"/>
  <c r="U118" i="1"/>
  <c r="V118" i="1" s="1"/>
  <c r="W118" i="1" s="1"/>
  <c r="T118" i="1"/>
  <c r="U193" i="1"/>
  <c r="V193" i="1" s="1"/>
  <c r="W193" i="1" s="1"/>
  <c r="T193" i="1"/>
  <c r="U76" i="1"/>
  <c r="V76" i="1" s="1"/>
  <c r="W76" i="1" s="1"/>
  <c r="T76" i="1"/>
  <c r="U35" i="1"/>
  <c r="V35" i="1" s="1"/>
  <c r="W35" i="1" s="1"/>
  <c r="T35" i="1"/>
  <c r="U65" i="1"/>
  <c r="V65" i="1" s="1"/>
  <c r="W65" i="1" s="1"/>
  <c r="T65" i="1"/>
  <c r="U95" i="1"/>
  <c r="V95" i="1" s="1"/>
  <c r="W95" i="1" s="1"/>
  <c r="T95" i="1"/>
  <c r="U170" i="1"/>
  <c r="V170" i="1" s="1"/>
  <c r="W170" i="1" s="1"/>
  <c r="T170" i="1"/>
  <c r="U22" i="1"/>
  <c r="V22" i="1" s="1"/>
  <c r="W22" i="1" s="1"/>
  <c r="T22" i="1"/>
  <c r="U29" i="1"/>
  <c r="V29" i="1" s="1"/>
  <c r="W29" i="1" s="1"/>
  <c r="T29" i="1"/>
  <c r="U36" i="1"/>
  <c r="V36" i="1" s="1"/>
  <c r="W36" i="1" s="1"/>
  <c r="T36" i="1"/>
  <c r="T40" i="1"/>
  <c r="U40" i="1"/>
  <c r="V40" i="1" s="1"/>
  <c r="W40" i="1" s="1"/>
  <c r="U70" i="1"/>
  <c r="V70" i="1" s="1"/>
  <c r="W70" i="1" s="1"/>
  <c r="U92" i="1"/>
  <c r="V92" i="1" s="1"/>
  <c r="W92" i="1" s="1"/>
  <c r="T92" i="1"/>
  <c r="U109" i="1"/>
  <c r="V109" i="1" s="1"/>
  <c r="W109" i="1" s="1"/>
  <c r="T109" i="1"/>
  <c r="T137" i="1"/>
  <c r="U137" i="1"/>
  <c r="V137" i="1" s="1"/>
  <c r="W137" i="1" s="1"/>
  <c r="U147" i="1"/>
  <c r="V147" i="1" s="1"/>
  <c r="W147" i="1" s="1"/>
  <c r="T147" i="1"/>
  <c r="T167" i="1"/>
  <c r="U167" i="1"/>
  <c r="V167" i="1" s="1"/>
  <c r="W167" i="1" s="1"/>
  <c r="U196" i="1"/>
  <c r="V196" i="1" s="1"/>
  <c r="W196" i="1" s="1"/>
  <c r="T196" i="1"/>
  <c r="U12" i="1"/>
  <c r="V12" i="1" s="1"/>
  <c r="W12" i="1" s="1"/>
  <c r="T12" i="1"/>
  <c r="U26" i="1"/>
  <c r="V26" i="1" s="1"/>
  <c r="W26" i="1" s="1"/>
  <c r="T26" i="1"/>
  <c r="T47" i="1"/>
  <c r="U47" i="1"/>
  <c r="V47" i="1" s="1"/>
  <c r="W47" i="1" s="1"/>
  <c r="U54" i="1"/>
  <c r="V54" i="1" s="1"/>
  <c r="W54" i="1" s="1"/>
  <c r="T66" i="1"/>
  <c r="U66" i="1"/>
  <c r="V66" i="1" s="1"/>
  <c r="W66" i="1" s="1"/>
  <c r="T99" i="1"/>
  <c r="U99" i="1"/>
  <c r="V99" i="1" s="1"/>
  <c r="W99" i="1" s="1"/>
  <c r="U115" i="1"/>
  <c r="V115" i="1" s="1"/>
  <c r="W115" i="1" s="1"/>
  <c r="T115" i="1"/>
  <c r="U126" i="1"/>
  <c r="V126" i="1" s="1"/>
  <c r="W126" i="1" s="1"/>
  <c r="T126" i="1"/>
  <c r="U174" i="1"/>
  <c r="V174" i="1" s="1"/>
  <c r="W174" i="1" s="1"/>
  <c r="T174" i="1"/>
  <c r="U225" i="1"/>
  <c r="V225" i="1" s="1"/>
  <c r="W225" i="1" s="1"/>
  <c r="T225" i="1"/>
  <c r="U235" i="1"/>
  <c r="V235" i="1" s="1"/>
  <c r="W235" i="1" s="1"/>
  <c r="T235" i="1"/>
  <c r="U58" i="1"/>
  <c r="V58" i="1" s="1"/>
  <c r="W58" i="1" s="1"/>
  <c r="T58" i="1"/>
  <c r="U185" i="1"/>
  <c r="V185" i="1" s="1"/>
  <c r="W185" i="1" s="1"/>
  <c r="R199" i="1"/>
  <c r="S199" i="1" s="1"/>
  <c r="T208" i="1"/>
  <c r="U208" i="1"/>
  <c r="V208" i="1" s="1"/>
  <c r="W208" i="1" s="1"/>
  <c r="U201" i="1"/>
  <c r="V201" i="1" s="1"/>
  <c r="W201" i="1" s="1"/>
  <c r="T201" i="1"/>
  <c r="T41" i="1"/>
  <c r="T70" i="1"/>
  <c r="T91" i="1"/>
  <c r="T97" i="1"/>
  <c r="T113" i="1"/>
  <c r="U169" i="1"/>
  <c r="V169" i="1" s="1"/>
  <c r="W169" i="1" s="1"/>
  <c r="U204" i="1"/>
  <c r="V204" i="1" s="1"/>
  <c r="W204" i="1" s="1"/>
  <c r="T213" i="1"/>
  <c r="T21" i="1"/>
  <c r="U72" i="1"/>
  <c r="V72" i="1" s="1"/>
  <c r="W72" i="1" s="1"/>
  <c r="U130" i="1"/>
  <c r="V130" i="1" s="1"/>
  <c r="W130" i="1" s="1"/>
  <c r="U134" i="1"/>
  <c r="V134" i="1" s="1"/>
  <c r="W134" i="1" s="1"/>
  <c r="T134" i="1"/>
  <c r="T140" i="1"/>
  <c r="U181" i="1"/>
  <c r="V181" i="1" s="1"/>
  <c r="W181" i="1" s="1"/>
  <c r="U231" i="1"/>
  <c r="V231" i="1" s="1"/>
  <c r="W231" i="1" s="1"/>
  <c r="R124" i="1"/>
  <c r="S124" i="1" s="1"/>
  <c r="T169" i="1"/>
  <c r="T175" i="1"/>
  <c r="U209" i="1"/>
  <c r="V209" i="1" s="1"/>
  <c r="W209" i="1" s="1"/>
  <c r="T209" i="1"/>
  <c r="U221" i="1"/>
  <c r="V221" i="1" s="1"/>
  <c r="W221" i="1" s="1"/>
  <c r="U87" i="1"/>
  <c r="V87" i="1" s="1"/>
  <c r="W87" i="1" s="1"/>
  <c r="T87" i="1"/>
  <c r="T130" i="1"/>
  <c r="T155" i="1"/>
  <c r="U179" i="1"/>
  <c r="V179" i="1" s="1"/>
  <c r="W179" i="1" s="1"/>
  <c r="U186" i="1"/>
  <c r="V186" i="1" s="1"/>
  <c r="W186" i="1" s="1"/>
  <c r="T186" i="1"/>
  <c r="U202" i="1"/>
  <c r="V202" i="1" s="1"/>
  <c r="W202" i="1" s="1"/>
  <c r="T202" i="1"/>
  <c r="T221" i="1"/>
  <c r="U153" i="1"/>
  <c r="V153" i="1" s="1"/>
  <c r="W153" i="1" s="1"/>
  <c r="T153" i="1"/>
  <c r="U229" i="1"/>
  <c r="V229" i="1" s="1"/>
  <c r="W229" i="1" s="1"/>
  <c r="R51" i="1"/>
  <c r="S51" i="1" s="1"/>
  <c r="R98" i="1"/>
  <c r="S98" i="1" s="1"/>
  <c r="U104" i="1"/>
  <c r="V104" i="1" s="1"/>
  <c r="W104" i="1" s="1"/>
  <c r="R108" i="1"/>
  <c r="S108" i="1" s="1"/>
  <c r="R214" i="1"/>
  <c r="S214" i="1" s="1"/>
  <c r="R96" i="1"/>
  <c r="S96" i="1" s="1"/>
  <c r="R210" i="1"/>
  <c r="S210" i="1" s="1"/>
  <c r="U212" i="1"/>
  <c r="V212" i="1" s="1"/>
  <c r="W212" i="1" s="1"/>
  <c r="T212" i="1"/>
  <c r="U176" i="1"/>
  <c r="V176" i="1" s="1"/>
  <c r="W176" i="1" s="1"/>
  <c r="T176" i="1"/>
  <c r="T224" i="1"/>
  <c r="U224" i="1"/>
  <c r="V224" i="1" s="1"/>
  <c r="W224" i="1" s="1"/>
  <c r="T145" i="1"/>
  <c r="U151" i="1"/>
  <c r="V151" i="1" s="1"/>
  <c r="W151" i="1" s="1"/>
  <c r="T151" i="1"/>
  <c r="U64" i="1"/>
  <c r="V64" i="1" s="1"/>
  <c r="W64" i="1" s="1"/>
  <c r="T180" i="1"/>
  <c r="U189" i="1"/>
  <c r="V189" i="1" s="1"/>
  <c r="W189" i="1" s="1"/>
  <c r="T203" i="1"/>
  <c r="U111" i="1"/>
  <c r="V111" i="1" s="1"/>
  <c r="W111" i="1" s="1"/>
  <c r="T111" i="1"/>
  <c r="U160" i="1"/>
  <c r="V160" i="1" s="1"/>
  <c r="W160" i="1" s="1"/>
  <c r="T160" i="1"/>
  <c r="T215" i="1"/>
  <c r="U215" i="1"/>
  <c r="V215" i="1" s="1"/>
  <c r="W215" i="1" s="1"/>
  <c r="U133" i="1"/>
  <c r="V133" i="1" s="1"/>
  <c r="W133" i="1" s="1"/>
  <c r="U156" i="1"/>
  <c r="V156" i="1" s="1"/>
  <c r="W156" i="1" s="1"/>
  <c r="T222" i="1"/>
  <c r="U227" i="1"/>
  <c r="V227" i="1" s="1"/>
  <c r="W227" i="1" s="1"/>
  <c r="R220" i="1"/>
  <c r="S220" i="1" s="1"/>
  <c r="T227" i="1"/>
  <c r="U234" i="1"/>
  <c r="V234" i="1" s="1"/>
  <c r="W234" i="1" s="1"/>
  <c r="T234" i="1"/>
  <c r="R162" i="1"/>
  <c r="S162" i="1" s="1"/>
  <c r="R84" i="1"/>
  <c r="S84" i="1" s="1"/>
  <c r="R230" i="1"/>
  <c r="S230" i="1" s="1"/>
  <c r="U220" i="1" l="1"/>
  <c r="V220" i="1" s="1"/>
  <c r="W220" i="1" s="1"/>
  <c r="T220" i="1"/>
  <c r="T124" i="1"/>
  <c r="U124" i="1"/>
  <c r="V124" i="1" s="1"/>
  <c r="W124" i="1" s="1"/>
  <c r="T199" i="1"/>
  <c r="U199" i="1"/>
  <c r="V199" i="1" s="1"/>
  <c r="W199" i="1" s="1"/>
  <c r="T210" i="1"/>
  <c r="U210" i="1"/>
  <c r="V210" i="1" s="1"/>
  <c r="W210" i="1" s="1"/>
  <c r="T96" i="1"/>
  <c r="U96" i="1"/>
  <c r="V96" i="1" s="1"/>
  <c r="W96" i="1" s="1"/>
  <c r="T230" i="1"/>
  <c r="U230" i="1"/>
  <c r="V230" i="1" s="1"/>
  <c r="W230" i="1" s="1"/>
  <c r="U214" i="1"/>
  <c r="V214" i="1" s="1"/>
  <c r="W214" i="1" s="1"/>
  <c r="T214" i="1"/>
  <c r="U84" i="1"/>
  <c r="V84" i="1" s="1"/>
  <c r="W84" i="1" s="1"/>
  <c r="T84" i="1"/>
  <c r="U108" i="1"/>
  <c r="V108" i="1" s="1"/>
  <c r="W108" i="1" s="1"/>
  <c r="T108" i="1"/>
  <c r="U162" i="1"/>
  <c r="V162" i="1" s="1"/>
  <c r="W162" i="1" s="1"/>
  <c r="T162" i="1"/>
  <c r="T98" i="1"/>
  <c r="U98" i="1"/>
  <c r="V98" i="1" s="1"/>
  <c r="W98" i="1" s="1"/>
  <c r="T51" i="1"/>
  <c r="U51" i="1"/>
  <c r="V51" i="1" s="1"/>
  <c r="W51" i="1" s="1"/>
</calcChain>
</file>

<file path=xl/sharedStrings.xml><?xml version="1.0" encoding="utf-8"?>
<sst xmlns="http://schemas.openxmlformats.org/spreadsheetml/2006/main" count="961" uniqueCount="427">
  <si>
    <t>SEGMENT</t>
  </si>
  <si>
    <t>MODEL</t>
  </si>
  <si>
    <t>Variant</t>
  </si>
  <si>
    <t>ITEM NAME</t>
  </si>
  <si>
    <t>PART NO.</t>
  </si>
  <si>
    <t>Set Qty</t>
  </si>
  <si>
    <t>NDP</t>
  </si>
  <si>
    <t>NDP (Qty)</t>
  </si>
  <si>
    <t>GST on NDP</t>
  </si>
  <si>
    <t>NDP with GST (Qtyt)</t>
  </si>
  <si>
    <t>Selling Price</t>
  </si>
  <si>
    <t>Selling Price (Qty)</t>
  </si>
  <si>
    <t>MRP with GST (Qty)</t>
  </si>
  <si>
    <t>Fitment Chg WO GST (Qty)</t>
  </si>
  <si>
    <t>GST on Fitment</t>
  </si>
  <si>
    <t>Fitment with GST (Qty)</t>
  </si>
  <si>
    <t>Fitment Cost WO GST (Qty)</t>
  </si>
  <si>
    <t>MRP WITH FITMENT WITH GST</t>
  </si>
  <si>
    <t>MRP (ROUNDED)</t>
  </si>
  <si>
    <t>Difference</t>
  </si>
  <si>
    <t>Retn</t>
  </si>
  <si>
    <t>Retn WO GST</t>
  </si>
  <si>
    <t>Retn %</t>
  </si>
  <si>
    <t>COMMERCIAL</t>
  </si>
  <si>
    <t>ANY</t>
  </si>
  <si>
    <t>WELCOME KIT - COMMERCIAL</t>
  </si>
  <si>
    <t>AM00037</t>
  </si>
  <si>
    <t>PERSONAL</t>
  </si>
  <si>
    <t>WELCOME KIT - PERSONAL</t>
  </si>
  <si>
    <t>MZ00075</t>
  </si>
  <si>
    <t>PERSONAL, COMMERCIAL</t>
  </si>
  <si>
    <t>DASH CAM</t>
  </si>
  <si>
    <t>ATU0225</t>
  </si>
  <si>
    <t>PICK UP, CAMPER</t>
  </si>
  <si>
    <t>CAMPER 2WD POWER STEERING BS6.2 - NEW, CAMPER 4WD POWER STEERING BS6.2 - NEW</t>
  </si>
  <si>
    <t>WHEEL CAP SET</t>
  </si>
  <si>
    <t>AS201</t>
  </si>
  <si>
    <t>BOLERO, PICK UP, CAMPER</t>
  </si>
  <si>
    <t>ALLOY WHEEL</t>
  </si>
  <si>
    <t>BR00059</t>
  </si>
  <si>
    <t>XUV700, SCORPIO CLASSIC, THAR ROXX</t>
  </si>
  <si>
    <t>CERAMIC COATING XUV700 / SCORPIO / ROXX</t>
  </si>
  <si>
    <t>AW60177</t>
  </si>
  <si>
    <t>XUV300, XUV 3XO, XUV400</t>
  </si>
  <si>
    <t>CERAMIC COATING XUV300 / 400</t>
  </si>
  <si>
    <t>AS20059</t>
  </si>
  <si>
    <t>THAR RWD, THAR 4WD</t>
  </si>
  <si>
    <t>CERAMIC COATING - THAR 3 DOOR</t>
  </si>
  <si>
    <t>AT00298</t>
  </si>
  <si>
    <t>SCORPIO-N</t>
  </si>
  <si>
    <t>ULTRA PREMIUM PPF - SCORPIO-N</t>
  </si>
  <si>
    <t>AZ00157</t>
  </si>
  <si>
    <t>XUV700</t>
  </si>
  <si>
    <t>ULTRA PREMIUM PPF - XUV700</t>
  </si>
  <si>
    <t>AW60151</t>
  </si>
  <si>
    <t>XUV300, XUV 3XO</t>
  </si>
  <si>
    <t>ULTRA PREMIUM PPF -XUV300</t>
  </si>
  <si>
    <t>AS00280</t>
  </si>
  <si>
    <t>XUV400, THAR ROXX</t>
  </si>
  <si>
    <t>ULTRA PREMIUM PPF - XUV400 / THAR ROXX</t>
  </si>
  <si>
    <t>AS00279</t>
  </si>
  <si>
    <t>ULTRA PREMIUM PPF - THAR 3 DOOR</t>
  </si>
  <si>
    <t>AT00283</t>
  </si>
  <si>
    <t>PICK UP</t>
  </si>
  <si>
    <t>SEAT COVER</t>
  </si>
  <si>
    <t>AS1</t>
  </si>
  <si>
    <t>BOLERO</t>
  </si>
  <si>
    <t>MAXX HD, MAXX CITY</t>
  </si>
  <si>
    <t>AM00039</t>
  </si>
  <si>
    <t>MAXX HD</t>
  </si>
  <si>
    <t>SEAT COVER - CITY MS 1.4 / MS 1.5</t>
  </si>
  <si>
    <t>AM00040</t>
  </si>
  <si>
    <t>MAXX CITY</t>
  </si>
  <si>
    <t>SEAT COVER - CITY LX 1.3/1.4 / 1.5</t>
  </si>
  <si>
    <t>AM00041</t>
  </si>
  <si>
    <t>CAMPER</t>
  </si>
  <si>
    <t>SEAT COVER 2WD / ZX</t>
  </si>
  <si>
    <t>BMT0038</t>
  </si>
  <si>
    <t>BMT0039</t>
  </si>
  <si>
    <t>RAIN VISOR</t>
  </si>
  <si>
    <t>BMT0037</t>
  </si>
  <si>
    <t>FOG LAMP</t>
  </si>
  <si>
    <t>BR00035</t>
  </si>
  <si>
    <t>SEAT COVER 7 STR VEH</t>
  </si>
  <si>
    <t>BR00093</t>
  </si>
  <si>
    <t>BR00094</t>
  </si>
  <si>
    <t>BODY COVER</t>
  </si>
  <si>
    <t>BR00086</t>
  </si>
  <si>
    <t>MATTING</t>
  </si>
  <si>
    <t>BR00140</t>
  </si>
  <si>
    <t>BOOT MAT</t>
  </si>
  <si>
    <t>BR00145</t>
  </si>
  <si>
    <t>AC00180</t>
  </si>
  <si>
    <t>SCUFF PLATE</t>
  </si>
  <si>
    <t>BR00083</t>
  </si>
  <si>
    <t>BR00150</t>
  </si>
  <si>
    <t>CHROME SET</t>
  </si>
  <si>
    <t>BR00187</t>
  </si>
  <si>
    <t>FRONT STYLISH BUMPER</t>
  </si>
  <si>
    <t>BR00155</t>
  </si>
  <si>
    <t>ROOF RAILS ( SKI-RACK )QQ3</t>
  </si>
  <si>
    <t>BR00109</t>
  </si>
  <si>
    <t>SPOILER</t>
  </si>
  <si>
    <t>BR00084</t>
  </si>
  <si>
    <t>MUD FLAPS</t>
  </si>
  <si>
    <t>BR00174</t>
  </si>
  <si>
    <t>REAR GUARD</t>
  </si>
  <si>
    <t>BR00114</t>
  </si>
  <si>
    <t>BR00193</t>
  </si>
  <si>
    <t>BOLERO NEO</t>
  </si>
  <si>
    <t>ATU0186</t>
  </si>
  <si>
    <t>ATU0168</t>
  </si>
  <si>
    <t>ATU0177</t>
  </si>
  <si>
    <t>ATU0011</t>
  </si>
  <si>
    <t>ATU0173</t>
  </si>
  <si>
    <t>ATU0205</t>
  </si>
  <si>
    <t>ATU0167</t>
  </si>
  <si>
    <t>ATU0192</t>
  </si>
  <si>
    <t>FOOT REST</t>
  </si>
  <si>
    <t>ATU0040</t>
  </si>
  <si>
    <t>BRACKET</t>
  </si>
  <si>
    <t>ATU0155</t>
  </si>
  <si>
    <t>ATU0158</t>
  </si>
  <si>
    <t>REVERSE PARKING CAMERA</t>
  </si>
  <si>
    <t>AX00133</t>
  </si>
  <si>
    <t>SUNSHADE</t>
  </si>
  <si>
    <t>ATU0019</t>
  </si>
  <si>
    <t>ATU0033</t>
  </si>
  <si>
    <t>REAR GUARD BRACKET</t>
  </si>
  <si>
    <t>ATU0083</t>
  </si>
  <si>
    <t>ALLOY WHEELS</t>
  </si>
  <si>
    <t>ATU0062</t>
  </si>
  <si>
    <t>ALLOY WHEELS HUB CAP</t>
  </si>
  <si>
    <t>ATU0216</t>
  </si>
  <si>
    <t>XUV400</t>
  </si>
  <si>
    <t>SEAT COVER 5 STR VEH</t>
  </si>
  <si>
    <t>AS00272</t>
  </si>
  <si>
    <t>AS00234</t>
  </si>
  <si>
    <t>AS00242</t>
  </si>
  <si>
    <t>AS00244</t>
  </si>
  <si>
    <t>AS00278</t>
  </si>
  <si>
    <t>SIDE MOULDING</t>
  </si>
  <si>
    <t>AS00250</t>
  </si>
  <si>
    <t>WHEEL ARCH CLADDING</t>
  </si>
  <si>
    <t>AS00257</t>
  </si>
  <si>
    <t>PARCEL TRAY</t>
  </si>
  <si>
    <t>AS00047</t>
  </si>
  <si>
    <t>SKI RACK</t>
  </si>
  <si>
    <t>AS00141</t>
  </si>
  <si>
    <t>AS00026</t>
  </si>
  <si>
    <t>SEAT COVER 4 STR VEH</t>
  </si>
  <si>
    <t>AT00118</t>
  </si>
  <si>
    <t>SEAT COVER 4 STR VEH (BUCKET FITTING)</t>
  </si>
  <si>
    <t>AT00085</t>
  </si>
  <si>
    <t>AT00071</t>
  </si>
  <si>
    <t>7 D MATTING</t>
  </si>
  <si>
    <t>AT00260</t>
  </si>
  <si>
    <t>AT00082</t>
  </si>
  <si>
    <t>AT00102</t>
  </si>
  <si>
    <t>AT00223</t>
  </si>
  <si>
    <t>CHROME SET THAR BLACK (HL / TL / SM)</t>
  </si>
  <si>
    <t>AT00164</t>
  </si>
  <si>
    <t>AT00165</t>
  </si>
  <si>
    <t>AT00166</t>
  </si>
  <si>
    <t>FRONT ARM REST</t>
  </si>
  <si>
    <t>AT00261</t>
  </si>
  <si>
    <t>REAR ARM REST</t>
  </si>
  <si>
    <t>AT00262</t>
  </si>
  <si>
    <t>AT00246</t>
  </si>
  <si>
    <t>AT00230</t>
  </si>
  <si>
    <t>THAR RWD, THAR 4WD, THAR ROXX</t>
  </si>
  <si>
    <t>RADIATOR GUARD</t>
  </si>
  <si>
    <t>AT00245</t>
  </si>
  <si>
    <t>SUNSHADE FRONT</t>
  </si>
  <si>
    <t>AT00124</t>
  </si>
  <si>
    <t>SUNSHADE REAR</t>
  </si>
  <si>
    <t>AT00250</t>
  </si>
  <si>
    <t>AT00253</t>
  </si>
  <si>
    <t>SCORPIO CLASSIC</t>
  </si>
  <si>
    <t>SEAT COVER SCORPIO BLACK SF</t>
  </si>
  <si>
    <t>AC00436</t>
  </si>
  <si>
    <t>SEAT COVER SCORPIO OTH CLR SF</t>
  </si>
  <si>
    <t>AC00409</t>
  </si>
  <si>
    <t>SEAT COVER SCORPIO BLACK CC</t>
  </si>
  <si>
    <t>AC00437</t>
  </si>
  <si>
    <t>SEAT COVER SCORPIO OTH CLR CC</t>
  </si>
  <si>
    <t>AC00410</t>
  </si>
  <si>
    <t>AC00476</t>
  </si>
  <si>
    <t>AC00725</t>
  </si>
  <si>
    <t>AC00739</t>
  </si>
  <si>
    <t>AC00116</t>
  </si>
  <si>
    <t>RAIN VISOR WITH CHROME</t>
  </si>
  <si>
    <t>AC00564</t>
  </si>
  <si>
    <t>AC00750</t>
  </si>
  <si>
    <t>ILLUMINATED SCUFF PLATE</t>
  </si>
  <si>
    <t>AC00418</t>
  </si>
  <si>
    <t>AC00709</t>
  </si>
  <si>
    <t>AC00344</t>
  </si>
  <si>
    <t>AC00701</t>
  </si>
  <si>
    <t>AC00748</t>
  </si>
  <si>
    <t>AC00764</t>
  </si>
  <si>
    <t>AC00450</t>
  </si>
  <si>
    <t>ALLOY WHEEL SET (REGULAR)</t>
  </si>
  <si>
    <t>AC00741</t>
  </si>
  <si>
    <t>REAR GUARD WITH BRACKET</t>
  </si>
  <si>
    <t>AC00666</t>
  </si>
  <si>
    <t>SEAT COVER SCORPIO BLACK CAPTAIN SEAT</t>
  </si>
  <si>
    <t>AC00603</t>
  </si>
  <si>
    <t>AZ00036</t>
  </si>
  <si>
    <t>SEAT COVER 7 STR VEH (SCOIRPIO N - BROWN)</t>
  </si>
  <si>
    <t>AZ00030</t>
  </si>
  <si>
    <t>SEAT COVER 7 STR VEH (BUCKET FITTING)</t>
  </si>
  <si>
    <t>SEAT COVER 7 STR VEH (SCOIRPIO N - BROWN) (BUCKET FITTING)</t>
  </si>
  <si>
    <t>AZ00020</t>
  </si>
  <si>
    <t>AZ00048</t>
  </si>
  <si>
    <t>AZ00060</t>
  </si>
  <si>
    <t>AZ00014</t>
  </si>
  <si>
    <t>AZ00116</t>
  </si>
  <si>
    <t>CHROME SET SCORPIO N LOWER VARIANT (80 , 81)</t>
  </si>
  <si>
    <t>AZ00080</t>
  </si>
  <si>
    <t>AZ00081</t>
  </si>
  <si>
    <t>CHROME SET SCORPIO N LOWER VARIANT (113 , 11 )</t>
  </si>
  <si>
    <t>AZ00113</t>
  </si>
  <si>
    <t>AZ00011</t>
  </si>
  <si>
    <t>AZ00075</t>
  </si>
  <si>
    <t>FRONT &amp; REAR STYLISH BUMPER</t>
  </si>
  <si>
    <t>AZ00028</t>
  </si>
  <si>
    <t>AZ00045</t>
  </si>
  <si>
    <t>AZ00046</t>
  </si>
  <si>
    <t>AZ00162</t>
  </si>
  <si>
    <t>REVERSE CAMERA LIGHT ASSEMBLY - WHITE AZ00140</t>
  </si>
  <si>
    <t>AZ00140</t>
  </si>
  <si>
    <t>REVERSE CAMERA LIGHT ASSEMBLY - BLACK AZ00141</t>
  </si>
  <si>
    <t>AZ00141</t>
  </si>
  <si>
    <t>AZ00017</t>
  </si>
  <si>
    <t>AZ00023</t>
  </si>
  <si>
    <t>ALLOY WHEEL SET (17 INCH SCORPIO N)</t>
  </si>
  <si>
    <t>AZ00155</t>
  </si>
  <si>
    <t>ALLOY WHEEL SET (18 INCH SCORPIO N)</t>
  </si>
  <si>
    <t>AZ00131</t>
  </si>
  <si>
    <t>AZ00111</t>
  </si>
  <si>
    <t>BODY SIDE DECALS</t>
  </si>
  <si>
    <t>AZ00122</t>
  </si>
  <si>
    <t>BUMPER PROTECTOR</t>
  </si>
  <si>
    <t>AZ00044</t>
  </si>
  <si>
    <t>BUG DEFLECTOR</t>
  </si>
  <si>
    <t>AZ00015</t>
  </si>
  <si>
    <t>ROOF RAILS ( SKI-RACK )</t>
  </si>
  <si>
    <t>AZ00126</t>
  </si>
  <si>
    <t>AZ00128</t>
  </si>
  <si>
    <t>AZ00137</t>
  </si>
  <si>
    <t>DASH MAT</t>
  </si>
  <si>
    <t>AZ00074</t>
  </si>
  <si>
    <t>PD-QC CHARGER-130 WATTS</t>
  </si>
  <si>
    <t>AZ00172</t>
  </si>
  <si>
    <t>AW60032</t>
  </si>
  <si>
    <t>AW60031</t>
  </si>
  <si>
    <t>SEAT COVER 5 STR VEH (BUCKET FITTING)</t>
  </si>
  <si>
    <t>AW60046</t>
  </si>
  <si>
    <t>AW60030</t>
  </si>
  <si>
    <t>AW60061</t>
  </si>
  <si>
    <t>AW60013</t>
  </si>
  <si>
    <t>AW60105</t>
  </si>
  <si>
    <t>AW60017</t>
  </si>
  <si>
    <t>AW60021</t>
  </si>
  <si>
    <t>FOOT REST BRACKET</t>
  </si>
  <si>
    <t>AW60083</t>
  </si>
  <si>
    <t>AW60001</t>
  </si>
  <si>
    <t>AW60118</t>
  </si>
  <si>
    <t>AW60038</t>
  </si>
  <si>
    <t>AW60011</t>
  </si>
  <si>
    <t>AW60063</t>
  </si>
  <si>
    <t>ALLOY WHEEL SET (17 INCH XUV700)</t>
  </si>
  <si>
    <t>AW60102</t>
  </si>
  <si>
    <t>ALLOY WHEEL SET (18 INCH XUV700)</t>
  </si>
  <si>
    <t>AW60104</t>
  </si>
  <si>
    <t>XUV 3XO</t>
  </si>
  <si>
    <t>SEAT COVER AX</t>
  </si>
  <si>
    <t>AS20042</t>
  </si>
  <si>
    <t>SEAT COVER MX</t>
  </si>
  <si>
    <t>AS20062</t>
  </si>
  <si>
    <t>FRONT BUMPER ADD ON</t>
  </si>
  <si>
    <t>AS20030</t>
  </si>
  <si>
    <t>REAR BUMPER ADD ON</t>
  </si>
  <si>
    <t>AS20031</t>
  </si>
  <si>
    <t>RAIN VISOR WITH CHROME INSERT</t>
  </si>
  <si>
    <t>AS20036</t>
  </si>
  <si>
    <t>THEMATIC CUSHION, NECK REST, SEAT BELT CUSHION, TISSUE BOX- BLACK</t>
  </si>
  <si>
    <t>AS20038</t>
  </si>
  <si>
    <t>DESIGNER FLOOR MAT SET - MT</t>
  </si>
  <si>
    <t>AS20005</t>
  </si>
  <si>
    <t>PRINTED CARPET FLOOR MAT SET - MT</t>
  </si>
  <si>
    <t>AS20009</t>
  </si>
  <si>
    <t>LUGGAGE COVER / PARCEL TRAY</t>
  </si>
  <si>
    <t>AS20039</t>
  </si>
  <si>
    <t>ILLUMINATED SCUFF PLATE SET</t>
  </si>
  <si>
    <t>AS20015</t>
  </si>
  <si>
    <t>SS SCUFF PLATE SET</t>
  </si>
  <si>
    <t>AS20014</t>
  </si>
  <si>
    <t>SILVER BODY COVER</t>
  </si>
  <si>
    <t>AS20003</t>
  </si>
  <si>
    <t>BODY COVER PREMIUM</t>
  </si>
  <si>
    <t>AS20001</t>
  </si>
  <si>
    <t>BODY COVER SPORTY</t>
  </si>
  <si>
    <t>AS20002</t>
  </si>
  <si>
    <t>FRONT &amp; REAR MUD FLAP</t>
  </si>
  <si>
    <t>AS20035</t>
  </si>
  <si>
    <t>AS00042</t>
  </si>
  <si>
    <t>XUV 3XO, XUV400</t>
  </si>
  <si>
    <t>AS00275</t>
  </si>
  <si>
    <t>AS20024</t>
  </si>
  <si>
    <t>SKY RACKS</t>
  </si>
  <si>
    <t>AS20022</t>
  </si>
  <si>
    <t>BUMPER CORNER PROTECTOR</t>
  </si>
  <si>
    <t>AS20029</t>
  </si>
  <si>
    <t>XUV300 SS REAR BUMPER PROTECTOR</t>
  </si>
  <si>
    <t>AS00124</t>
  </si>
  <si>
    <t>MAGNETIC SUN SHADE SET</t>
  </si>
  <si>
    <t>AS00015</t>
  </si>
  <si>
    <t>FRONT WIND SHIELD SUN SHADE-XUV300,XUV50</t>
  </si>
  <si>
    <t>AS00194</t>
  </si>
  <si>
    <t>7D FLOOR MAT SET MT-S220</t>
  </si>
  <si>
    <t>AS20013</t>
  </si>
  <si>
    <t>7D FLOOR MAT SET AT-S220</t>
  </si>
  <si>
    <t>AS20012</t>
  </si>
  <si>
    <t>AS20065</t>
  </si>
  <si>
    <t>AS20083</t>
  </si>
  <si>
    <t>COVER FOG LAMP LH</t>
  </si>
  <si>
    <t>2302AS203310N</t>
  </si>
  <si>
    <t>COVER FOG LAMP RH</t>
  </si>
  <si>
    <t>2302AS203300N</t>
  </si>
  <si>
    <t>FRONT UPPER GRILLE APPLIQUE</t>
  </si>
  <si>
    <t>AS20025</t>
  </si>
  <si>
    <t>FRONT LOWER GRILLE APPLIQUE</t>
  </si>
  <si>
    <t>AS20026</t>
  </si>
  <si>
    <t>HEAD LAMP APPLIQUE SET</t>
  </si>
  <si>
    <t>AS20027</t>
  </si>
  <si>
    <t>DOOR CLADDING SET</t>
  </si>
  <si>
    <t>AS20018</t>
  </si>
  <si>
    <t>BACK DOOR APPLIQUE</t>
  </si>
  <si>
    <t>AS20020</t>
  </si>
  <si>
    <t>TAIL LAMP APPLIQUE SET</t>
  </si>
  <si>
    <t>AS20028</t>
  </si>
  <si>
    <t>FRONT N REAR WHEEL ARCH APPLIQUESET</t>
  </si>
  <si>
    <t>AS20019</t>
  </si>
  <si>
    <t>COMFORT KIT</t>
  </si>
  <si>
    <t>AS20067</t>
  </si>
  <si>
    <t>MUSIC SYSTEM ANDROID (W6)</t>
  </si>
  <si>
    <t>AC00734</t>
  </si>
  <si>
    <t>FRAME N COUPLER KIT</t>
  </si>
  <si>
    <t>AS00230</t>
  </si>
  <si>
    <t>CENTRAL LOCKING</t>
  </si>
  <si>
    <t>AS00140</t>
  </si>
  <si>
    <t>THAR ROXX</t>
  </si>
  <si>
    <t>7D FLOOR MAT SET</t>
  </si>
  <si>
    <t>AT50022</t>
  </si>
  <si>
    <t>FRONT FOG LAMP APPLIQUE SET</t>
  </si>
  <si>
    <t>AT50001</t>
  </si>
  <si>
    <t>FRONT INDICATOR APPLIQUE SET</t>
  </si>
  <si>
    <t>AT50002</t>
  </si>
  <si>
    <t>REAR REFLECTOR APPLIQUE SET</t>
  </si>
  <si>
    <t>AT50005</t>
  </si>
  <si>
    <t>RAIN VISOR WITH CHROME INSERT SET</t>
  </si>
  <si>
    <t>AT50006</t>
  </si>
  <si>
    <t>AT50007</t>
  </si>
  <si>
    <t>FRONT N REAR MUD FLAP SET</t>
  </si>
  <si>
    <t>AT50008</t>
  </si>
  <si>
    <t>DUAL TONE FULL BODY COVER</t>
  </si>
  <si>
    <t>AT50011</t>
  </si>
  <si>
    <t>CAMOUFLAGE FULL BODY COVER</t>
  </si>
  <si>
    <t>AT50013</t>
  </si>
  <si>
    <t>AT50021</t>
  </si>
  <si>
    <t>DOOR HANDLE APPLIQUE SET</t>
  </si>
  <si>
    <t>AT50040</t>
  </si>
  <si>
    <t>BOTTOM DOOR CLADDING SET</t>
  </si>
  <si>
    <t>AT50041</t>
  </si>
  <si>
    <t>ALLUMINIUM SCUFF PLATE</t>
  </si>
  <si>
    <t>AT50028</t>
  </si>
  <si>
    <t>SS SCUFF PLATE</t>
  </si>
  <si>
    <t>AT50027</t>
  </si>
  <si>
    <t>SUN SHADE SET</t>
  </si>
  <si>
    <t>AT50023</t>
  </si>
  <si>
    <t>ALLOY WHEEL HUB CAP</t>
  </si>
  <si>
    <t>AT50038</t>
  </si>
  <si>
    <t>ALLOY WHEEL - 18 INCH</t>
  </si>
  <si>
    <t>AT50048</t>
  </si>
  <si>
    <t>ALLOY WHEEL - 19 INCH</t>
  </si>
  <si>
    <t>AT50049</t>
  </si>
  <si>
    <t>AIR DAM KIT SET</t>
  </si>
  <si>
    <t>AT50043</t>
  </si>
  <si>
    <t>AT50010</t>
  </si>
  <si>
    <t>FENDER N DOOR CLADDING SET</t>
  </si>
  <si>
    <t>AT50009</t>
  </si>
  <si>
    <t>INFOTAINMENT SCREEN PROTECTOR</t>
  </si>
  <si>
    <t>AT50066</t>
  </si>
  <si>
    <t>TAIL GATE MOUNTED SNACK TRAY</t>
  </si>
  <si>
    <t>AT50024</t>
  </si>
  <si>
    <t>FUEL TANK METALLIC PROTECTOR</t>
  </si>
  <si>
    <t>AT50055</t>
  </si>
  <si>
    <t>UREA TANK METALLIC PROTECTOR</t>
  </si>
  <si>
    <t>AT50054</t>
  </si>
  <si>
    <t>AT50029</t>
  </si>
  <si>
    <t>AT50004</t>
  </si>
  <si>
    <t>AT50082</t>
  </si>
  <si>
    <t>THAR ROXX PLAIN MATTING (AUTOMATIC)</t>
  </si>
  <si>
    <t>AT50019</t>
  </si>
  <si>
    <t>THAR ROXX PLAIN MATTING (MANUAL)</t>
  </si>
  <si>
    <t>AT50020</t>
  </si>
  <si>
    <t>VEERO</t>
  </si>
  <si>
    <t>WHEEL COVER</t>
  </si>
  <si>
    <t>AM00004</t>
  </si>
  <si>
    <t>ORVM APPLIQUE</t>
  </si>
  <si>
    <t>AM00010</t>
  </si>
  <si>
    <t>SEAT COVER-GREYBLACK V2 &amp; V4</t>
  </si>
  <si>
    <t>AP20013</t>
  </si>
  <si>
    <t>SEAT COVER-GREYBLACK PU-WHR V6</t>
  </si>
  <si>
    <t>AP20014</t>
  </si>
  <si>
    <t>SPIKE MAT-W/O SRSSENSOR WITH ABS</t>
  </si>
  <si>
    <t>AP20024</t>
  </si>
  <si>
    <t>SPIKE MAT-W/O SRSSENSOR- WITHOUT ABS</t>
  </si>
  <si>
    <t>AP20025</t>
  </si>
  <si>
    <t>9-INCH INFOTAINMENT SYSTEM-MMI-P201</t>
  </si>
  <si>
    <t>AP20020</t>
  </si>
  <si>
    <t>9-INCH INFOTAINMENT BEZEL-MMI-P201</t>
  </si>
  <si>
    <t>AP20021</t>
  </si>
  <si>
    <t>STEERING WHEEL COVER-GREYBLACK</t>
  </si>
  <si>
    <t>AP20018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</si>
</sst>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scheme val="minor"/>
    </font>
    <font>
      <b/>
      <sz val="8"/>
      <color rgb="FF000000"/>
      <name val="Calibri"/>
      <scheme val="minor"/>
    </font>
    <font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5"/>
  <sheetViews>
    <sheetView tabSelected="1" workbookViewId="0">
      <selection activeCell="C21" sqref="C21"/>
    </sheetView>
  </sheetViews>
  <sheetFormatPr defaultColWidth="14" defaultRowHeight="14.4" x14ac:dyDescent="0.3"/>
  <cols>
    <col min="1" max="1" width="20" customWidth="1"/>
    <col min="2" max="2" width="30.44140625" customWidth="1"/>
    <col min="3" max="3" width="41.109375" customWidth="1"/>
    <col min="4" max="4" width="56.21875" customWidth="1"/>
    <col min="5" max="5" width="12.33203125" customWidth="1"/>
    <col min="6" max="6" width="6.21875" customWidth="1"/>
    <col min="7" max="7" width="7.109375" customWidth="1"/>
    <col min="8" max="8" width="8.109375" customWidth="1"/>
    <col min="9" max="9" width="9.88671875" customWidth="1"/>
    <col min="10" max="10" width="15.44140625" customWidth="1"/>
    <col min="11" max="11" width="10" customWidth="1"/>
    <col min="12" max="12" width="13.77734375" customWidth="1"/>
    <col min="13" max="13" width="15.109375" customWidth="1"/>
    <col min="14" max="14" width="20" customWidth="1"/>
    <col min="15" max="15" width="12.109375" customWidth="1"/>
    <col min="16" max="16" width="19.88671875" customWidth="1"/>
    <col min="17" max="17" width="20.44140625" customWidth="1"/>
    <col min="18" max="18" width="23" customWidth="1"/>
    <col min="19" max="19" width="13.33203125" customWidth="1"/>
    <col min="20" max="20" width="8.21875" customWidth="1"/>
    <col min="21" max="21" width="5.21875" customWidth="1"/>
    <col min="22" max="22" width="10.77734375" customWidth="1"/>
    <col min="23" max="23" width="7.441406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4" t="s">
        <v>22</v>
      </c>
    </row>
    <row r="2" spans="1:23" x14ac:dyDescent="0.3">
      <c r="A2" s="5" t="s">
        <v>23</v>
      </c>
      <c r="B2" s="5" t="s">
        <v>24</v>
      </c>
      <c r="C2" s="5"/>
      <c r="D2" s="5" t="s">
        <v>25</v>
      </c>
      <c r="E2" s="5" t="s">
        <v>26</v>
      </c>
      <c r="F2" s="5">
        <v>1</v>
      </c>
      <c r="G2" s="6">
        <v>396.9</v>
      </c>
      <c r="H2" s="5">
        <f t="shared" ref="H2:H65" si="0">G2*F2</f>
        <v>396.9</v>
      </c>
      <c r="I2" s="7">
        <v>0.28000000000000003</v>
      </c>
      <c r="J2" s="5">
        <f t="shared" ref="J2:J65" si="1">H2*(100%+I2)</f>
        <v>508.03199999999998</v>
      </c>
      <c r="K2" s="5">
        <v>382.81</v>
      </c>
      <c r="L2" s="5">
        <f t="shared" ref="L2:L65" si="2">K2*F2</f>
        <v>382.81</v>
      </c>
      <c r="M2" s="5">
        <f t="shared" ref="M2:M22" si="3">L2*(100%+I2)</f>
        <v>489.99680000000001</v>
      </c>
      <c r="N2" s="5">
        <v>0</v>
      </c>
      <c r="O2" s="7">
        <v>0.18</v>
      </c>
      <c r="P2" s="5">
        <f t="shared" ref="P2:P65" si="4">N2*(100%+O2)</f>
        <v>0</v>
      </c>
      <c r="Q2" s="5">
        <v>0</v>
      </c>
      <c r="R2" s="8">
        <f t="shared" ref="R2:R65" si="5">M2+P2</f>
        <v>489.99680000000001</v>
      </c>
      <c r="S2" s="9">
        <f t="shared" ref="S2:S65" si="6">IF(OR(D2="Welcome Kit - Personal",D2="Welcome Kit - Commercial"),0,MROUND(R2,50)-1)</f>
        <v>0</v>
      </c>
      <c r="T2" s="8">
        <f t="shared" ref="T2:T65" si="7">S2-R2</f>
        <v>-489.99680000000001</v>
      </c>
      <c r="U2" s="8">
        <f t="shared" ref="U2:U65" si="8">S2-J2-Q2</f>
        <v>-508.03199999999998</v>
      </c>
      <c r="V2" s="8">
        <f t="shared" ref="V2:V65" si="9">U2/(100%+I2)</f>
        <v>-396.9</v>
      </c>
      <c r="W2" s="10">
        <f t="shared" ref="W2:W65" si="10">IFERROR(V2/H2,0)</f>
        <v>-1</v>
      </c>
    </row>
    <row r="3" spans="1:23" x14ac:dyDescent="0.3">
      <c r="A3" s="5" t="s">
        <v>27</v>
      </c>
      <c r="B3" s="5" t="s">
        <v>24</v>
      </c>
      <c r="C3" s="5"/>
      <c r="D3" s="5" t="s">
        <v>28</v>
      </c>
      <c r="E3" s="5" t="s">
        <v>29</v>
      </c>
      <c r="F3" s="5">
        <v>1</v>
      </c>
      <c r="G3" s="6">
        <v>588.87</v>
      </c>
      <c r="H3" s="5">
        <f t="shared" si="0"/>
        <v>588.87</v>
      </c>
      <c r="I3" s="7">
        <v>0.18</v>
      </c>
      <c r="J3" s="5">
        <f t="shared" si="1"/>
        <v>694.86659999999995</v>
      </c>
      <c r="K3" s="5">
        <v>616.1</v>
      </c>
      <c r="L3" s="5">
        <f t="shared" si="2"/>
        <v>616.1</v>
      </c>
      <c r="M3" s="5">
        <f t="shared" si="3"/>
        <v>726.99799999999993</v>
      </c>
      <c r="N3" s="5">
        <v>0</v>
      </c>
      <c r="O3" s="7">
        <v>0.18</v>
      </c>
      <c r="P3" s="5">
        <f t="shared" si="4"/>
        <v>0</v>
      </c>
      <c r="Q3" s="5">
        <v>0</v>
      </c>
      <c r="R3" s="8">
        <f t="shared" si="5"/>
        <v>726.99799999999993</v>
      </c>
      <c r="S3" s="9">
        <f t="shared" si="6"/>
        <v>0</v>
      </c>
      <c r="T3" s="8">
        <f t="shared" si="7"/>
        <v>-726.99799999999993</v>
      </c>
      <c r="U3" s="8">
        <f t="shared" si="8"/>
        <v>-694.86659999999995</v>
      </c>
      <c r="V3" s="8">
        <f t="shared" si="9"/>
        <v>-588.87</v>
      </c>
      <c r="W3" s="10">
        <f t="shared" si="10"/>
        <v>-1</v>
      </c>
    </row>
    <row r="4" spans="1:23" x14ac:dyDescent="0.3">
      <c r="A4" s="5" t="s">
        <v>30</v>
      </c>
      <c r="B4" s="5" t="s">
        <v>24</v>
      </c>
      <c r="C4" s="5"/>
      <c r="D4" s="5" t="s">
        <v>31</v>
      </c>
      <c r="E4" s="5" t="s">
        <v>32</v>
      </c>
      <c r="F4" s="5">
        <v>1</v>
      </c>
      <c r="G4" s="6">
        <v>4079.32</v>
      </c>
      <c r="H4" s="5">
        <f t="shared" si="0"/>
        <v>4079.32</v>
      </c>
      <c r="I4" s="7">
        <v>0.18</v>
      </c>
      <c r="J4" s="5">
        <f t="shared" si="1"/>
        <v>4813.5976000000001</v>
      </c>
      <c r="K4" s="5">
        <v>5083.8999999999996</v>
      </c>
      <c r="L4" s="5">
        <f t="shared" si="2"/>
        <v>5083.8999999999996</v>
      </c>
      <c r="M4" s="5">
        <f t="shared" si="3"/>
        <v>5999.0019999999995</v>
      </c>
      <c r="N4" s="5">
        <v>0</v>
      </c>
      <c r="O4" s="7">
        <v>0.18</v>
      </c>
      <c r="P4" s="5">
        <f t="shared" si="4"/>
        <v>0</v>
      </c>
      <c r="Q4" s="5">
        <v>0</v>
      </c>
      <c r="R4" s="8">
        <f t="shared" si="5"/>
        <v>5999.0019999999995</v>
      </c>
      <c r="S4" s="9">
        <f t="shared" si="6"/>
        <v>5999</v>
      </c>
      <c r="T4" s="8">
        <f t="shared" si="7"/>
        <v>-1.9999999994979589E-3</v>
      </c>
      <c r="U4" s="8">
        <f t="shared" si="8"/>
        <v>1185.4023999999999</v>
      </c>
      <c r="V4" s="8">
        <f t="shared" si="9"/>
        <v>1004.5783050847458</v>
      </c>
      <c r="W4" s="10">
        <f t="shared" si="10"/>
        <v>0.24626121635094717</v>
      </c>
    </row>
    <row r="5" spans="1:23" ht="20.25" customHeight="1" x14ac:dyDescent="0.3">
      <c r="A5" s="5" t="s">
        <v>23</v>
      </c>
      <c r="B5" s="5" t="s">
        <v>33</v>
      </c>
      <c r="C5" s="11" t="s">
        <v>34</v>
      </c>
      <c r="D5" s="5" t="s">
        <v>35</v>
      </c>
      <c r="E5" s="5" t="s">
        <v>36</v>
      </c>
      <c r="F5" s="5">
        <v>4</v>
      </c>
      <c r="G5" s="6">
        <v>250</v>
      </c>
      <c r="H5" s="5">
        <f t="shared" si="0"/>
        <v>1000</v>
      </c>
      <c r="I5" s="7">
        <v>0.28000000000000003</v>
      </c>
      <c r="J5" s="5">
        <f t="shared" si="1"/>
        <v>1280</v>
      </c>
      <c r="K5" s="5">
        <v>429.69</v>
      </c>
      <c r="L5" s="5">
        <f t="shared" si="2"/>
        <v>1718.76</v>
      </c>
      <c r="M5" s="5">
        <f t="shared" si="3"/>
        <v>2200.0128</v>
      </c>
      <c r="N5" s="5">
        <v>0</v>
      </c>
      <c r="O5" s="7">
        <v>0.18</v>
      </c>
      <c r="P5" s="5">
        <f t="shared" si="4"/>
        <v>0</v>
      </c>
      <c r="Q5" s="5">
        <v>10</v>
      </c>
      <c r="R5" s="8">
        <f t="shared" si="5"/>
        <v>2200.0128</v>
      </c>
      <c r="S5" s="9">
        <f t="shared" si="6"/>
        <v>2199</v>
      </c>
      <c r="T5" s="8">
        <f t="shared" si="7"/>
        <v>-1.0127999999999702</v>
      </c>
      <c r="U5" s="8">
        <f t="shared" si="8"/>
        <v>909</v>
      </c>
      <c r="V5" s="8">
        <f t="shared" si="9"/>
        <v>710.15625</v>
      </c>
      <c r="W5" s="10">
        <f t="shared" si="10"/>
        <v>0.71015625000000004</v>
      </c>
    </row>
    <row r="6" spans="1:23" ht="20.25" customHeight="1" x14ac:dyDescent="0.3">
      <c r="A6" s="5" t="s">
        <v>23</v>
      </c>
      <c r="B6" s="5" t="s">
        <v>37</v>
      </c>
      <c r="C6" s="11" t="s">
        <v>34</v>
      </c>
      <c r="D6" s="5" t="s">
        <v>38</v>
      </c>
      <c r="E6" s="5" t="s">
        <v>39</v>
      </c>
      <c r="F6" s="5">
        <v>4</v>
      </c>
      <c r="G6" s="6">
        <v>5900.7</v>
      </c>
      <c r="H6" s="5">
        <f t="shared" si="0"/>
        <v>23602.799999999999</v>
      </c>
      <c r="I6" s="7">
        <v>0.28000000000000003</v>
      </c>
      <c r="J6" s="5">
        <f t="shared" si="1"/>
        <v>30211.583999999999</v>
      </c>
      <c r="K6" s="5">
        <v>7092.19</v>
      </c>
      <c r="L6" s="5">
        <f t="shared" si="2"/>
        <v>28368.76</v>
      </c>
      <c r="M6" s="5">
        <f t="shared" si="3"/>
        <v>36312.012799999997</v>
      </c>
      <c r="N6" s="5">
        <v>700</v>
      </c>
      <c r="O6" s="7">
        <v>0.18</v>
      </c>
      <c r="P6" s="5">
        <f t="shared" si="4"/>
        <v>826</v>
      </c>
      <c r="Q6" s="5">
        <v>300</v>
      </c>
      <c r="R6" s="8">
        <f t="shared" si="5"/>
        <v>37138.012799999997</v>
      </c>
      <c r="S6" s="9">
        <f t="shared" si="6"/>
        <v>37149</v>
      </c>
      <c r="T6" s="8">
        <f t="shared" si="7"/>
        <v>10.987200000003213</v>
      </c>
      <c r="U6" s="8">
        <f t="shared" si="8"/>
        <v>6637.4160000000011</v>
      </c>
      <c r="V6" s="8">
        <f t="shared" si="9"/>
        <v>5185.4812500000007</v>
      </c>
      <c r="W6" s="10">
        <f t="shared" si="10"/>
        <v>0.21969771594895524</v>
      </c>
    </row>
    <row r="7" spans="1:23" x14ac:dyDescent="0.3">
      <c r="A7" s="5" t="s">
        <v>27</v>
      </c>
      <c r="B7" s="5" t="s">
        <v>40</v>
      </c>
      <c r="C7" s="5"/>
      <c r="D7" s="5" t="s">
        <v>41</v>
      </c>
      <c r="E7" s="5" t="s">
        <v>42</v>
      </c>
      <c r="F7" s="5">
        <v>1</v>
      </c>
      <c r="G7" s="6">
        <v>16728.91</v>
      </c>
      <c r="H7" s="5">
        <f t="shared" si="0"/>
        <v>16728.91</v>
      </c>
      <c r="I7" s="7">
        <v>0.18</v>
      </c>
      <c r="J7" s="5">
        <f t="shared" si="1"/>
        <v>19740.113799999999</v>
      </c>
      <c r="K7" s="5">
        <v>24151.69</v>
      </c>
      <c r="L7" s="5">
        <f t="shared" si="2"/>
        <v>24151.69</v>
      </c>
      <c r="M7" s="5">
        <f t="shared" si="3"/>
        <v>28498.994199999997</v>
      </c>
      <c r="N7" s="5">
        <v>0</v>
      </c>
      <c r="O7" s="7">
        <v>0.18</v>
      </c>
      <c r="P7" s="5">
        <f t="shared" si="4"/>
        <v>0</v>
      </c>
      <c r="Q7" s="5">
        <v>0</v>
      </c>
      <c r="R7" s="8">
        <f t="shared" si="5"/>
        <v>28498.994199999997</v>
      </c>
      <c r="S7" s="9">
        <f t="shared" si="6"/>
        <v>28499</v>
      </c>
      <c r="T7" s="8">
        <f t="shared" si="7"/>
        <v>5.800000002636807E-3</v>
      </c>
      <c r="U7" s="8">
        <f t="shared" si="8"/>
        <v>8758.8862000000008</v>
      </c>
      <c r="V7" s="8">
        <f t="shared" si="9"/>
        <v>7422.7849152542385</v>
      </c>
      <c r="W7" s="10">
        <f t="shared" si="10"/>
        <v>0.44371001549140016</v>
      </c>
    </row>
    <row r="8" spans="1:23" x14ac:dyDescent="0.3">
      <c r="A8" s="5" t="s">
        <v>27</v>
      </c>
      <c r="B8" s="5" t="s">
        <v>43</v>
      </c>
      <c r="C8" s="5"/>
      <c r="D8" s="5" t="s">
        <v>44</v>
      </c>
      <c r="E8" s="5" t="s">
        <v>45</v>
      </c>
      <c r="F8" s="5">
        <v>1</v>
      </c>
      <c r="G8" s="6">
        <v>13864.41</v>
      </c>
      <c r="H8" s="5">
        <f t="shared" si="0"/>
        <v>13864.41</v>
      </c>
      <c r="I8" s="7">
        <v>0.18</v>
      </c>
      <c r="J8" s="5">
        <f t="shared" si="1"/>
        <v>16360.003799999999</v>
      </c>
      <c r="K8" s="5">
        <v>19914.41</v>
      </c>
      <c r="L8" s="5">
        <f t="shared" si="2"/>
        <v>19914.41</v>
      </c>
      <c r="M8" s="5">
        <f t="shared" si="3"/>
        <v>23499.003799999999</v>
      </c>
      <c r="N8" s="5">
        <v>0</v>
      </c>
      <c r="O8" s="7">
        <v>0.18</v>
      </c>
      <c r="P8" s="5">
        <f t="shared" si="4"/>
        <v>0</v>
      </c>
      <c r="Q8" s="5">
        <v>0</v>
      </c>
      <c r="R8" s="8">
        <f t="shared" si="5"/>
        <v>23499.003799999999</v>
      </c>
      <c r="S8" s="9">
        <f t="shared" si="6"/>
        <v>23499</v>
      </c>
      <c r="T8" s="8">
        <f t="shared" si="7"/>
        <v>-3.7999999985913746E-3</v>
      </c>
      <c r="U8" s="8">
        <f t="shared" si="8"/>
        <v>7138.9962000000014</v>
      </c>
      <c r="V8" s="8">
        <f t="shared" si="9"/>
        <v>6049.9967796610181</v>
      </c>
      <c r="W8" s="10">
        <f t="shared" si="10"/>
        <v>0.43636885952312565</v>
      </c>
    </row>
    <row r="9" spans="1:23" x14ac:dyDescent="0.3">
      <c r="A9" s="5" t="s">
        <v>27</v>
      </c>
      <c r="B9" s="5" t="s">
        <v>46</v>
      </c>
      <c r="C9" s="5"/>
      <c r="D9" s="5" t="s">
        <v>47</v>
      </c>
      <c r="E9" s="5" t="s">
        <v>48</v>
      </c>
      <c r="F9" s="5">
        <v>1</v>
      </c>
      <c r="G9" s="6">
        <v>13206.91</v>
      </c>
      <c r="H9" s="5">
        <f t="shared" si="0"/>
        <v>13206.91</v>
      </c>
      <c r="I9" s="7">
        <v>0.18</v>
      </c>
      <c r="J9" s="5">
        <f t="shared" si="1"/>
        <v>15584.153799999998</v>
      </c>
      <c r="K9" s="5">
        <v>19066.95</v>
      </c>
      <c r="L9" s="5">
        <f t="shared" si="2"/>
        <v>19066.95</v>
      </c>
      <c r="M9" s="5">
        <f t="shared" si="3"/>
        <v>22499.001</v>
      </c>
      <c r="N9" s="5">
        <v>0</v>
      </c>
      <c r="O9" s="7">
        <v>0.18</v>
      </c>
      <c r="P9" s="5">
        <f t="shared" si="4"/>
        <v>0</v>
      </c>
      <c r="Q9" s="5">
        <v>250</v>
      </c>
      <c r="R9" s="8">
        <f t="shared" si="5"/>
        <v>22499.001</v>
      </c>
      <c r="S9" s="9">
        <f t="shared" si="6"/>
        <v>22499</v>
      </c>
      <c r="T9" s="8">
        <f t="shared" si="7"/>
        <v>-1.0000000002037268E-3</v>
      </c>
      <c r="U9" s="8">
        <f t="shared" si="8"/>
        <v>6664.8462000000018</v>
      </c>
      <c r="V9" s="8">
        <f t="shared" si="9"/>
        <v>5648.1747457627134</v>
      </c>
      <c r="W9" s="10">
        <f t="shared" si="10"/>
        <v>0.42766814839827888</v>
      </c>
    </row>
    <row r="10" spans="1:23" x14ac:dyDescent="0.3">
      <c r="A10" s="5" t="s">
        <v>27</v>
      </c>
      <c r="B10" s="5" t="s">
        <v>49</v>
      </c>
      <c r="C10" s="5"/>
      <c r="D10" s="5" t="s">
        <v>50</v>
      </c>
      <c r="E10" s="5" t="s">
        <v>51</v>
      </c>
      <c r="F10" s="5">
        <v>1</v>
      </c>
      <c r="G10" s="6">
        <v>78119.38</v>
      </c>
      <c r="H10" s="5">
        <f t="shared" si="0"/>
        <v>78119.38</v>
      </c>
      <c r="I10" s="7">
        <v>0.18</v>
      </c>
      <c r="J10" s="5">
        <f t="shared" si="1"/>
        <v>92180.868400000007</v>
      </c>
      <c r="K10" s="5">
        <v>106778.81</v>
      </c>
      <c r="L10" s="5">
        <f t="shared" si="2"/>
        <v>106778.81</v>
      </c>
      <c r="M10" s="5">
        <f t="shared" si="3"/>
        <v>125998.99579999999</v>
      </c>
      <c r="N10" s="5">
        <v>0</v>
      </c>
      <c r="O10" s="7">
        <v>0.18</v>
      </c>
      <c r="P10" s="5">
        <f t="shared" si="4"/>
        <v>0</v>
      </c>
      <c r="Q10" s="5">
        <v>0</v>
      </c>
      <c r="R10" s="8">
        <f t="shared" si="5"/>
        <v>125998.99579999999</v>
      </c>
      <c r="S10" s="9">
        <f t="shared" si="6"/>
        <v>125999</v>
      </c>
      <c r="T10" s="8">
        <f t="shared" si="7"/>
        <v>4.2000000103143975E-3</v>
      </c>
      <c r="U10" s="8">
        <f t="shared" si="8"/>
        <v>33818.131599999993</v>
      </c>
      <c r="V10" s="8">
        <f t="shared" si="9"/>
        <v>28659.433559322031</v>
      </c>
      <c r="W10" s="10">
        <f t="shared" si="10"/>
        <v>0.36686714051394198</v>
      </c>
    </row>
    <row r="11" spans="1:23" x14ac:dyDescent="0.3">
      <c r="A11" s="5" t="s">
        <v>27</v>
      </c>
      <c r="B11" s="5" t="s">
        <v>52</v>
      </c>
      <c r="C11" s="5"/>
      <c r="D11" s="5" t="s">
        <v>53</v>
      </c>
      <c r="E11" s="5" t="s">
        <v>54</v>
      </c>
      <c r="F11" s="5">
        <v>1</v>
      </c>
      <c r="G11" s="6">
        <v>78119.38</v>
      </c>
      <c r="H11" s="5">
        <f t="shared" si="0"/>
        <v>78119.38</v>
      </c>
      <c r="I11" s="7">
        <v>0.18</v>
      </c>
      <c r="J11" s="5">
        <f t="shared" si="1"/>
        <v>92180.868400000007</v>
      </c>
      <c r="K11" s="5">
        <v>106778.81</v>
      </c>
      <c r="L11" s="5">
        <f t="shared" si="2"/>
        <v>106778.81</v>
      </c>
      <c r="M11" s="5">
        <f t="shared" si="3"/>
        <v>125998.99579999999</v>
      </c>
      <c r="N11" s="5">
        <v>0</v>
      </c>
      <c r="O11" s="7">
        <v>0.18</v>
      </c>
      <c r="P11" s="5">
        <f t="shared" si="4"/>
        <v>0</v>
      </c>
      <c r="Q11" s="5">
        <v>0</v>
      </c>
      <c r="R11" s="8">
        <f t="shared" si="5"/>
        <v>125998.99579999999</v>
      </c>
      <c r="S11" s="9">
        <f t="shared" si="6"/>
        <v>125999</v>
      </c>
      <c r="T11" s="8">
        <f t="shared" si="7"/>
        <v>4.2000000103143975E-3</v>
      </c>
      <c r="U11" s="8">
        <f t="shared" si="8"/>
        <v>33818.131599999993</v>
      </c>
      <c r="V11" s="8">
        <f t="shared" si="9"/>
        <v>28659.433559322031</v>
      </c>
      <c r="W11" s="10">
        <f t="shared" si="10"/>
        <v>0.36686714051394198</v>
      </c>
    </row>
    <row r="12" spans="1:23" x14ac:dyDescent="0.3">
      <c r="A12" s="5" t="s">
        <v>27</v>
      </c>
      <c r="B12" s="5" t="s">
        <v>55</v>
      </c>
      <c r="C12" s="5"/>
      <c r="D12" s="5" t="s">
        <v>56</v>
      </c>
      <c r="E12" s="5" t="s">
        <v>57</v>
      </c>
      <c r="F12" s="5">
        <v>1</v>
      </c>
      <c r="G12" s="6">
        <v>82799.28</v>
      </c>
      <c r="H12" s="5">
        <f t="shared" si="0"/>
        <v>82799.28</v>
      </c>
      <c r="I12" s="7">
        <v>0.18</v>
      </c>
      <c r="J12" s="5">
        <f t="shared" si="1"/>
        <v>97703.150399999999</v>
      </c>
      <c r="K12" s="5">
        <v>97456.78</v>
      </c>
      <c r="L12" s="5">
        <f t="shared" si="2"/>
        <v>97456.78</v>
      </c>
      <c r="M12" s="5">
        <f t="shared" si="3"/>
        <v>114999.00039999999</v>
      </c>
      <c r="N12" s="5">
        <v>0</v>
      </c>
      <c r="O12" s="7">
        <v>0.18</v>
      </c>
      <c r="P12" s="5">
        <f t="shared" si="4"/>
        <v>0</v>
      </c>
      <c r="Q12" s="5">
        <v>0</v>
      </c>
      <c r="R12" s="8">
        <f t="shared" si="5"/>
        <v>114999.00039999999</v>
      </c>
      <c r="S12" s="9">
        <f t="shared" si="6"/>
        <v>114999</v>
      </c>
      <c r="T12" s="8">
        <f t="shared" si="7"/>
        <v>-3.9999998989515007E-4</v>
      </c>
      <c r="U12" s="8">
        <f t="shared" si="8"/>
        <v>17295.849600000001</v>
      </c>
      <c r="V12" s="8">
        <f t="shared" si="9"/>
        <v>14657.499661016951</v>
      </c>
      <c r="W12" s="10">
        <f t="shared" si="10"/>
        <v>0.17702448210922789</v>
      </c>
    </row>
    <row r="13" spans="1:23" x14ac:dyDescent="0.3">
      <c r="A13" s="5" t="s">
        <v>27</v>
      </c>
      <c r="B13" s="5" t="s">
        <v>58</v>
      </c>
      <c r="C13" s="5"/>
      <c r="D13" s="5" t="s">
        <v>59</v>
      </c>
      <c r="E13" s="5" t="s">
        <v>60</v>
      </c>
      <c r="F13" s="5">
        <v>1</v>
      </c>
      <c r="G13" s="6">
        <v>71299.38</v>
      </c>
      <c r="H13" s="5">
        <f t="shared" si="0"/>
        <v>71299.38</v>
      </c>
      <c r="I13" s="7">
        <v>0.18</v>
      </c>
      <c r="J13" s="5">
        <f t="shared" si="1"/>
        <v>84133.268400000001</v>
      </c>
      <c r="K13" s="5">
        <v>97456.78</v>
      </c>
      <c r="L13" s="5">
        <f t="shared" si="2"/>
        <v>97456.78</v>
      </c>
      <c r="M13" s="5">
        <f t="shared" si="3"/>
        <v>114999.00039999999</v>
      </c>
      <c r="N13" s="5">
        <v>0</v>
      </c>
      <c r="O13" s="7">
        <v>0.18</v>
      </c>
      <c r="P13" s="5">
        <f t="shared" si="4"/>
        <v>0</v>
      </c>
      <c r="Q13" s="5">
        <v>0</v>
      </c>
      <c r="R13" s="8">
        <f t="shared" si="5"/>
        <v>114999.00039999999</v>
      </c>
      <c r="S13" s="9">
        <f t="shared" si="6"/>
        <v>114999</v>
      </c>
      <c r="T13" s="8">
        <f t="shared" si="7"/>
        <v>-3.9999998989515007E-4</v>
      </c>
      <c r="U13" s="8">
        <f t="shared" si="8"/>
        <v>30865.731599999999</v>
      </c>
      <c r="V13" s="8">
        <f t="shared" si="9"/>
        <v>26157.399661016949</v>
      </c>
      <c r="W13" s="10">
        <f t="shared" si="10"/>
        <v>0.36686714051394204</v>
      </c>
    </row>
    <row r="14" spans="1:23" x14ac:dyDescent="0.3">
      <c r="A14" s="5" t="s">
        <v>27</v>
      </c>
      <c r="B14" s="5" t="s">
        <v>46</v>
      </c>
      <c r="C14" s="5"/>
      <c r="D14" s="5" t="s">
        <v>61</v>
      </c>
      <c r="E14" s="5" t="s">
        <v>62</v>
      </c>
      <c r="F14" s="5">
        <v>1</v>
      </c>
      <c r="G14" s="6">
        <v>61999.38</v>
      </c>
      <c r="H14" s="5">
        <f t="shared" si="0"/>
        <v>61999.38</v>
      </c>
      <c r="I14" s="7">
        <v>0.18</v>
      </c>
      <c r="J14" s="5">
        <f t="shared" si="1"/>
        <v>73159.268399999986</v>
      </c>
      <c r="K14" s="5">
        <v>84744.92</v>
      </c>
      <c r="L14" s="5">
        <f t="shared" si="2"/>
        <v>84744.92</v>
      </c>
      <c r="M14" s="5">
        <f t="shared" si="3"/>
        <v>99999.005599999989</v>
      </c>
      <c r="N14" s="5">
        <v>0</v>
      </c>
      <c r="O14" s="7">
        <v>0.18</v>
      </c>
      <c r="P14" s="5">
        <f t="shared" si="4"/>
        <v>0</v>
      </c>
      <c r="Q14" s="5">
        <v>0</v>
      </c>
      <c r="R14" s="8">
        <f t="shared" si="5"/>
        <v>99999.005599999989</v>
      </c>
      <c r="S14" s="9">
        <f t="shared" si="6"/>
        <v>99999</v>
      </c>
      <c r="T14" s="8">
        <f t="shared" si="7"/>
        <v>-5.599999989499338E-3</v>
      </c>
      <c r="U14" s="8">
        <f t="shared" si="8"/>
        <v>26839.731600000014</v>
      </c>
      <c r="V14" s="8">
        <f t="shared" si="9"/>
        <v>22745.5352542373</v>
      </c>
      <c r="W14" s="10">
        <f t="shared" si="10"/>
        <v>0.36686714051394226</v>
      </c>
    </row>
    <row r="15" spans="1:23" x14ac:dyDescent="0.3">
      <c r="A15" s="5" t="s">
        <v>23</v>
      </c>
      <c r="B15" s="5" t="s">
        <v>63</v>
      </c>
      <c r="C15" s="5"/>
      <c r="D15" s="5" t="s">
        <v>64</v>
      </c>
      <c r="E15" s="5" t="s">
        <v>65</v>
      </c>
      <c r="F15" s="5">
        <v>1</v>
      </c>
      <c r="G15" s="6">
        <v>1600</v>
      </c>
      <c r="H15" s="5">
        <f t="shared" si="0"/>
        <v>1600</v>
      </c>
      <c r="I15" s="7">
        <v>0.28000000000000003</v>
      </c>
      <c r="J15" s="5">
        <f t="shared" si="1"/>
        <v>2048</v>
      </c>
      <c r="K15" s="5">
        <v>2342.9699999999998</v>
      </c>
      <c r="L15" s="5">
        <f t="shared" si="2"/>
        <v>2342.9699999999998</v>
      </c>
      <c r="M15" s="5">
        <f t="shared" si="3"/>
        <v>2999.0015999999996</v>
      </c>
      <c r="N15" s="5">
        <v>300</v>
      </c>
      <c r="O15" s="7">
        <v>0.18</v>
      </c>
      <c r="P15" s="5">
        <f t="shared" si="4"/>
        <v>354</v>
      </c>
      <c r="Q15" s="5">
        <v>75</v>
      </c>
      <c r="R15" s="8">
        <f t="shared" si="5"/>
        <v>3353.0015999999996</v>
      </c>
      <c r="S15" s="9">
        <f t="shared" si="6"/>
        <v>3349</v>
      </c>
      <c r="T15" s="8">
        <f t="shared" si="7"/>
        <v>-4.0015999999995984</v>
      </c>
      <c r="U15" s="8">
        <f t="shared" si="8"/>
        <v>1226</v>
      </c>
      <c r="V15" s="8">
        <f t="shared" si="9"/>
        <v>957.8125</v>
      </c>
      <c r="W15" s="10">
        <f t="shared" si="10"/>
        <v>0.5986328125</v>
      </c>
    </row>
    <row r="16" spans="1:23" x14ac:dyDescent="0.3">
      <c r="A16" s="5" t="s">
        <v>27</v>
      </c>
      <c r="B16" s="5" t="s">
        <v>66</v>
      </c>
      <c r="C16" s="11"/>
      <c r="D16" s="5" t="s">
        <v>38</v>
      </c>
      <c r="E16" s="5" t="s">
        <v>39</v>
      </c>
      <c r="F16" s="5">
        <v>4</v>
      </c>
      <c r="G16" s="6">
        <v>5900.7</v>
      </c>
      <c r="H16" s="5">
        <f t="shared" si="0"/>
        <v>23602.799999999999</v>
      </c>
      <c r="I16" s="7">
        <v>0.28000000000000003</v>
      </c>
      <c r="J16" s="5">
        <f t="shared" si="1"/>
        <v>30211.583999999999</v>
      </c>
      <c r="K16" s="5">
        <v>7092.19</v>
      </c>
      <c r="L16" s="5">
        <f t="shared" si="2"/>
        <v>28368.76</v>
      </c>
      <c r="M16" s="5">
        <f t="shared" si="3"/>
        <v>36312.012799999997</v>
      </c>
      <c r="N16" s="5">
        <v>700</v>
      </c>
      <c r="O16" s="7">
        <v>0.18</v>
      </c>
      <c r="P16" s="5">
        <f t="shared" si="4"/>
        <v>826</v>
      </c>
      <c r="Q16" s="5">
        <v>300</v>
      </c>
      <c r="R16" s="8">
        <f t="shared" si="5"/>
        <v>37138.012799999997</v>
      </c>
      <c r="S16" s="9">
        <f t="shared" si="6"/>
        <v>37149</v>
      </c>
      <c r="T16" s="8">
        <f t="shared" si="7"/>
        <v>10.987200000003213</v>
      </c>
      <c r="U16" s="8">
        <f t="shared" si="8"/>
        <v>6637.4160000000011</v>
      </c>
      <c r="V16" s="8">
        <f t="shared" si="9"/>
        <v>5185.4812500000007</v>
      </c>
      <c r="W16" s="10">
        <f t="shared" si="10"/>
        <v>0.21969771594895524</v>
      </c>
    </row>
    <row r="17" spans="1:23" x14ac:dyDescent="0.3">
      <c r="A17" s="5" t="s">
        <v>23</v>
      </c>
      <c r="B17" s="5" t="s">
        <v>67</v>
      </c>
      <c r="C17" s="5"/>
      <c r="D17" s="5" t="s">
        <v>64</v>
      </c>
      <c r="E17" s="5" t="s">
        <v>68</v>
      </c>
      <c r="F17" s="5">
        <v>1</v>
      </c>
      <c r="G17" s="6">
        <v>1815.36</v>
      </c>
      <c r="H17" s="5">
        <f t="shared" si="0"/>
        <v>1815.36</v>
      </c>
      <c r="I17" s="7">
        <v>0.28000000000000003</v>
      </c>
      <c r="J17" s="5">
        <f t="shared" si="1"/>
        <v>2323.6608000000001</v>
      </c>
      <c r="K17" s="5">
        <v>2287.5</v>
      </c>
      <c r="L17" s="5">
        <f t="shared" si="2"/>
        <v>2287.5</v>
      </c>
      <c r="M17" s="5">
        <f t="shared" si="3"/>
        <v>2928</v>
      </c>
      <c r="N17" s="5">
        <v>300</v>
      </c>
      <c r="O17" s="7">
        <v>0.18</v>
      </c>
      <c r="P17" s="5">
        <f t="shared" si="4"/>
        <v>354</v>
      </c>
      <c r="Q17" s="5">
        <v>75</v>
      </c>
      <c r="R17" s="8">
        <f t="shared" si="5"/>
        <v>3282</v>
      </c>
      <c r="S17" s="9">
        <f t="shared" si="6"/>
        <v>3299</v>
      </c>
      <c r="T17" s="8">
        <f t="shared" si="7"/>
        <v>17</v>
      </c>
      <c r="U17" s="8">
        <f t="shared" si="8"/>
        <v>900.33919999999989</v>
      </c>
      <c r="V17" s="8">
        <f t="shared" si="9"/>
        <v>703.38999999999987</v>
      </c>
      <c r="W17" s="10">
        <f t="shared" si="10"/>
        <v>0.38746584699453546</v>
      </c>
    </row>
    <row r="18" spans="1:23" x14ac:dyDescent="0.3">
      <c r="A18" s="5" t="s">
        <v>23</v>
      </c>
      <c r="B18" s="5" t="s">
        <v>69</v>
      </c>
      <c r="C18" s="5"/>
      <c r="D18" s="5" t="s">
        <v>70</v>
      </c>
      <c r="E18" s="5" t="s">
        <v>71</v>
      </c>
      <c r="F18" s="5">
        <v>1</v>
      </c>
      <c r="G18" s="6">
        <v>1533.88</v>
      </c>
      <c r="H18" s="5">
        <f t="shared" si="0"/>
        <v>1533.88</v>
      </c>
      <c r="I18" s="7">
        <v>0.28000000000000003</v>
      </c>
      <c r="J18" s="5">
        <f t="shared" si="1"/>
        <v>1963.3664000000001</v>
      </c>
      <c r="K18" s="5">
        <v>1932.81</v>
      </c>
      <c r="L18" s="5">
        <f t="shared" si="2"/>
        <v>1932.81</v>
      </c>
      <c r="M18" s="5">
        <f t="shared" si="3"/>
        <v>2473.9967999999999</v>
      </c>
      <c r="N18" s="5">
        <v>650</v>
      </c>
      <c r="O18" s="7">
        <v>0.18</v>
      </c>
      <c r="P18" s="5">
        <f t="shared" si="4"/>
        <v>767</v>
      </c>
      <c r="Q18" s="5">
        <v>75</v>
      </c>
      <c r="R18" s="8">
        <f t="shared" si="5"/>
        <v>3240.9967999999999</v>
      </c>
      <c r="S18" s="9">
        <f t="shared" si="6"/>
        <v>3249</v>
      </c>
      <c r="T18" s="8">
        <f t="shared" si="7"/>
        <v>8.0032000000001062</v>
      </c>
      <c r="U18" s="8">
        <f t="shared" si="8"/>
        <v>1210.6335999999999</v>
      </c>
      <c r="V18" s="8">
        <f t="shared" si="9"/>
        <v>945.80749999999989</v>
      </c>
      <c r="W18" s="10">
        <f t="shared" si="10"/>
        <v>0.6166111429838057</v>
      </c>
    </row>
    <row r="19" spans="1:23" x14ac:dyDescent="0.3">
      <c r="A19" s="5" t="s">
        <v>23</v>
      </c>
      <c r="B19" s="5" t="s">
        <v>72</v>
      </c>
      <c r="C19" s="5"/>
      <c r="D19" s="5" t="s">
        <v>73</v>
      </c>
      <c r="E19" s="5" t="s">
        <v>74</v>
      </c>
      <c r="F19" s="5">
        <v>1</v>
      </c>
      <c r="G19" s="6">
        <v>1737.86</v>
      </c>
      <c r="H19" s="5">
        <f t="shared" si="0"/>
        <v>1737.86</v>
      </c>
      <c r="I19" s="7">
        <v>0.28000000000000003</v>
      </c>
      <c r="J19" s="5">
        <f t="shared" si="1"/>
        <v>2224.4607999999998</v>
      </c>
      <c r="K19" s="5">
        <v>2189.84</v>
      </c>
      <c r="L19" s="5">
        <f t="shared" si="2"/>
        <v>2189.84</v>
      </c>
      <c r="M19" s="5">
        <f t="shared" si="3"/>
        <v>2802.9952000000003</v>
      </c>
      <c r="N19" s="5">
        <v>650</v>
      </c>
      <c r="O19" s="7">
        <v>0.18</v>
      </c>
      <c r="P19" s="5">
        <f t="shared" si="4"/>
        <v>767</v>
      </c>
      <c r="Q19" s="5">
        <v>75</v>
      </c>
      <c r="R19" s="8">
        <f t="shared" si="5"/>
        <v>3569.9952000000003</v>
      </c>
      <c r="S19" s="9">
        <f t="shared" si="6"/>
        <v>3549</v>
      </c>
      <c r="T19" s="8">
        <f t="shared" si="7"/>
        <v>-20.995200000000295</v>
      </c>
      <c r="U19" s="8">
        <f t="shared" si="8"/>
        <v>1249.5392000000002</v>
      </c>
      <c r="V19" s="8">
        <f t="shared" si="9"/>
        <v>976.2025000000001</v>
      </c>
      <c r="W19" s="10">
        <f t="shared" si="10"/>
        <v>0.56172677891199529</v>
      </c>
    </row>
    <row r="20" spans="1:23" x14ac:dyDescent="0.3">
      <c r="A20" s="5" t="s">
        <v>23</v>
      </c>
      <c r="B20" s="5" t="s">
        <v>75</v>
      </c>
      <c r="C20" s="5"/>
      <c r="D20" s="5" t="s">
        <v>76</v>
      </c>
      <c r="E20" s="5" t="s">
        <v>77</v>
      </c>
      <c r="F20" s="5">
        <v>1</v>
      </c>
      <c r="G20" s="6">
        <v>3656.9</v>
      </c>
      <c r="H20" s="5">
        <f t="shared" si="0"/>
        <v>3656.9</v>
      </c>
      <c r="I20" s="7">
        <v>0.28000000000000003</v>
      </c>
      <c r="J20" s="5">
        <f t="shared" si="1"/>
        <v>4680.8320000000003</v>
      </c>
      <c r="K20" s="5">
        <v>4395.3100000000004</v>
      </c>
      <c r="L20" s="5">
        <f t="shared" si="2"/>
        <v>4395.3100000000004</v>
      </c>
      <c r="M20" s="5">
        <f t="shared" si="3"/>
        <v>5625.9968000000008</v>
      </c>
      <c r="N20" s="5">
        <v>800</v>
      </c>
      <c r="O20" s="7">
        <v>0.18</v>
      </c>
      <c r="P20" s="5">
        <f t="shared" si="4"/>
        <v>944</v>
      </c>
      <c r="Q20" s="5">
        <v>100</v>
      </c>
      <c r="R20" s="8">
        <f t="shared" si="5"/>
        <v>6569.9968000000008</v>
      </c>
      <c r="S20" s="9">
        <f t="shared" si="6"/>
        <v>6549</v>
      </c>
      <c r="T20" s="8">
        <f t="shared" si="7"/>
        <v>-20.996800000000803</v>
      </c>
      <c r="U20" s="8">
        <f t="shared" si="8"/>
        <v>1768.1679999999997</v>
      </c>
      <c r="V20" s="8">
        <f t="shared" si="9"/>
        <v>1381.3812499999997</v>
      </c>
      <c r="W20" s="10">
        <f t="shared" si="10"/>
        <v>0.37774652027673705</v>
      </c>
    </row>
    <row r="21" spans="1:23" x14ac:dyDescent="0.3">
      <c r="A21" s="5" t="s">
        <v>23</v>
      </c>
      <c r="B21" s="5" t="s">
        <v>75</v>
      </c>
      <c r="C21" s="5"/>
      <c r="D21" s="5" t="s">
        <v>76</v>
      </c>
      <c r="E21" s="5" t="s">
        <v>78</v>
      </c>
      <c r="F21" s="5">
        <v>1</v>
      </c>
      <c r="G21" s="6">
        <v>3794.05</v>
      </c>
      <c r="H21" s="5">
        <f t="shared" si="0"/>
        <v>3794.05</v>
      </c>
      <c r="I21" s="7">
        <v>0.28000000000000003</v>
      </c>
      <c r="J21" s="5">
        <f t="shared" si="1"/>
        <v>4856.384</v>
      </c>
      <c r="K21" s="5">
        <v>4560.16</v>
      </c>
      <c r="L21" s="5">
        <f t="shared" si="2"/>
        <v>4560.16</v>
      </c>
      <c r="M21" s="5">
        <f t="shared" si="3"/>
        <v>5837.0047999999997</v>
      </c>
      <c r="N21" s="5">
        <v>600</v>
      </c>
      <c r="O21" s="7">
        <v>0.18</v>
      </c>
      <c r="P21" s="5">
        <f t="shared" si="4"/>
        <v>708</v>
      </c>
      <c r="Q21" s="5">
        <v>100</v>
      </c>
      <c r="R21" s="8">
        <f t="shared" si="5"/>
        <v>6545.0047999999997</v>
      </c>
      <c r="S21" s="9">
        <f t="shared" si="6"/>
        <v>6549</v>
      </c>
      <c r="T21" s="8">
        <f t="shared" si="7"/>
        <v>3.9952000000002954</v>
      </c>
      <c r="U21" s="8">
        <f t="shared" si="8"/>
        <v>1592.616</v>
      </c>
      <c r="V21" s="8">
        <f t="shared" si="9"/>
        <v>1244.23125</v>
      </c>
      <c r="W21" s="10">
        <f t="shared" si="10"/>
        <v>0.32794276564620917</v>
      </c>
    </row>
    <row r="22" spans="1:23" x14ac:dyDescent="0.3">
      <c r="A22" s="5" t="s">
        <v>23</v>
      </c>
      <c r="B22" s="5" t="s">
        <v>75</v>
      </c>
      <c r="C22" s="5"/>
      <c r="D22" s="5" t="s">
        <v>79</v>
      </c>
      <c r="E22" s="5" t="s">
        <v>80</v>
      </c>
      <c r="F22" s="5">
        <v>1</v>
      </c>
      <c r="G22" s="6">
        <v>1191.45</v>
      </c>
      <c r="H22" s="5">
        <f t="shared" si="0"/>
        <v>1191.45</v>
      </c>
      <c r="I22" s="7">
        <v>0.28000000000000003</v>
      </c>
      <c r="J22" s="5">
        <f t="shared" si="1"/>
        <v>1525.056</v>
      </c>
      <c r="K22" s="5">
        <v>1432.03</v>
      </c>
      <c r="L22" s="5">
        <f t="shared" si="2"/>
        <v>1432.03</v>
      </c>
      <c r="M22" s="5">
        <f t="shared" si="3"/>
        <v>1832.9983999999999</v>
      </c>
      <c r="N22" s="5">
        <v>100</v>
      </c>
      <c r="O22" s="7">
        <v>0.18</v>
      </c>
      <c r="P22" s="5">
        <f t="shared" si="4"/>
        <v>118</v>
      </c>
      <c r="Q22" s="5">
        <v>10</v>
      </c>
      <c r="R22" s="8">
        <f t="shared" si="5"/>
        <v>1950.9983999999999</v>
      </c>
      <c r="S22" s="9">
        <f t="shared" si="6"/>
        <v>1949</v>
      </c>
      <c r="T22" s="8">
        <f t="shared" si="7"/>
        <v>-1.9983999999999469</v>
      </c>
      <c r="U22" s="8">
        <f t="shared" si="8"/>
        <v>413.94399999999996</v>
      </c>
      <c r="V22" s="8">
        <f t="shared" si="9"/>
        <v>323.39374999999995</v>
      </c>
      <c r="W22" s="10">
        <f t="shared" si="10"/>
        <v>0.27142872130597168</v>
      </c>
    </row>
    <row r="23" spans="1:23" x14ac:dyDescent="0.3">
      <c r="A23" s="5" t="s">
        <v>23</v>
      </c>
      <c r="B23" s="5" t="s">
        <v>75</v>
      </c>
      <c r="C23" s="5"/>
      <c r="D23" s="5" t="s">
        <v>81</v>
      </c>
      <c r="E23" s="5" t="s">
        <v>82</v>
      </c>
      <c r="F23" s="5">
        <v>1</v>
      </c>
      <c r="G23" s="6"/>
      <c r="H23" s="5">
        <f t="shared" si="0"/>
        <v>0</v>
      </c>
      <c r="I23" s="5"/>
      <c r="J23" s="5">
        <f t="shared" si="1"/>
        <v>0</v>
      </c>
      <c r="K23" s="5"/>
      <c r="L23" s="5">
        <f t="shared" si="2"/>
        <v>0</v>
      </c>
      <c r="M23" s="5">
        <v>1702</v>
      </c>
      <c r="N23" s="5">
        <v>750</v>
      </c>
      <c r="O23" s="7">
        <v>0.18</v>
      </c>
      <c r="P23" s="5">
        <f t="shared" si="4"/>
        <v>885</v>
      </c>
      <c r="Q23" s="5">
        <v>100</v>
      </c>
      <c r="R23" s="8">
        <f t="shared" si="5"/>
        <v>2587</v>
      </c>
      <c r="S23" s="9">
        <f t="shared" si="6"/>
        <v>2599</v>
      </c>
      <c r="T23" s="8">
        <f t="shared" si="7"/>
        <v>12</v>
      </c>
      <c r="U23" s="8">
        <f t="shared" si="8"/>
        <v>2499</v>
      </c>
      <c r="V23" s="8">
        <f t="shared" si="9"/>
        <v>2499</v>
      </c>
      <c r="W23" s="10">
        <f t="shared" si="10"/>
        <v>0</v>
      </c>
    </row>
    <row r="24" spans="1:23" x14ac:dyDescent="0.3">
      <c r="A24" s="5" t="s">
        <v>27</v>
      </c>
      <c r="B24" s="5" t="s">
        <v>66</v>
      </c>
      <c r="C24" s="5"/>
      <c r="D24" s="5" t="s">
        <v>83</v>
      </c>
      <c r="E24" s="5" t="s">
        <v>84</v>
      </c>
      <c r="F24" s="5">
        <v>1</v>
      </c>
      <c r="G24" s="6">
        <v>5292.94</v>
      </c>
      <c r="H24" s="5">
        <f t="shared" si="0"/>
        <v>5292.94</v>
      </c>
      <c r="I24" s="7">
        <v>0.28000000000000003</v>
      </c>
      <c r="J24" s="5">
        <f t="shared" si="1"/>
        <v>6774.9631999999992</v>
      </c>
      <c r="K24" s="5">
        <v>6669.53</v>
      </c>
      <c r="L24" s="5">
        <f t="shared" si="2"/>
        <v>6669.53</v>
      </c>
      <c r="M24" s="5">
        <f t="shared" ref="M24:M87" si="11">L24*(100%+I24)</f>
        <v>8536.9984000000004</v>
      </c>
      <c r="N24" s="5">
        <v>1500</v>
      </c>
      <c r="O24" s="7">
        <v>0.18</v>
      </c>
      <c r="P24" s="5">
        <f t="shared" si="4"/>
        <v>1770</v>
      </c>
      <c r="Q24" s="5">
        <v>150</v>
      </c>
      <c r="R24" s="8">
        <f t="shared" si="5"/>
        <v>10306.9984</v>
      </c>
      <c r="S24" s="9">
        <f t="shared" si="6"/>
        <v>10299</v>
      </c>
      <c r="T24" s="8">
        <f t="shared" si="7"/>
        <v>-7.9984000000004016</v>
      </c>
      <c r="U24" s="8">
        <f t="shared" si="8"/>
        <v>3374.0368000000008</v>
      </c>
      <c r="V24" s="8">
        <f t="shared" si="9"/>
        <v>2635.9662500000004</v>
      </c>
      <c r="W24" s="10">
        <f t="shared" si="10"/>
        <v>0.49801551689609191</v>
      </c>
    </row>
    <row r="25" spans="1:23" x14ac:dyDescent="0.3">
      <c r="A25" s="5" t="s">
        <v>27</v>
      </c>
      <c r="B25" s="5" t="s">
        <v>66</v>
      </c>
      <c r="C25" s="5"/>
      <c r="D25" s="5" t="s">
        <v>83</v>
      </c>
      <c r="E25" s="5" t="s">
        <v>85</v>
      </c>
      <c r="F25" s="5">
        <v>1</v>
      </c>
      <c r="G25" s="6">
        <v>5247.06</v>
      </c>
      <c r="H25" s="5">
        <f t="shared" si="0"/>
        <v>5247.06</v>
      </c>
      <c r="I25" s="7">
        <v>0.28000000000000003</v>
      </c>
      <c r="J25" s="5">
        <f t="shared" si="1"/>
        <v>6716.2368000000006</v>
      </c>
      <c r="K25" s="5">
        <v>6611.72</v>
      </c>
      <c r="L25" s="5">
        <f t="shared" si="2"/>
        <v>6611.72</v>
      </c>
      <c r="M25" s="5">
        <f t="shared" si="11"/>
        <v>8463.0015999999996</v>
      </c>
      <c r="N25" s="5">
        <v>1500</v>
      </c>
      <c r="O25" s="7">
        <v>0.18</v>
      </c>
      <c r="P25" s="5">
        <f t="shared" si="4"/>
        <v>1770</v>
      </c>
      <c r="Q25" s="5">
        <v>150</v>
      </c>
      <c r="R25" s="8">
        <f t="shared" si="5"/>
        <v>10233.0016</v>
      </c>
      <c r="S25" s="9">
        <f t="shared" si="6"/>
        <v>10249</v>
      </c>
      <c r="T25" s="8">
        <f t="shared" si="7"/>
        <v>15.998400000000402</v>
      </c>
      <c r="U25" s="8">
        <f t="shared" si="8"/>
        <v>3382.7631999999994</v>
      </c>
      <c r="V25" s="8">
        <f t="shared" si="9"/>
        <v>2642.7837499999996</v>
      </c>
      <c r="W25" s="10">
        <f t="shared" si="10"/>
        <v>0.5036694358364493</v>
      </c>
    </row>
    <row r="26" spans="1:23" x14ac:dyDescent="0.3">
      <c r="A26" s="5" t="s">
        <v>27</v>
      </c>
      <c r="B26" s="5" t="s">
        <v>66</v>
      </c>
      <c r="C26" s="5"/>
      <c r="D26" s="5" t="s">
        <v>86</v>
      </c>
      <c r="E26" s="5" t="s">
        <v>87</v>
      </c>
      <c r="F26" s="5">
        <v>1</v>
      </c>
      <c r="G26" s="6">
        <v>1179.52</v>
      </c>
      <c r="H26" s="5">
        <f t="shared" si="0"/>
        <v>1179.52</v>
      </c>
      <c r="I26" s="7">
        <v>0.12</v>
      </c>
      <c r="J26" s="5">
        <f t="shared" si="1"/>
        <v>1321.0624</v>
      </c>
      <c r="K26" s="5">
        <v>1732.14</v>
      </c>
      <c r="L26" s="5">
        <f t="shared" si="2"/>
        <v>1732.14</v>
      </c>
      <c r="M26" s="5">
        <f t="shared" si="11"/>
        <v>1939.9968000000003</v>
      </c>
      <c r="N26" s="5">
        <v>0</v>
      </c>
      <c r="O26" s="7">
        <v>0.18</v>
      </c>
      <c r="P26" s="5">
        <f t="shared" si="4"/>
        <v>0</v>
      </c>
      <c r="Q26" s="5">
        <v>0</v>
      </c>
      <c r="R26" s="8">
        <f t="shared" si="5"/>
        <v>1939.9968000000003</v>
      </c>
      <c r="S26" s="9">
        <f t="shared" si="6"/>
        <v>1949</v>
      </c>
      <c r="T26" s="8">
        <f t="shared" si="7"/>
        <v>9.0031999999996515</v>
      </c>
      <c r="U26" s="8">
        <f t="shared" si="8"/>
        <v>627.93759999999997</v>
      </c>
      <c r="V26" s="8">
        <f t="shared" si="9"/>
        <v>560.65857142857135</v>
      </c>
      <c r="W26" s="10">
        <f t="shared" si="10"/>
        <v>0.47532773622199825</v>
      </c>
    </row>
    <row r="27" spans="1:23" x14ac:dyDescent="0.3">
      <c r="A27" s="5" t="s">
        <v>27</v>
      </c>
      <c r="B27" s="5" t="s">
        <v>66</v>
      </c>
      <c r="C27" s="5"/>
      <c r="D27" s="5" t="s">
        <v>88</v>
      </c>
      <c r="E27" s="5" t="s">
        <v>89</v>
      </c>
      <c r="F27" s="5">
        <v>1</v>
      </c>
      <c r="G27" s="6">
        <f>1579.76+G28</f>
        <v>2310.12</v>
      </c>
      <c r="H27" s="5">
        <f t="shared" si="0"/>
        <v>2310.12</v>
      </c>
      <c r="I27" s="7">
        <v>0.28000000000000003</v>
      </c>
      <c r="J27" s="5">
        <f t="shared" si="1"/>
        <v>2956.9535999999998</v>
      </c>
      <c r="K27" s="5">
        <f>1990.63+K28</f>
        <v>2910.94</v>
      </c>
      <c r="L27" s="5">
        <f t="shared" si="2"/>
        <v>2910.94</v>
      </c>
      <c r="M27" s="5">
        <f t="shared" si="11"/>
        <v>3726.0032000000001</v>
      </c>
      <c r="N27" s="5">
        <v>0</v>
      </c>
      <c r="O27" s="7">
        <v>0.18</v>
      </c>
      <c r="P27" s="5">
        <f t="shared" si="4"/>
        <v>0</v>
      </c>
      <c r="Q27" s="5">
        <v>10</v>
      </c>
      <c r="R27" s="8">
        <f t="shared" si="5"/>
        <v>3726.0032000000001</v>
      </c>
      <c r="S27" s="9">
        <f t="shared" si="6"/>
        <v>3749</v>
      </c>
      <c r="T27" s="8">
        <f t="shared" si="7"/>
        <v>22.996799999999894</v>
      </c>
      <c r="U27" s="8">
        <f t="shared" si="8"/>
        <v>782.04640000000018</v>
      </c>
      <c r="V27" s="8">
        <f t="shared" si="9"/>
        <v>610.97375000000011</v>
      </c>
      <c r="W27" s="10">
        <f t="shared" si="10"/>
        <v>0.26447706179765557</v>
      </c>
    </row>
    <row r="28" spans="1:23" x14ac:dyDescent="0.3">
      <c r="A28" s="5" t="s">
        <v>27</v>
      </c>
      <c r="B28" s="5" t="s">
        <v>66</v>
      </c>
      <c r="C28" s="5"/>
      <c r="D28" s="5" t="s">
        <v>90</v>
      </c>
      <c r="E28" s="5" t="s">
        <v>91</v>
      </c>
      <c r="F28" s="5">
        <v>1</v>
      </c>
      <c r="G28" s="6">
        <v>730.36</v>
      </c>
      <c r="H28" s="5">
        <f t="shared" si="0"/>
        <v>730.36</v>
      </c>
      <c r="I28" s="7">
        <v>0.28000000000000003</v>
      </c>
      <c r="J28" s="5">
        <f t="shared" si="1"/>
        <v>934.86080000000004</v>
      </c>
      <c r="K28" s="5">
        <v>920.31</v>
      </c>
      <c r="L28" s="5">
        <f t="shared" si="2"/>
        <v>920.31</v>
      </c>
      <c r="M28" s="5">
        <f t="shared" si="11"/>
        <v>1177.9967999999999</v>
      </c>
      <c r="N28" s="5">
        <v>0</v>
      </c>
      <c r="O28" s="7">
        <v>0.18</v>
      </c>
      <c r="P28" s="5">
        <f t="shared" si="4"/>
        <v>0</v>
      </c>
      <c r="Q28" s="5">
        <v>0</v>
      </c>
      <c r="R28" s="8">
        <f t="shared" si="5"/>
        <v>1177.9967999999999</v>
      </c>
      <c r="S28" s="9">
        <f t="shared" si="6"/>
        <v>1199</v>
      </c>
      <c r="T28" s="8">
        <f t="shared" si="7"/>
        <v>21.003200000000106</v>
      </c>
      <c r="U28" s="8">
        <f t="shared" si="8"/>
        <v>264.13919999999996</v>
      </c>
      <c r="V28" s="8">
        <f t="shared" si="9"/>
        <v>206.35874999999996</v>
      </c>
      <c r="W28" s="10">
        <f t="shared" si="10"/>
        <v>0.28254388246891937</v>
      </c>
    </row>
    <row r="29" spans="1:23" x14ac:dyDescent="0.3">
      <c r="A29" s="5" t="s">
        <v>27</v>
      </c>
      <c r="B29" s="5" t="s">
        <v>66</v>
      </c>
      <c r="C29" s="5"/>
      <c r="D29" s="5" t="s">
        <v>79</v>
      </c>
      <c r="E29" s="5" t="s">
        <v>92</v>
      </c>
      <c r="F29" s="5">
        <v>1</v>
      </c>
      <c r="G29" s="6">
        <v>1395</v>
      </c>
      <c r="H29" s="5">
        <f t="shared" si="0"/>
        <v>1395</v>
      </c>
      <c r="I29" s="7">
        <v>0.28000000000000003</v>
      </c>
      <c r="J29" s="5">
        <f t="shared" si="1"/>
        <v>1785.6000000000001</v>
      </c>
      <c r="K29" s="5">
        <v>1757.81</v>
      </c>
      <c r="L29" s="5">
        <f t="shared" si="2"/>
        <v>1757.81</v>
      </c>
      <c r="M29" s="5">
        <f t="shared" si="11"/>
        <v>2249.9967999999999</v>
      </c>
      <c r="N29" s="5">
        <v>100</v>
      </c>
      <c r="O29" s="7">
        <v>0.18</v>
      </c>
      <c r="P29" s="5">
        <f t="shared" si="4"/>
        <v>118</v>
      </c>
      <c r="Q29" s="5">
        <v>10</v>
      </c>
      <c r="R29" s="8">
        <f t="shared" si="5"/>
        <v>2367.9967999999999</v>
      </c>
      <c r="S29" s="9">
        <f t="shared" si="6"/>
        <v>2349</v>
      </c>
      <c r="T29" s="8">
        <f t="shared" si="7"/>
        <v>-18.996799999999894</v>
      </c>
      <c r="U29" s="8">
        <f t="shared" si="8"/>
        <v>553.39999999999986</v>
      </c>
      <c r="V29" s="8">
        <f t="shared" si="9"/>
        <v>432.34374999999989</v>
      </c>
      <c r="W29" s="10">
        <f t="shared" si="10"/>
        <v>0.30992383512544797</v>
      </c>
    </row>
    <row r="30" spans="1:23" x14ac:dyDescent="0.3">
      <c r="A30" s="5" t="s">
        <v>27</v>
      </c>
      <c r="B30" s="5" t="s">
        <v>66</v>
      </c>
      <c r="C30" s="5"/>
      <c r="D30" s="5" t="s">
        <v>93</v>
      </c>
      <c r="E30" s="5" t="s">
        <v>94</v>
      </c>
      <c r="F30" s="5">
        <v>1</v>
      </c>
      <c r="G30" s="6">
        <v>409.82</v>
      </c>
      <c r="H30" s="5">
        <f t="shared" si="0"/>
        <v>409.82</v>
      </c>
      <c r="I30" s="7">
        <v>0.28000000000000003</v>
      </c>
      <c r="J30" s="5">
        <f t="shared" si="1"/>
        <v>524.56960000000004</v>
      </c>
      <c r="K30" s="5">
        <v>516.41</v>
      </c>
      <c r="L30" s="5">
        <f t="shared" si="2"/>
        <v>516.41</v>
      </c>
      <c r="M30" s="5">
        <f t="shared" si="11"/>
        <v>661.00479999999993</v>
      </c>
      <c r="N30" s="5">
        <v>100</v>
      </c>
      <c r="O30" s="7">
        <v>0.18</v>
      </c>
      <c r="P30" s="5">
        <f t="shared" si="4"/>
        <v>118</v>
      </c>
      <c r="Q30" s="5">
        <v>20</v>
      </c>
      <c r="R30" s="8">
        <f t="shared" si="5"/>
        <v>779.00479999999993</v>
      </c>
      <c r="S30" s="9">
        <f t="shared" si="6"/>
        <v>799</v>
      </c>
      <c r="T30" s="8">
        <f t="shared" si="7"/>
        <v>19.995200000000068</v>
      </c>
      <c r="U30" s="8">
        <f t="shared" si="8"/>
        <v>254.43039999999996</v>
      </c>
      <c r="V30" s="8">
        <f t="shared" si="9"/>
        <v>198.77374999999998</v>
      </c>
      <c r="W30" s="10">
        <f t="shared" si="10"/>
        <v>0.48502696305695181</v>
      </c>
    </row>
    <row r="31" spans="1:23" x14ac:dyDescent="0.3">
      <c r="A31" s="5" t="s">
        <v>27</v>
      </c>
      <c r="B31" s="5" t="s">
        <v>66</v>
      </c>
      <c r="C31" s="5"/>
      <c r="D31" s="5" t="s">
        <v>81</v>
      </c>
      <c r="E31" s="5" t="s">
        <v>95</v>
      </c>
      <c r="F31" s="5">
        <v>1</v>
      </c>
      <c r="G31" s="6">
        <v>2281.5</v>
      </c>
      <c r="H31" s="5">
        <f t="shared" si="0"/>
        <v>2281.5</v>
      </c>
      <c r="I31" s="7">
        <v>0.18</v>
      </c>
      <c r="J31" s="5">
        <f t="shared" si="1"/>
        <v>2692.17</v>
      </c>
      <c r="K31" s="5">
        <v>2974.58</v>
      </c>
      <c r="L31" s="5">
        <f t="shared" si="2"/>
        <v>2974.58</v>
      </c>
      <c r="M31" s="5">
        <f t="shared" si="11"/>
        <v>3510.0043999999998</v>
      </c>
      <c r="N31" s="5">
        <v>750</v>
      </c>
      <c r="O31" s="7">
        <v>0.18</v>
      </c>
      <c r="P31" s="5">
        <f t="shared" si="4"/>
        <v>885</v>
      </c>
      <c r="Q31" s="5">
        <v>100</v>
      </c>
      <c r="R31" s="8">
        <f t="shared" si="5"/>
        <v>4395.0043999999998</v>
      </c>
      <c r="S31" s="9">
        <f t="shared" si="6"/>
        <v>4399</v>
      </c>
      <c r="T31" s="8">
        <f t="shared" si="7"/>
        <v>3.995600000000195</v>
      </c>
      <c r="U31" s="8">
        <f t="shared" si="8"/>
        <v>1606.83</v>
      </c>
      <c r="V31" s="8">
        <f t="shared" si="9"/>
        <v>1361.7203389830509</v>
      </c>
      <c r="W31" s="10">
        <f t="shared" si="10"/>
        <v>0.59685309620120575</v>
      </c>
    </row>
    <row r="32" spans="1:23" x14ac:dyDescent="0.3">
      <c r="A32" s="5" t="s">
        <v>27</v>
      </c>
      <c r="B32" s="5" t="s">
        <v>66</v>
      </c>
      <c r="C32" s="5"/>
      <c r="D32" s="5" t="s">
        <v>96</v>
      </c>
      <c r="E32" s="5" t="s">
        <v>97</v>
      </c>
      <c r="F32" s="5">
        <v>1</v>
      </c>
      <c r="G32" s="6">
        <v>3290.3</v>
      </c>
      <c r="H32" s="5">
        <f t="shared" si="0"/>
        <v>3290.3</v>
      </c>
      <c r="I32" s="7">
        <v>0.28000000000000003</v>
      </c>
      <c r="J32" s="5">
        <f t="shared" si="1"/>
        <v>4211.5840000000007</v>
      </c>
      <c r="K32" s="5">
        <v>3954.69</v>
      </c>
      <c r="L32" s="5">
        <f t="shared" si="2"/>
        <v>3954.69</v>
      </c>
      <c r="M32" s="5">
        <f t="shared" si="11"/>
        <v>5062.0032000000001</v>
      </c>
      <c r="N32" s="5">
        <v>525</v>
      </c>
      <c r="O32" s="7">
        <v>0.18</v>
      </c>
      <c r="P32" s="5">
        <f t="shared" si="4"/>
        <v>619.5</v>
      </c>
      <c r="Q32" s="5">
        <v>100</v>
      </c>
      <c r="R32" s="8">
        <f t="shared" si="5"/>
        <v>5681.5032000000001</v>
      </c>
      <c r="S32" s="9">
        <f t="shared" si="6"/>
        <v>5699</v>
      </c>
      <c r="T32" s="8">
        <f t="shared" si="7"/>
        <v>17.496799999999894</v>
      </c>
      <c r="U32" s="8">
        <f t="shared" si="8"/>
        <v>1387.4159999999993</v>
      </c>
      <c r="V32" s="8">
        <f t="shared" si="9"/>
        <v>1083.9187499999994</v>
      </c>
      <c r="W32" s="10">
        <f t="shared" si="10"/>
        <v>0.32942854754885553</v>
      </c>
    </row>
    <row r="33" spans="1:23" x14ac:dyDescent="0.3">
      <c r="A33" s="5" t="s">
        <v>27</v>
      </c>
      <c r="B33" s="5" t="s">
        <v>66</v>
      </c>
      <c r="C33" s="5"/>
      <c r="D33" s="5" t="s">
        <v>98</v>
      </c>
      <c r="E33" s="5" t="s">
        <v>99</v>
      </c>
      <c r="F33" s="5">
        <v>1</v>
      </c>
      <c r="G33" s="6">
        <v>4672.8500000000004</v>
      </c>
      <c r="H33" s="5">
        <f t="shared" si="0"/>
        <v>4672.8500000000004</v>
      </c>
      <c r="I33" s="7">
        <v>0.28000000000000003</v>
      </c>
      <c r="J33" s="5">
        <f t="shared" si="1"/>
        <v>5981.2480000000005</v>
      </c>
      <c r="K33" s="5">
        <v>5616.41</v>
      </c>
      <c r="L33" s="5">
        <f t="shared" si="2"/>
        <v>5616.41</v>
      </c>
      <c r="M33" s="5">
        <f t="shared" si="11"/>
        <v>7189.0047999999997</v>
      </c>
      <c r="N33" s="5">
        <v>600</v>
      </c>
      <c r="O33" s="7">
        <v>0.18</v>
      </c>
      <c r="P33" s="5">
        <f t="shared" si="4"/>
        <v>708</v>
      </c>
      <c r="Q33" s="5">
        <v>75</v>
      </c>
      <c r="R33" s="8">
        <f t="shared" si="5"/>
        <v>7897.0047999999997</v>
      </c>
      <c r="S33" s="9">
        <f t="shared" si="6"/>
        <v>7899</v>
      </c>
      <c r="T33" s="8">
        <f t="shared" si="7"/>
        <v>1.9952000000002954</v>
      </c>
      <c r="U33" s="8">
        <f t="shared" si="8"/>
        <v>1842.7519999999995</v>
      </c>
      <c r="V33" s="8">
        <f t="shared" si="9"/>
        <v>1439.6499999999996</v>
      </c>
      <c r="W33" s="10">
        <f t="shared" si="10"/>
        <v>0.30808821169093797</v>
      </c>
    </row>
    <row r="34" spans="1:23" x14ac:dyDescent="0.3">
      <c r="A34" s="5" t="s">
        <v>27</v>
      </c>
      <c r="B34" s="5" t="s">
        <v>66</v>
      </c>
      <c r="C34" s="5"/>
      <c r="D34" s="5" t="s">
        <v>100</v>
      </c>
      <c r="E34" s="5" t="s">
        <v>101</v>
      </c>
      <c r="F34" s="5">
        <v>1</v>
      </c>
      <c r="G34" s="6">
        <v>3026.73</v>
      </c>
      <c r="H34" s="5">
        <f t="shared" si="0"/>
        <v>3026.73</v>
      </c>
      <c r="I34" s="7">
        <v>0.28000000000000003</v>
      </c>
      <c r="J34" s="5">
        <f t="shared" si="1"/>
        <v>3874.2144000000003</v>
      </c>
      <c r="K34" s="5">
        <v>3330.47</v>
      </c>
      <c r="L34" s="5">
        <f t="shared" si="2"/>
        <v>3330.47</v>
      </c>
      <c r="M34" s="5">
        <f t="shared" si="11"/>
        <v>4263.0015999999996</v>
      </c>
      <c r="N34" s="5">
        <v>500</v>
      </c>
      <c r="O34" s="7">
        <v>0.18</v>
      </c>
      <c r="P34" s="5">
        <f t="shared" si="4"/>
        <v>590</v>
      </c>
      <c r="Q34" s="5">
        <v>50</v>
      </c>
      <c r="R34" s="8">
        <f t="shared" si="5"/>
        <v>4853.0015999999996</v>
      </c>
      <c r="S34" s="9">
        <f t="shared" si="6"/>
        <v>4849</v>
      </c>
      <c r="T34" s="8">
        <f t="shared" si="7"/>
        <v>-4.0015999999995984</v>
      </c>
      <c r="U34" s="8">
        <f t="shared" si="8"/>
        <v>924.7855999999997</v>
      </c>
      <c r="V34" s="8">
        <f t="shared" si="9"/>
        <v>722.48874999999975</v>
      </c>
      <c r="W34" s="10">
        <f t="shared" si="10"/>
        <v>0.23870274190297772</v>
      </c>
    </row>
    <row r="35" spans="1:23" x14ac:dyDescent="0.3">
      <c r="A35" s="5" t="s">
        <v>27</v>
      </c>
      <c r="B35" s="5" t="s">
        <v>66</v>
      </c>
      <c r="C35" s="5"/>
      <c r="D35" s="5" t="s">
        <v>102</v>
      </c>
      <c r="E35" s="5" t="s">
        <v>103</v>
      </c>
      <c r="F35" s="5">
        <v>1</v>
      </c>
      <c r="G35" s="6">
        <v>3704.78</v>
      </c>
      <c r="H35" s="5">
        <f t="shared" si="0"/>
        <v>3704.78</v>
      </c>
      <c r="I35" s="7">
        <v>0.28000000000000003</v>
      </c>
      <c r="J35" s="5">
        <f t="shared" si="1"/>
        <v>4742.1184000000003</v>
      </c>
      <c r="K35" s="5">
        <v>4076.56</v>
      </c>
      <c r="L35" s="5">
        <f t="shared" si="2"/>
        <v>4076.56</v>
      </c>
      <c r="M35" s="5">
        <f t="shared" si="11"/>
        <v>5217.9967999999999</v>
      </c>
      <c r="N35" s="5">
        <v>300</v>
      </c>
      <c r="O35" s="7">
        <v>0.18</v>
      </c>
      <c r="P35" s="5">
        <f t="shared" si="4"/>
        <v>354</v>
      </c>
      <c r="Q35" s="5">
        <v>100</v>
      </c>
      <c r="R35" s="8">
        <f t="shared" si="5"/>
        <v>5571.9967999999999</v>
      </c>
      <c r="S35" s="9">
        <f t="shared" si="6"/>
        <v>5549</v>
      </c>
      <c r="T35" s="8">
        <f t="shared" si="7"/>
        <v>-22.996799999999894</v>
      </c>
      <c r="U35" s="8">
        <f t="shared" si="8"/>
        <v>706.88159999999971</v>
      </c>
      <c r="V35" s="8">
        <f t="shared" si="9"/>
        <v>552.2512499999998</v>
      </c>
      <c r="W35" s="10">
        <f t="shared" si="10"/>
        <v>0.14906451935067663</v>
      </c>
    </row>
    <row r="36" spans="1:23" x14ac:dyDescent="0.3">
      <c r="A36" s="5" t="s">
        <v>27</v>
      </c>
      <c r="B36" s="5" t="s">
        <v>66</v>
      </c>
      <c r="C36" s="5"/>
      <c r="D36" s="5" t="s">
        <v>104</v>
      </c>
      <c r="E36" s="5" t="s">
        <v>105</v>
      </c>
      <c r="F36" s="5">
        <v>1</v>
      </c>
      <c r="G36" s="6">
        <v>197.06</v>
      </c>
      <c r="H36" s="5">
        <f t="shared" si="0"/>
        <v>197.06</v>
      </c>
      <c r="I36" s="7">
        <v>0.28000000000000003</v>
      </c>
      <c r="J36" s="5">
        <f t="shared" si="1"/>
        <v>252.23680000000002</v>
      </c>
      <c r="K36" s="5">
        <v>260.94</v>
      </c>
      <c r="L36" s="5">
        <f t="shared" si="2"/>
        <v>260.94</v>
      </c>
      <c r="M36" s="5">
        <f t="shared" si="11"/>
        <v>334.00319999999999</v>
      </c>
      <c r="N36" s="5">
        <v>100</v>
      </c>
      <c r="O36" s="7">
        <v>0.18</v>
      </c>
      <c r="P36" s="5">
        <f t="shared" si="4"/>
        <v>118</v>
      </c>
      <c r="Q36" s="5">
        <v>50</v>
      </c>
      <c r="R36" s="8">
        <f t="shared" si="5"/>
        <v>452.00319999999999</v>
      </c>
      <c r="S36" s="9">
        <f t="shared" si="6"/>
        <v>449</v>
      </c>
      <c r="T36" s="8">
        <f t="shared" si="7"/>
        <v>-3.0031999999999925</v>
      </c>
      <c r="U36" s="8">
        <f t="shared" si="8"/>
        <v>146.76319999999998</v>
      </c>
      <c r="V36" s="8">
        <f t="shared" si="9"/>
        <v>114.65874999999998</v>
      </c>
      <c r="W36" s="10">
        <f t="shared" si="10"/>
        <v>0.58184689942149592</v>
      </c>
    </row>
    <row r="37" spans="1:23" x14ac:dyDescent="0.3">
      <c r="A37" s="5" t="s">
        <v>27</v>
      </c>
      <c r="B37" s="5" t="s">
        <v>66</v>
      </c>
      <c r="C37" s="5"/>
      <c r="D37" s="5" t="s">
        <v>106</v>
      </c>
      <c r="E37" s="5" t="s">
        <v>107</v>
      </c>
      <c r="F37" s="5">
        <v>1</v>
      </c>
      <c r="G37" s="6">
        <v>3254.38</v>
      </c>
      <c r="H37" s="5">
        <f t="shared" si="0"/>
        <v>3254.38</v>
      </c>
      <c r="I37" s="7">
        <v>0.28000000000000003</v>
      </c>
      <c r="J37" s="5">
        <f t="shared" si="1"/>
        <v>4165.6064000000006</v>
      </c>
      <c r="K37" s="5">
        <v>4100.78</v>
      </c>
      <c r="L37" s="5">
        <f t="shared" si="2"/>
        <v>4100.78</v>
      </c>
      <c r="M37" s="5">
        <f t="shared" si="11"/>
        <v>5248.9983999999995</v>
      </c>
      <c r="N37" s="5">
        <v>600</v>
      </c>
      <c r="O37" s="7">
        <v>0.18</v>
      </c>
      <c r="P37" s="5">
        <f t="shared" si="4"/>
        <v>708</v>
      </c>
      <c r="Q37" s="5">
        <v>75</v>
      </c>
      <c r="R37" s="8">
        <f t="shared" si="5"/>
        <v>5956.9983999999995</v>
      </c>
      <c r="S37" s="9">
        <f t="shared" si="6"/>
        <v>5949</v>
      </c>
      <c r="T37" s="8">
        <f t="shared" si="7"/>
        <v>-7.9983999999994921</v>
      </c>
      <c r="U37" s="8">
        <f t="shared" si="8"/>
        <v>1708.3935999999994</v>
      </c>
      <c r="V37" s="8">
        <f t="shared" si="9"/>
        <v>1334.6824999999994</v>
      </c>
      <c r="W37" s="10">
        <f t="shared" si="10"/>
        <v>0.4101188244765514</v>
      </c>
    </row>
    <row r="38" spans="1:23" x14ac:dyDescent="0.3">
      <c r="A38" s="5" t="s">
        <v>27</v>
      </c>
      <c r="B38" s="5" t="s">
        <v>66</v>
      </c>
      <c r="C38" s="5"/>
      <c r="D38" s="5" t="s">
        <v>35</v>
      </c>
      <c r="E38" s="5" t="s">
        <v>108</v>
      </c>
      <c r="F38" s="5">
        <v>4</v>
      </c>
      <c r="G38" s="6">
        <v>432.14</v>
      </c>
      <c r="H38" s="5">
        <f t="shared" si="0"/>
        <v>1728.56</v>
      </c>
      <c r="I38" s="7">
        <v>0.28000000000000003</v>
      </c>
      <c r="J38" s="5">
        <f t="shared" si="1"/>
        <v>2212.5567999999998</v>
      </c>
      <c r="K38" s="5">
        <v>544.53</v>
      </c>
      <c r="L38" s="5">
        <f t="shared" si="2"/>
        <v>2178.12</v>
      </c>
      <c r="M38" s="5">
        <f t="shared" si="11"/>
        <v>2787.9935999999998</v>
      </c>
      <c r="N38" s="5">
        <v>25</v>
      </c>
      <c r="O38" s="7">
        <v>0.18</v>
      </c>
      <c r="P38" s="5">
        <f t="shared" si="4"/>
        <v>29.5</v>
      </c>
      <c r="Q38" s="5">
        <v>10</v>
      </c>
      <c r="R38" s="8">
        <f t="shared" si="5"/>
        <v>2817.4935999999998</v>
      </c>
      <c r="S38" s="9">
        <f t="shared" si="6"/>
        <v>2799</v>
      </c>
      <c r="T38" s="8">
        <f t="shared" si="7"/>
        <v>-18.493599999999788</v>
      </c>
      <c r="U38" s="8">
        <f t="shared" si="8"/>
        <v>576.44320000000016</v>
      </c>
      <c r="V38" s="8">
        <f t="shared" si="9"/>
        <v>450.34625000000011</v>
      </c>
      <c r="W38" s="10">
        <f t="shared" si="10"/>
        <v>0.26053261095941138</v>
      </c>
    </row>
    <row r="39" spans="1:23" x14ac:dyDescent="0.3">
      <c r="A39" s="5" t="s">
        <v>27</v>
      </c>
      <c r="B39" s="5" t="s">
        <v>109</v>
      </c>
      <c r="C39" s="5"/>
      <c r="D39" s="5" t="s">
        <v>83</v>
      </c>
      <c r="E39" s="5" t="s">
        <v>110</v>
      </c>
      <c r="F39" s="5">
        <v>1</v>
      </c>
      <c r="G39" s="6">
        <v>5292.94</v>
      </c>
      <c r="H39" s="5">
        <f t="shared" si="0"/>
        <v>5292.94</v>
      </c>
      <c r="I39" s="7">
        <v>0.28000000000000003</v>
      </c>
      <c r="J39" s="5">
        <f t="shared" si="1"/>
        <v>6774.9631999999992</v>
      </c>
      <c r="K39" s="5">
        <v>6669.53</v>
      </c>
      <c r="L39" s="5">
        <f t="shared" si="2"/>
        <v>6669.53</v>
      </c>
      <c r="M39" s="5">
        <f t="shared" si="11"/>
        <v>8536.9984000000004</v>
      </c>
      <c r="N39" s="5">
        <v>1500</v>
      </c>
      <c r="O39" s="7">
        <v>0.18</v>
      </c>
      <c r="P39" s="5">
        <f t="shared" si="4"/>
        <v>1770</v>
      </c>
      <c r="Q39" s="5">
        <v>150</v>
      </c>
      <c r="R39" s="8">
        <f t="shared" si="5"/>
        <v>10306.9984</v>
      </c>
      <c r="S39" s="9">
        <f t="shared" si="6"/>
        <v>10299</v>
      </c>
      <c r="T39" s="8">
        <f t="shared" si="7"/>
        <v>-7.9984000000004016</v>
      </c>
      <c r="U39" s="8">
        <f t="shared" si="8"/>
        <v>3374.0368000000008</v>
      </c>
      <c r="V39" s="8">
        <f t="shared" si="9"/>
        <v>2635.9662500000004</v>
      </c>
      <c r="W39" s="10">
        <f t="shared" si="10"/>
        <v>0.49801551689609191</v>
      </c>
    </row>
    <row r="40" spans="1:23" x14ac:dyDescent="0.3">
      <c r="A40" s="5" t="s">
        <v>27</v>
      </c>
      <c r="B40" s="5" t="s">
        <v>109</v>
      </c>
      <c r="C40" s="5"/>
      <c r="D40" s="5" t="s">
        <v>86</v>
      </c>
      <c r="E40" s="5" t="s">
        <v>111</v>
      </c>
      <c r="F40" s="5">
        <v>1</v>
      </c>
      <c r="G40" s="6">
        <v>1108.56</v>
      </c>
      <c r="H40" s="5">
        <f t="shared" si="0"/>
        <v>1108.56</v>
      </c>
      <c r="I40" s="7">
        <v>0.12</v>
      </c>
      <c r="J40" s="5">
        <f t="shared" si="1"/>
        <v>1241.5872000000002</v>
      </c>
      <c r="K40" s="5">
        <v>1596.43</v>
      </c>
      <c r="L40" s="5">
        <f t="shared" si="2"/>
        <v>1596.43</v>
      </c>
      <c r="M40" s="5">
        <f t="shared" si="11"/>
        <v>1788.0016000000003</v>
      </c>
      <c r="N40" s="5">
        <v>0</v>
      </c>
      <c r="O40" s="7">
        <v>0.18</v>
      </c>
      <c r="P40" s="5">
        <f t="shared" si="4"/>
        <v>0</v>
      </c>
      <c r="Q40" s="5">
        <v>0</v>
      </c>
      <c r="R40" s="8">
        <f t="shared" si="5"/>
        <v>1788.0016000000003</v>
      </c>
      <c r="S40" s="9">
        <f t="shared" si="6"/>
        <v>1799</v>
      </c>
      <c r="T40" s="8">
        <f t="shared" si="7"/>
        <v>10.99839999999972</v>
      </c>
      <c r="U40" s="8">
        <f t="shared" si="8"/>
        <v>557.41279999999983</v>
      </c>
      <c r="V40" s="8">
        <f t="shared" si="9"/>
        <v>497.68999999999983</v>
      </c>
      <c r="W40" s="10">
        <f t="shared" si="10"/>
        <v>0.44895179331745677</v>
      </c>
    </row>
    <row r="41" spans="1:23" x14ac:dyDescent="0.3">
      <c r="A41" s="5" t="s">
        <v>27</v>
      </c>
      <c r="B41" s="5" t="s">
        <v>109</v>
      </c>
      <c r="C41" s="5"/>
      <c r="D41" s="5" t="s">
        <v>88</v>
      </c>
      <c r="E41" s="5" t="s">
        <v>112</v>
      </c>
      <c r="F41" s="5">
        <v>1</v>
      </c>
      <c r="G41" s="6">
        <v>1802.34</v>
      </c>
      <c r="H41" s="5">
        <f t="shared" si="0"/>
        <v>1802.34</v>
      </c>
      <c r="I41" s="7">
        <v>0.28000000000000003</v>
      </c>
      <c r="J41" s="5">
        <f t="shared" si="1"/>
        <v>2306.9951999999998</v>
      </c>
      <c r="K41" s="5">
        <v>2271.09</v>
      </c>
      <c r="L41" s="5">
        <f t="shared" si="2"/>
        <v>2271.09</v>
      </c>
      <c r="M41" s="5">
        <f t="shared" si="11"/>
        <v>2906.9952000000003</v>
      </c>
      <c r="N41" s="5">
        <v>0</v>
      </c>
      <c r="O41" s="7">
        <v>0.18</v>
      </c>
      <c r="P41" s="5">
        <f t="shared" si="4"/>
        <v>0</v>
      </c>
      <c r="Q41" s="5">
        <v>10</v>
      </c>
      <c r="R41" s="8">
        <f t="shared" si="5"/>
        <v>2906.9952000000003</v>
      </c>
      <c r="S41" s="9">
        <f t="shared" si="6"/>
        <v>2899</v>
      </c>
      <c r="T41" s="8">
        <f t="shared" si="7"/>
        <v>-7.9952000000002954</v>
      </c>
      <c r="U41" s="8">
        <f t="shared" si="8"/>
        <v>582.00480000000016</v>
      </c>
      <c r="V41" s="8">
        <f t="shared" si="9"/>
        <v>454.69125000000014</v>
      </c>
      <c r="W41" s="10">
        <f t="shared" si="10"/>
        <v>0.25227828822530718</v>
      </c>
    </row>
    <row r="42" spans="1:23" x14ac:dyDescent="0.3">
      <c r="A42" s="5" t="s">
        <v>27</v>
      </c>
      <c r="B42" s="5" t="s">
        <v>109</v>
      </c>
      <c r="C42" s="5"/>
      <c r="D42" s="5" t="s">
        <v>79</v>
      </c>
      <c r="E42" s="5" t="s">
        <v>113</v>
      </c>
      <c r="F42" s="5">
        <v>1</v>
      </c>
      <c r="G42" s="6">
        <v>1179.8599999999999</v>
      </c>
      <c r="H42" s="5">
        <f t="shared" si="0"/>
        <v>1179.8599999999999</v>
      </c>
      <c r="I42" s="7">
        <v>0.28000000000000003</v>
      </c>
      <c r="J42" s="5">
        <f t="shared" si="1"/>
        <v>1510.2207999999998</v>
      </c>
      <c r="K42" s="5">
        <v>1486.72</v>
      </c>
      <c r="L42" s="5">
        <f t="shared" si="2"/>
        <v>1486.72</v>
      </c>
      <c r="M42" s="5">
        <f t="shared" si="11"/>
        <v>1903.0016000000001</v>
      </c>
      <c r="N42" s="5">
        <v>100</v>
      </c>
      <c r="O42" s="7">
        <v>0.18</v>
      </c>
      <c r="P42" s="5">
        <f t="shared" si="4"/>
        <v>118</v>
      </c>
      <c r="Q42" s="5">
        <v>10</v>
      </c>
      <c r="R42" s="8">
        <f t="shared" si="5"/>
        <v>2021.0016000000001</v>
      </c>
      <c r="S42" s="9">
        <f t="shared" si="6"/>
        <v>1999</v>
      </c>
      <c r="T42" s="8">
        <f t="shared" si="7"/>
        <v>-22.001600000000053</v>
      </c>
      <c r="U42" s="8">
        <f t="shared" si="8"/>
        <v>478.77920000000017</v>
      </c>
      <c r="V42" s="8">
        <f t="shared" si="9"/>
        <v>374.0462500000001</v>
      </c>
      <c r="W42" s="10">
        <f t="shared" si="10"/>
        <v>0.31702596070720268</v>
      </c>
    </row>
    <row r="43" spans="1:23" x14ac:dyDescent="0.3">
      <c r="A43" s="5" t="s">
        <v>27</v>
      </c>
      <c r="B43" s="5" t="s">
        <v>109</v>
      </c>
      <c r="C43" s="5"/>
      <c r="D43" s="5" t="s">
        <v>93</v>
      </c>
      <c r="E43" s="5" t="s">
        <v>114</v>
      </c>
      <c r="F43" s="5">
        <v>1</v>
      </c>
      <c r="G43" s="6">
        <v>743.38</v>
      </c>
      <c r="H43" s="5">
        <f t="shared" si="0"/>
        <v>743.38</v>
      </c>
      <c r="I43" s="7">
        <v>0.28000000000000003</v>
      </c>
      <c r="J43" s="5">
        <f t="shared" si="1"/>
        <v>951.52639999999997</v>
      </c>
      <c r="K43" s="5">
        <v>936.72</v>
      </c>
      <c r="L43" s="5">
        <f t="shared" si="2"/>
        <v>936.72</v>
      </c>
      <c r="M43" s="5">
        <f t="shared" si="11"/>
        <v>1199.0016000000001</v>
      </c>
      <c r="N43" s="5">
        <v>100</v>
      </c>
      <c r="O43" s="7">
        <v>0.18</v>
      </c>
      <c r="P43" s="5">
        <f t="shared" si="4"/>
        <v>118</v>
      </c>
      <c r="Q43" s="5">
        <v>20</v>
      </c>
      <c r="R43" s="8">
        <f t="shared" si="5"/>
        <v>1317.0016000000001</v>
      </c>
      <c r="S43" s="9">
        <f t="shared" si="6"/>
        <v>1299</v>
      </c>
      <c r="T43" s="8">
        <f t="shared" si="7"/>
        <v>-18.001600000000053</v>
      </c>
      <c r="U43" s="8">
        <f t="shared" si="8"/>
        <v>327.47360000000003</v>
      </c>
      <c r="V43" s="8">
        <f t="shared" si="9"/>
        <v>255.83875000000003</v>
      </c>
      <c r="W43" s="10">
        <f t="shared" si="10"/>
        <v>0.34415608437138479</v>
      </c>
    </row>
    <row r="44" spans="1:23" x14ac:dyDescent="0.3">
      <c r="A44" s="5" t="s">
        <v>27</v>
      </c>
      <c r="B44" s="5" t="s">
        <v>109</v>
      </c>
      <c r="C44" s="5"/>
      <c r="D44" s="5" t="s">
        <v>96</v>
      </c>
      <c r="E44" s="5" t="s">
        <v>115</v>
      </c>
      <c r="F44" s="5">
        <v>1</v>
      </c>
      <c r="G44" s="6">
        <v>6656.32</v>
      </c>
      <c r="H44" s="5">
        <f t="shared" si="0"/>
        <v>6656.32</v>
      </c>
      <c r="I44" s="7">
        <v>0.28000000000000003</v>
      </c>
      <c r="J44" s="5">
        <f t="shared" si="1"/>
        <v>8520.0895999999993</v>
      </c>
      <c r="K44" s="5">
        <v>8387.5</v>
      </c>
      <c r="L44" s="5">
        <f t="shared" si="2"/>
        <v>8387.5</v>
      </c>
      <c r="M44" s="5">
        <f t="shared" si="11"/>
        <v>10736</v>
      </c>
      <c r="N44" s="5">
        <v>525</v>
      </c>
      <c r="O44" s="7">
        <v>0.18</v>
      </c>
      <c r="P44" s="5">
        <f t="shared" si="4"/>
        <v>619.5</v>
      </c>
      <c r="Q44" s="5">
        <v>100</v>
      </c>
      <c r="R44" s="8">
        <f t="shared" si="5"/>
        <v>11355.5</v>
      </c>
      <c r="S44" s="9">
        <f t="shared" si="6"/>
        <v>11349</v>
      </c>
      <c r="T44" s="8">
        <f t="shared" si="7"/>
        <v>-6.5</v>
      </c>
      <c r="U44" s="8">
        <f t="shared" si="8"/>
        <v>2728.9104000000007</v>
      </c>
      <c r="V44" s="8">
        <f t="shared" si="9"/>
        <v>2131.9612500000003</v>
      </c>
      <c r="W44" s="10">
        <f t="shared" si="10"/>
        <v>0.32029127956588632</v>
      </c>
    </row>
    <row r="45" spans="1:23" x14ac:dyDescent="0.3">
      <c r="A45" s="5" t="s">
        <v>27</v>
      </c>
      <c r="B45" s="5" t="s">
        <v>109</v>
      </c>
      <c r="C45" s="5"/>
      <c r="D45" s="5" t="s">
        <v>98</v>
      </c>
      <c r="E45" s="5" t="s">
        <v>116</v>
      </c>
      <c r="F45" s="5">
        <v>1</v>
      </c>
      <c r="G45" s="6">
        <v>4716.96</v>
      </c>
      <c r="H45" s="5">
        <f t="shared" si="0"/>
        <v>4716.96</v>
      </c>
      <c r="I45" s="7">
        <v>0.28000000000000003</v>
      </c>
      <c r="J45" s="5">
        <f t="shared" si="1"/>
        <v>6037.7088000000003</v>
      </c>
      <c r="K45" s="5">
        <v>5943.75</v>
      </c>
      <c r="L45" s="5">
        <f t="shared" si="2"/>
        <v>5943.75</v>
      </c>
      <c r="M45" s="5">
        <f t="shared" si="11"/>
        <v>7608</v>
      </c>
      <c r="N45" s="5">
        <v>600</v>
      </c>
      <c r="O45" s="7">
        <v>0.18</v>
      </c>
      <c r="P45" s="5">
        <f t="shared" si="4"/>
        <v>708</v>
      </c>
      <c r="Q45" s="5">
        <v>75</v>
      </c>
      <c r="R45" s="8">
        <f t="shared" si="5"/>
        <v>8316</v>
      </c>
      <c r="S45" s="9">
        <f t="shared" si="6"/>
        <v>8299</v>
      </c>
      <c r="T45" s="8">
        <f t="shared" si="7"/>
        <v>-17</v>
      </c>
      <c r="U45" s="8">
        <f t="shared" si="8"/>
        <v>2186.2911999999997</v>
      </c>
      <c r="V45" s="8">
        <f t="shared" si="9"/>
        <v>1708.0399999999997</v>
      </c>
      <c r="W45" s="10">
        <f t="shared" si="10"/>
        <v>0.36210610223533796</v>
      </c>
    </row>
    <row r="46" spans="1:23" x14ac:dyDescent="0.3">
      <c r="A46" s="5" t="s">
        <v>27</v>
      </c>
      <c r="B46" s="5" t="s">
        <v>109</v>
      </c>
      <c r="C46" s="5"/>
      <c r="D46" s="5" t="s">
        <v>102</v>
      </c>
      <c r="E46" s="5" t="s">
        <v>117</v>
      </c>
      <c r="F46" s="5">
        <v>1</v>
      </c>
      <c r="G46" s="6">
        <v>2325.19</v>
      </c>
      <c r="H46" s="5">
        <f t="shared" si="0"/>
        <v>2325.19</v>
      </c>
      <c r="I46" s="7">
        <v>0.28000000000000003</v>
      </c>
      <c r="J46" s="5">
        <f t="shared" si="1"/>
        <v>2976.2432000000003</v>
      </c>
      <c r="K46" s="5">
        <v>3078.91</v>
      </c>
      <c r="L46" s="5">
        <f t="shared" si="2"/>
        <v>3078.91</v>
      </c>
      <c r="M46" s="5">
        <f t="shared" si="11"/>
        <v>3941.0047999999997</v>
      </c>
      <c r="N46" s="5">
        <f>525+4000</f>
        <v>4525</v>
      </c>
      <c r="O46" s="7">
        <v>0.18</v>
      </c>
      <c r="P46" s="5">
        <f t="shared" si="4"/>
        <v>5339.5</v>
      </c>
      <c r="Q46" s="5">
        <v>100</v>
      </c>
      <c r="R46" s="8">
        <f t="shared" si="5"/>
        <v>9280.5047999999988</v>
      </c>
      <c r="S46" s="9">
        <f t="shared" si="6"/>
        <v>9299</v>
      </c>
      <c r="T46" s="8">
        <f t="shared" si="7"/>
        <v>18.495200000001205</v>
      </c>
      <c r="U46" s="8">
        <f t="shared" si="8"/>
        <v>6222.7567999999992</v>
      </c>
      <c r="V46" s="8">
        <f t="shared" si="9"/>
        <v>4861.5287499999995</v>
      </c>
      <c r="W46" s="10">
        <f t="shared" si="10"/>
        <v>2.0908092456960503</v>
      </c>
    </row>
    <row r="47" spans="1:23" x14ac:dyDescent="0.3">
      <c r="A47" s="5" t="s">
        <v>27</v>
      </c>
      <c r="B47" s="5" t="s">
        <v>109</v>
      </c>
      <c r="C47" s="5"/>
      <c r="D47" s="5" t="s">
        <v>118</v>
      </c>
      <c r="E47" s="5" t="s">
        <v>119</v>
      </c>
      <c r="F47" s="5">
        <v>1</v>
      </c>
      <c r="G47" s="6">
        <f>5612.24+1675.24</f>
        <v>7287.48</v>
      </c>
      <c r="H47" s="5">
        <f t="shared" si="0"/>
        <v>7287.48</v>
      </c>
      <c r="I47" s="7">
        <v>0.28000000000000003</v>
      </c>
      <c r="J47" s="5">
        <f t="shared" si="1"/>
        <v>9327.9743999999992</v>
      </c>
      <c r="K47" s="5">
        <f>7071.88+2111</f>
        <v>9182.880000000001</v>
      </c>
      <c r="L47" s="5">
        <f t="shared" si="2"/>
        <v>9182.880000000001</v>
      </c>
      <c r="M47" s="5">
        <f t="shared" si="11"/>
        <v>11754.086400000002</v>
      </c>
      <c r="N47" s="5">
        <v>600</v>
      </c>
      <c r="O47" s="7">
        <v>0.18</v>
      </c>
      <c r="P47" s="5">
        <f t="shared" si="4"/>
        <v>708</v>
      </c>
      <c r="Q47" s="5">
        <v>100</v>
      </c>
      <c r="R47" s="8">
        <f t="shared" si="5"/>
        <v>12462.086400000002</v>
      </c>
      <c r="S47" s="9">
        <f t="shared" si="6"/>
        <v>12449</v>
      </c>
      <c r="T47" s="8">
        <f t="shared" si="7"/>
        <v>-13.086400000001959</v>
      </c>
      <c r="U47" s="8">
        <f t="shared" si="8"/>
        <v>3021.0256000000008</v>
      </c>
      <c r="V47" s="8">
        <f t="shared" si="9"/>
        <v>2360.1762500000004</v>
      </c>
      <c r="W47" s="10">
        <f t="shared" si="10"/>
        <v>0.32386726961857881</v>
      </c>
    </row>
    <row r="48" spans="1:23" x14ac:dyDescent="0.3">
      <c r="A48" s="5" t="s">
        <v>27</v>
      </c>
      <c r="B48" s="5" t="s">
        <v>109</v>
      </c>
      <c r="C48" s="5"/>
      <c r="D48" s="5" t="s">
        <v>120</v>
      </c>
      <c r="E48" s="5" t="s">
        <v>121</v>
      </c>
      <c r="F48" s="5">
        <v>1</v>
      </c>
      <c r="G48" s="6">
        <v>1675.24</v>
      </c>
      <c r="H48" s="5">
        <f t="shared" si="0"/>
        <v>1675.24</v>
      </c>
      <c r="I48" s="7">
        <v>0.28000000000000003</v>
      </c>
      <c r="J48" s="5">
        <f t="shared" si="1"/>
        <v>2144.3072000000002</v>
      </c>
      <c r="K48" s="5">
        <v>2110.94</v>
      </c>
      <c r="L48" s="5">
        <f t="shared" si="2"/>
        <v>2110.94</v>
      </c>
      <c r="M48" s="5">
        <f t="shared" si="11"/>
        <v>2702.0032000000001</v>
      </c>
      <c r="N48" s="5">
        <v>0</v>
      </c>
      <c r="O48" s="7">
        <v>0.18</v>
      </c>
      <c r="P48" s="5">
        <f t="shared" si="4"/>
        <v>0</v>
      </c>
      <c r="Q48" s="5">
        <v>0</v>
      </c>
      <c r="R48" s="8">
        <f t="shared" si="5"/>
        <v>2702.0032000000001</v>
      </c>
      <c r="S48" s="9">
        <f t="shared" si="6"/>
        <v>2699</v>
      </c>
      <c r="T48" s="8">
        <f t="shared" si="7"/>
        <v>-3.0032000000001062</v>
      </c>
      <c r="U48" s="8">
        <f t="shared" si="8"/>
        <v>554.69279999999981</v>
      </c>
      <c r="V48" s="8">
        <f t="shared" si="9"/>
        <v>433.35374999999982</v>
      </c>
      <c r="W48" s="10">
        <f t="shared" si="10"/>
        <v>0.25868159189131101</v>
      </c>
    </row>
    <row r="49" spans="1:23" x14ac:dyDescent="0.3">
      <c r="A49" s="5" t="s">
        <v>27</v>
      </c>
      <c r="B49" s="5" t="s">
        <v>109</v>
      </c>
      <c r="C49" s="5"/>
      <c r="D49" s="5" t="s">
        <v>104</v>
      </c>
      <c r="E49" s="5" t="s">
        <v>122</v>
      </c>
      <c r="F49" s="5">
        <v>1</v>
      </c>
      <c r="G49" s="6">
        <v>406.1</v>
      </c>
      <c r="H49" s="5">
        <f t="shared" si="0"/>
        <v>406.1</v>
      </c>
      <c r="I49" s="7">
        <v>0.28000000000000003</v>
      </c>
      <c r="J49" s="5">
        <f t="shared" si="1"/>
        <v>519.80799999999999</v>
      </c>
      <c r="K49" s="5">
        <v>511.72</v>
      </c>
      <c r="L49" s="5">
        <f t="shared" si="2"/>
        <v>511.72</v>
      </c>
      <c r="M49" s="5">
        <f t="shared" si="11"/>
        <v>655.00160000000005</v>
      </c>
      <c r="N49" s="5">
        <v>150</v>
      </c>
      <c r="O49" s="7">
        <v>0.18</v>
      </c>
      <c r="P49" s="5">
        <f t="shared" si="4"/>
        <v>177</v>
      </c>
      <c r="Q49" s="5">
        <v>50</v>
      </c>
      <c r="R49" s="8">
        <f t="shared" si="5"/>
        <v>832.00160000000005</v>
      </c>
      <c r="S49" s="9">
        <f t="shared" si="6"/>
        <v>849</v>
      </c>
      <c r="T49" s="8">
        <f t="shared" si="7"/>
        <v>16.998399999999947</v>
      </c>
      <c r="U49" s="8">
        <f t="shared" si="8"/>
        <v>279.19200000000001</v>
      </c>
      <c r="V49" s="8">
        <f t="shared" si="9"/>
        <v>218.11875000000001</v>
      </c>
      <c r="W49" s="10">
        <f t="shared" si="10"/>
        <v>0.53710600837232203</v>
      </c>
    </row>
    <row r="50" spans="1:23" x14ac:dyDescent="0.3">
      <c r="A50" s="5" t="s">
        <v>27</v>
      </c>
      <c r="B50" s="5" t="s">
        <v>109</v>
      </c>
      <c r="C50" s="5"/>
      <c r="D50" s="5" t="s">
        <v>123</v>
      </c>
      <c r="E50" s="5" t="s">
        <v>124</v>
      </c>
      <c r="F50" s="5">
        <v>1</v>
      </c>
      <c r="G50" s="6">
        <v>1633.08</v>
      </c>
      <c r="H50" s="5">
        <f t="shared" si="0"/>
        <v>1633.08</v>
      </c>
      <c r="I50" s="7">
        <v>0.18</v>
      </c>
      <c r="J50" s="5">
        <f t="shared" si="1"/>
        <v>1927.0343999999998</v>
      </c>
      <c r="K50" s="5">
        <v>2232.1999999999998</v>
      </c>
      <c r="L50" s="5">
        <f t="shared" si="2"/>
        <v>2232.1999999999998</v>
      </c>
      <c r="M50" s="5">
        <f t="shared" si="11"/>
        <v>2633.9959999999996</v>
      </c>
      <c r="N50" s="5">
        <v>1500</v>
      </c>
      <c r="O50" s="7">
        <v>0.18</v>
      </c>
      <c r="P50" s="5">
        <f t="shared" si="4"/>
        <v>1770</v>
      </c>
      <c r="Q50" s="5">
        <v>200</v>
      </c>
      <c r="R50" s="8">
        <f t="shared" si="5"/>
        <v>4403.9959999999992</v>
      </c>
      <c r="S50" s="9">
        <f t="shared" si="6"/>
        <v>4399</v>
      </c>
      <c r="T50" s="8">
        <f t="shared" si="7"/>
        <v>-4.9959999999991851</v>
      </c>
      <c r="U50" s="8">
        <f t="shared" si="8"/>
        <v>2271.9656000000004</v>
      </c>
      <c r="V50" s="8">
        <f t="shared" si="9"/>
        <v>1925.3945762711869</v>
      </c>
      <c r="W50" s="10">
        <f t="shared" si="10"/>
        <v>1.1789958705459542</v>
      </c>
    </row>
    <row r="51" spans="1:23" x14ac:dyDescent="0.3">
      <c r="A51" s="5" t="s">
        <v>27</v>
      </c>
      <c r="B51" s="5" t="s">
        <v>109</v>
      </c>
      <c r="C51" s="5"/>
      <c r="D51" s="5" t="s">
        <v>125</v>
      </c>
      <c r="E51" s="5" t="s">
        <v>126</v>
      </c>
      <c r="F51" s="5">
        <v>1</v>
      </c>
      <c r="G51" s="6">
        <v>985.8</v>
      </c>
      <c r="H51" s="5">
        <f t="shared" si="0"/>
        <v>985.8</v>
      </c>
      <c r="I51" s="7">
        <v>0.28000000000000003</v>
      </c>
      <c r="J51" s="5">
        <f t="shared" si="1"/>
        <v>1261.8240000000001</v>
      </c>
      <c r="K51" s="5">
        <v>1242.19</v>
      </c>
      <c r="L51" s="5">
        <f t="shared" si="2"/>
        <v>1242.19</v>
      </c>
      <c r="M51" s="5">
        <f t="shared" si="11"/>
        <v>1590.0032000000001</v>
      </c>
      <c r="N51" s="5">
        <v>0</v>
      </c>
      <c r="O51" s="7">
        <v>0.18</v>
      </c>
      <c r="P51" s="5">
        <f t="shared" si="4"/>
        <v>0</v>
      </c>
      <c r="Q51" s="5">
        <v>0</v>
      </c>
      <c r="R51" s="8">
        <f t="shared" si="5"/>
        <v>1590.0032000000001</v>
      </c>
      <c r="S51" s="9">
        <f t="shared" si="6"/>
        <v>1599</v>
      </c>
      <c r="T51" s="8">
        <f t="shared" si="7"/>
        <v>8.9967999999998938</v>
      </c>
      <c r="U51" s="8">
        <f t="shared" si="8"/>
        <v>337.17599999999993</v>
      </c>
      <c r="V51" s="8">
        <f t="shared" si="9"/>
        <v>263.41874999999993</v>
      </c>
      <c r="W51" s="10">
        <f t="shared" si="10"/>
        <v>0.2672131771150334</v>
      </c>
    </row>
    <row r="52" spans="1:23" x14ac:dyDescent="0.3">
      <c r="A52" s="5" t="s">
        <v>27</v>
      </c>
      <c r="B52" s="5" t="s">
        <v>109</v>
      </c>
      <c r="C52" s="5"/>
      <c r="D52" s="5" t="s">
        <v>106</v>
      </c>
      <c r="E52" s="5" t="s">
        <v>127</v>
      </c>
      <c r="F52" s="5">
        <v>1</v>
      </c>
      <c r="G52" s="6">
        <v>2111.1</v>
      </c>
      <c r="H52" s="5">
        <f t="shared" si="0"/>
        <v>2111.1</v>
      </c>
      <c r="I52" s="7">
        <v>0.28000000000000003</v>
      </c>
      <c r="J52" s="5">
        <f t="shared" si="1"/>
        <v>2702.2080000000001</v>
      </c>
      <c r="K52" s="5">
        <v>2660.16</v>
      </c>
      <c r="L52" s="5">
        <f t="shared" si="2"/>
        <v>2660.16</v>
      </c>
      <c r="M52" s="5">
        <f t="shared" si="11"/>
        <v>3405.0047999999997</v>
      </c>
      <c r="N52" s="5">
        <v>600</v>
      </c>
      <c r="O52" s="7">
        <v>0.18</v>
      </c>
      <c r="P52" s="5">
        <f t="shared" si="4"/>
        <v>708</v>
      </c>
      <c r="Q52" s="5">
        <v>150</v>
      </c>
      <c r="R52" s="8">
        <f t="shared" si="5"/>
        <v>4113.0047999999997</v>
      </c>
      <c r="S52" s="9">
        <f t="shared" si="6"/>
        <v>4099</v>
      </c>
      <c r="T52" s="8">
        <f t="shared" si="7"/>
        <v>-14.004799999999705</v>
      </c>
      <c r="U52" s="8">
        <f t="shared" si="8"/>
        <v>1246.7919999999999</v>
      </c>
      <c r="V52" s="8">
        <f t="shared" si="9"/>
        <v>974.05624999999986</v>
      </c>
      <c r="W52" s="10">
        <f t="shared" si="10"/>
        <v>0.46139749419733783</v>
      </c>
    </row>
    <row r="53" spans="1:23" x14ac:dyDescent="0.3">
      <c r="A53" s="5" t="s">
        <v>27</v>
      </c>
      <c r="B53" s="5" t="s">
        <v>109</v>
      </c>
      <c r="C53" s="5"/>
      <c r="D53" s="5" t="s">
        <v>128</v>
      </c>
      <c r="E53" s="5" t="s">
        <v>129</v>
      </c>
      <c r="F53" s="5">
        <v>1</v>
      </c>
      <c r="G53" s="6">
        <v>1137.08</v>
      </c>
      <c r="H53" s="5">
        <f t="shared" si="0"/>
        <v>1137.08</v>
      </c>
      <c r="I53" s="7">
        <v>0.28000000000000003</v>
      </c>
      <c r="J53" s="5">
        <f t="shared" si="1"/>
        <v>1455.4623999999999</v>
      </c>
      <c r="K53" s="5">
        <v>1432.81</v>
      </c>
      <c r="L53" s="5">
        <f t="shared" si="2"/>
        <v>1432.81</v>
      </c>
      <c r="M53" s="5">
        <f t="shared" si="11"/>
        <v>1833.9967999999999</v>
      </c>
      <c r="N53" s="5">
        <v>0</v>
      </c>
      <c r="O53" s="7">
        <v>0.18</v>
      </c>
      <c r="P53" s="5">
        <f t="shared" si="4"/>
        <v>0</v>
      </c>
      <c r="Q53" s="5">
        <v>0</v>
      </c>
      <c r="R53" s="8">
        <f t="shared" si="5"/>
        <v>1833.9967999999999</v>
      </c>
      <c r="S53" s="9">
        <f t="shared" si="6"/>
        <v>1849</v>
      </c>
      <c r="T53" s="8">
        <f t="shared" si="7"/>
        <v>15.003200000000106</v>
      </c>
      <c r="U53" s="8">
        <f t="shared" si="8"/>
        <v>393.53760000000011</v>
      </c>
      <c r="V53" s="8">
        <f t="shared" si="9"/>
        <v>307.45125000000007</v>
      </c>
      <c r="W53" s="10">
        <f t="shared" si="10"/>
        <v>0.27038664825693892</v>
      </c>
    </row>
    <row r="54" spans="1:23" x14ac:dyDescent="0.3">
      <c r="A54" s="5" t="s">
        <v>27</v>
      </c>
      <c r="B54" s="5" t="s">
        <v>109</v>
      </c>
      <c r="C54" s="5"/>
      <c r="D54" s="5" t="s">
        <v>130</v>
      </c>
      <c r="E54" s="5" t="s">
        <v>131</v>
      </c>
      <c r="F54" s="5">
        <v>4</v>
      </c>
      <c r="G54" s="6">
        <f>5641.38+G55</f>
        <v>5764.76</v>
      </c>
      <c r="H54" s="5">
        <f t="shared" si="0"/>
        <v>23059.040000000001</v>
      </c>
      <c r="I54" s="7">
        <v>0.28000000000000003</v>
      </c>
      <c r="J54" s="5">
        <f t="shared" si="1"/>
        <v>29515.571200000002</v>
      </c>
      <c r="K54" s="5">
        <f>7108.59+K55</f>
        <v>7264.06</v>
      </c>
      <c r="L54" s="5">
        <f t="shared" si="2"/>
        <v>29056.240000000002</v>
      </c>
      <c r="M54" s="5">
        <f t="shared" si="11"/>
        <v>37191.987200000003</v>
      </c>
      <c r="N54" s="5">
        <v>1200</v>
      </c>
      <c r="O54" s="7">
        <v>0.18</v>
      </c>
      <c r="P54" s="5">
        <f t="shared" si="4"/>
        <v>1416</v>
      </c>
      <c r="Q54" s="5">
        <v>350</v>
      </c>
      <c r="R54" s="8">
        <f t="shared" si="5"/>
        <v>38607.987200000003</v>
      </c>
      <c r="S54" s="9">
        <f t="shared" si="6"/>
        <v>38599</v>
      </c>
      <c r="T54" s="8">
        <f t="shared" si="7"/>
        <v>-8.9872000000032131</v>
      </c>
      <c r="U54" s="8">
        <f t="shared" si="8"/>
        <v>8733.4287999999979</v>
      </c>
      <c r="V54" s="8">
        <f t="shared" si="9"/>
        <v>6822.9912499999982</v>
      </c>
      <c r="W54" s="10">
        <f t="shared" si="10"/>
        <v>0.29589225093499111</v>
      </c>
    </row>
    <row r="55" spans="1:23" x14ac:dyDescent="0.3">
      <c r="A55" s="5" t="s">
        <v>27</v>
      </c>
      <c r="B55" s="5" t="s">
        <v>109</v>
      </c>
      <c r="C55" s="5"/>
      <c r="D55" s="5" t="s">
        <v>132</v>
      </c>
      <c r="E55" s="5" t="s">
        <v>133</v>
      </c>
      <c r="F55" s="5">
        <v>4</v>
      </c>
      <c r="G55" s="6">
        <v>123.38</v>
      </c>
      <c r="H55" s="5">
        <f t="shared" si="0"/>
        <v>493.52</v>
      </c>
      <c r="I55" s="7">
        <v>0.28000000000000003</v>
      </c>
      <c r="J55" s="5">
        <f t="shared" si="1"/>
        <v>631.7056</v>
      </c>
      <c r="K55" s="5">
        <v>155.47</v>
      </c>
      <c r="L55" s="5">
        <f t="shared" si="2"/>
        <v>621.88</v>
      </c>
      <c r="M55" s="5">
        <f t="shared" si="11"/>
        <v>796.00639999999999</v>
      </c>
      <c r="N55" s="5">
        <v>0</v>
      </c>
      <c r="O55" s="7">
        <v>0.18</v>
      </c>
      <c r="P55" s="5">
        <f t="shared" si="4"/>
        <v>0</v>
      </c>
      <c r="Q55" s="5">
        <v>0</v>
      </c>
      <c r="R55" s="8">
        <f t="shared" si="5"/>
        <v>796.00639999999999</v>
      </c>
      <c r="S55" s="9">
        <f t="shared" si="6"/>
        <v>799</v>
      </c>
      <c r="T55" s="8">
        <f t="shared" si="7"/>
        <v>2.9936000000000149</v>
      </c>
      <c r="U55" s="8">
        <f t="shared" si="8"/>
        <v>167.2944</v>
      </c>
      <c r="V55" s="8">
        <f t="shared" si="9"/>
        <v>130.69874999999999</v>
      </c>
      <c r="W55" s="10">
        <f t="shared" si="10"/>
        <v>0.26482969281893337</v>
      </c>
    </row>
    <row r="56" spans="1:23" x14ac:dyDescent="0.3">
      <c r="A56" s="5" t="s">
        <v>27</v>
      </c>
      <c r="B56" s="5" t="s">
        <v>134</v>
      </c>
      <c r="C56" s="5"/>
      <c r="D56" s="5" t="s">
        <v>135</v>
      </c>
      <c r="E56" s="5" t="s">
        <v>136</v>
      </c>
      <c r="F56" s="5">
        <v>1</v>
      </c>
      <c r="G56" s="6">
        <v>5048.66</v>
      </c>
      <c r="H56" s="5">
        <f t="shared" si="0"/>
        <v>5048.66</v>
      </c>
      <c r="I56" s="7">
        <v>0.28000000000000003</v>
      </c>
      <c r="J56" s="5">
        <f t="shared" si="1"/>
        <v>6462.2848000000004</v>
      </c>
      <c r="K56" s="5">
        <v>6361.72</v>
      </c>
      <c r="L56" s="5">
        <f t="shared" si="2"/>
        <v>6361.72</v>
      </c>
      <c r="M56" s="5">
        <f t="shared" si="11"/>
        <v>8143.0016000000005</v>
      </c>
      <c r="N56" s="5">
        <v>1500</v>
      </c>
      <c r="O56" s="7">
        <v>0.18</v>
      </c>
      <c r="P56" s="5">
        <f t="shared" si="4"/>
        <v>1770</v>
      </c>
      <c r="Q56" s="5">
        <v>150</v>
      </c>
      <c r="R56" s="8">
        <f t="shared" si="5"/>
        <v>9913.0015999999996</v>
      </c>
      <c r="S56" s="9">
        <f t="shared" si="6"/>
        <v>9899</v>
      </c>
      <c r="T56" s="8">
        <f t="shared" si="7"/>
        <v>-14.001599999999598</v>
      </c>
      <c r="U56" s="8">
        <f t="shared" si="8"/>
        <v>3286.7151999999996</v>
      </c>
      <c r="V56" s="8">
        <f t="shared" si="9"/>
        <v>2567.7462499999997</v>
      </c>
      <c r="W56" s="10">
        <f t="shared" si="10"/>
        <v>0.50859955909092702</v>
      </c>
    </row>
    <row r="57" spans="1:23" x14ac:dyDescent="0.3">
      <c r="A57" s="5" t="s">
        <v>27</v>
      </c>
      <c r="B57" s="5" t="s">
        <v>134</v>
      </c>
      <c r="C57" s="5"/>
      <c r="D57" s="5" t="s">
        <v>86</v>
      </c>
      <c r="E57" s="5" t="s">
        <v>137</v>
      </c>
      <c r="F57" s="5">
        <v>1</v>
      </c>
      <c r="G57" s="6">
        <v>1225.46</v>
      </c>
      <c r="H57" s="5">
        <f t="shared" si="0"/>
        <v>1225.46</v>
      </c>
      <c r="I57" s="7">
        <v>0.28000000000000003</v>
      </c>
      <c r="J57" s="5">
        <f t="shared" si="1"/>
        <v>1568.5888</v>
      </c>
      <c r="K57" s="5">
        <v>1348.44</v>
      </c>
      <c r="L57" s="5">
        <f t="shared" si="2"/>
        <v>1348.44</v>
      </c>
      <c r="M57" s="5">
        <f t="shared" si="11"/>
        <v>1726.0032000000001</v>
      </c>
      <c r="N57" s="5">
        <v>0</v>
      </c>
      <c r="O57" s="7">
        <v>0.18</v>
      </c>
      <c r="P57" s="5">
        <f t="shared" si="4"/>
        <v>0</v>
      </c>
      <c r="Q57" s="5">
        <v>0</v>
      </c>
      <c r="R57" s="8">
        <f t="shared" si="5"/>
        <v>1726.0032000000001</v>
      </c>
      <c r="S57" s="9">
        <f t="shared" si="6"/>
        <v>1749</v>
      </c>
      <c r="T57" s="8">
        <f t="shared" si="7"/>
        <v>22.996799999999894</v>
      </c>
      <c r="U57" s="8">
        <f t="shared" si="8"/>
        <v>180.41120000000001</v>
      </c>
      <c r="V57" s="8">
        <f t="shared" si="9"/>
        <v>140.94624999999999</v>
      </c>
      <c r="W57" s="10">
        <f t="shared" si="10"/>
        <v>0.11501497396895859</v>
      </c>
    </row>
    <row r="58" spans="1:23" x14ac:dyDescent="0.3">
      <c r="A58" s="5" t="s">
        <v>27</v>
      </c>
      <c r="B58" s="5" t="s">
        <v>134</v>
      </c>
      <c r="C58" s="5"/>
      <c r="D58" s="5" t="s">
        <v>88</v>
      </c>
      <c r="E58" s="5" t="s">
        <v>138</v>
      </c>
      <c r="F58" s="5">
        <v>1</v>
      </c>
      <c r="G58" s="6">
        <v>2084.44</v>
      </c>
      <c r="H58" s="5">
        <f t="shared" si="0"/>
        <v>2084.44</v>
      </c>
      <c r="I58" s="7">
        <v>0.28000000000000003</v>
      </c>
      <c r="J58" s="5">
        <f t="shared" si="1"/>
        <v>2668.0832</v>
      </c>
      <c r="K58" s="5">
        <v>2626.56</v>
      </c>
      <c r="L58" s="5">
        <f t="shared" si="2"/>
        <v>2626.56</v>
      </c>
      <c r="M58" s="5">
        <f t="shared" si="11"/>
        <v>3361.9967999999999</v>
      </c>
      <c r="N58" s="5">
        <v>0</v>
      </c>
      <c r="O58" s="7">
        <v>0.18</v>
      </c>
      <c r="P58" s="5">
        <f t="shared" si="4"/>
        <v>0</v>
      </c>
      <c r="Q58" s="5">
        <v>10</v>
      </c>
      <c r="R58" s="8">
        <f t="shared" si="5"/>
        <v>3361.9967999999999</v>
      </c>
      <c r="S58" s="9">
        <f t="shared" si="6"/>
        <v>3349</v>
      </c>
      <c r="T58" s="8">
        <f t="shared" si="7"/>
        <v>-12.996799999999894</v>
      </c>
      <c r="U58" s="8">
        <f t="shared" si="8"/>
        <v>670.91679999999997</v>
      </c>
      <c r="V58" s="8">
        <f t="shared" si="9"/>
        <v>524.15374999999995</v>
      </c>
      <c r="W58" s="10">
        <f t="shared" si="10"/>
        <v>0.25146022432883647</v>
      </c>
    </row>
    <row r="59" spans="1:23" x14ac:dyDescent="0.3">
      <c r="A59" s="5" t="s">
        <v>27</v>
      </c>
      <c r="B59" s="5" t="s">
        <v>134</v>
      </c>
      <c r="C59" s="5"/>
      <c r="D59" s="5" t="s">
        <v>93</v>
      </c>
      <c r="E59" s="5" t="s">
        <v>139</v>
      </c>
      <c r="F59" s="5">
        <v>1</v>
      </c>
      <c r="G59" s="6">
        <v>438.96</v>
      </c>
      <c r="H59" s="5">
        <f t="shared" si="0"/>
        <v>438.96</v>
      </c>
      <c r="I59" s="7">
        <v>0.28000000000000003</v>
      </c>
      <c r="J59" s="5">
        <f t="shared" si="1"/>
        <v>561.86879999999996</v>
      </c>
      <c r="K59" s="5">
        <v>553.13</v>
      </c>
      <c r="L59" s="5">
        <f t="shared" si="2"/>
        <v>553.13</v>
      </c>
      <c r="M59" s="5">
        <f t="shared" si="11"/>
        <v>708.00639999999999</v>
      </c>
      <c r="N59" s="5">
        <v>100</v>
      </c>
      <c r="O59" s="7">
        <v>0.18</v>
      </c>
      <c r="P59" s="5">
        <f t="shared" si="4"/>
        <v>118</v>
      </c>
      <c r="Q59" s="5">
        <v>20</v>
      </c>
      <c r="R59" s="8">
        <f t="shared" si="5"/>
        <v>826.00639999999999</v>
      </c>
      <c r="S59" s="9">
        <f t="shared" si="6"/>
        <v>849</v>
      </c>
      <c r="T59" s="8">
        <f t="shared" si="7"/>
        <v>22.993600000000015</v>
      </c>
      <c r="U59" s="8">
        <f t="shared" si="8"/>
        <v>267.13120000000004</v>
      </c>
      <c r="V59" s="8">
        <f t="shared" si="9"/>
        <v>208.69625000000002</v>
      </c>
      <c r="W59" s="10">
        <f t="shared" si="10"/>
        <v>0.47543341078913803</v>
      </c>
    </row>
    <row r="60" spans="1:23" x14ac:dyDescent="0.3">
      <c r="A60" s="5" t="s">
        <v>27</v>
      </c>
      <c r="B60" s="5" t="s">
        <v>134</v>
      </c>
      <c r="C60" s="5"/>
      <c r="D60" s="5" t="s">
        <v>104</v>
      </c>
      <c r="E60" s="5" t="s">
        <v>140</v>
      </c>
      <c r="F60" s="5">
        <v>1</v>
      </c>
      <c r="G60" s="6">
        <v>460.2</v>
      </c>
      <c r="H60" s="5">
        <f t="shared" si="0"/>
        <v>460.2</v>
      </c>
      <c r="I60" s="7">
        <v>0.28000000000000003</v>
      </c>
      <c r="J60" s="5">
        <f t="shared" si="1"/>
        <v>589.05600000000004</v>
      </c>
      <c r="K60" s="5">
        <v>609.38</v>
      </c>
      <c r="L60" s="5">
        <f t="shared" si="2"/>
        <v>609.38</v>
      </c>
      <c r="M60" s="5">
        <f t="shared" si="11"/>
        <v>780.00639999999999</v>
      </c>
      <c r="N60" s="5">
        <v>200</v>
      </c>
      <c r="O60" s="7">
        <v>0.18</v>
      </c>
      <c r="P60" s="5">
        <f t="shared" si="4"/>
        <v>236</v>
      </c>
      <c r="Q60" s="5">
        <v>100</v>
      </c>
      <c r="R60" s="8">
        <f t="shared" si="5"/>
        <v>1016.0064</v>
      </c>
      <c r="S60" s="9">
        <f t="shared" si="6"/>
        <v>999</v>
      </c>
      <c r="T60" s="8">
        <f t="shared" si="7"/>
        <v>-17.006399999999985</v>
      </c>
      <c r="U60" s="8">
        <f t="shared" si="8"/>
        <v>309.94399999999996</v>
      </c>
      <c r="V60" s="8">
        <f t="shared" si="9"/>
        <v>242.14374999999995</v>
      </c>
      <c r="W60" s="10">
        <f t="shared" si="10"/>
        <v>0.52617068665797473</v>
      </c>
    </row>
    <row r="61" spans="1:23" x14ac:dyDescent="0.3">
      <c r="A61" s="5" t="s">
        <v>27</v>
      </c>
      <c r="B61" s="5" t="s">
        <v>134</v>
      </c>
      <c r="C61" s="5"/>
      <c r="D61" s="5" t="s">
        <v>141</v>
      </c>
      <c r="E61" s="5" t="s">
        <v>142</v>
      </c>
      <c r="F61" s="5">
        <v>1</v>
      </c>
      <c r="G61" s="6">
        <v>1295.8</v>
      </c>
      <c r="H61" s="5">
        <f t="shared" si="0"/>
        <v>1295.8</v>
      </c>
      <c r="I61" s="7">
        <v>0.28000000000000003</v>
      </c>
      <c r="J61" s="5">
        <f t="shared" si="1"/>
        <v>1658.624</v>
      </c>
      <c r="K61" s="5">
        <v>1632.81</v>
      </c>
      <c r="L61" s="5">
        <f t="shared" si="2"/>
        <v>1632.81</v>
      </c>
      <c r="M61" s="5">
        <f t="shared" si="11"/>
        <v>2089.9967999999999</v>
      </c>
      <c r="N61" s="5">
        <v>100</v>
      </c>
      <c r="O61" s="7">
        <v>0.18</v>
      </c>
      <c r="P61" s="5">
        <f t="shared" si="4"/>
        <v>118</v>
      </c>
      <c r="Q61" s="5">
        <v>20</v>
      </c>
      <c r="R61" s="8">
        <f t="shared" si="5"/>
        <v>2207.9967999999999</v>
      </c>
      <c r="S61" s="9">
        <f t="shared" si="6"/>
        <v>2199</v>
      </c>
      <c r="T61" s="8">
        <f t="shared" si="7"/>
        <v>-8.9967999999998938</v>
      </c>
      <c r="U61" s="8">
        <f t="shared" si="8"/>
        <v>520.37599999999998</v>
      </c>
      <c r="V61" s="8">
        <f t="shared" si="9"/>
        <v>406.54374999999999</v>
      </c>
      <c r="W61" s="10">
        <f t="shared" si="10"/>
        <v>0.31373958172557492</v>
      </c>
    </row>
    <row r="62" spans="1:23" x14ac:dyDescent="0.3">
      <c r="A62" s="5" t="s">
        <v>27</v>
      </c>
      <c r="B62" s="5" t="s">
        <v>134</v>
      </c>
      <c r="C62" s="5"/>
      <c r="D62" s="5" t="s">
        <v>143</v>
      </c>
      <c r="E62" s="5" t="s">
        <v>144</v>
      </c>
      <c r="F62" s="5">
        <v>1</v>
      </c>
      <c r="G62" s="6">
        <v>1626.04</v>
      </c>
      <c r="H62" s="5">
        <f t="shared" si="0"/>
        <v>1626.04</v>
      </c>
      <c r="I62" s="7">
        <v>0.28000000000000003</v>
      </c>
      <c r="J62" s="5">
        <f t="shared" si="1"/>
        <v>2081.3312000000001</v>
      </c>
      <c r="K62" s="5">
        <v>2153.13</v>
      </c>
      <c r="L62" s="5">
        <f t="shared" si="2"/>
        <v>2153.13</v>
      </c>
      <c r="M62" s="5">
        <f t="shared" si="11"/>
        <v>2756.0064000000002</v>
      </c>
      <c r="N62" s="5">
        <v>100</v>
      </c>
      <c r="O62" s="7">
        <v>0.18</v>
      </c>
      <c r="P62" s="5">
        <f t="shared" si="4"/>
        <v>118</v>
      </c>
      <c r="Q62" s="5">
        <v>20</v>
      </c>
      <c r="R62" s="8">
        <f t="shared" si="5"/>
        <v>2874.0064000000002</v>
      </c>
      <c r="S62" s="9">
        <f t="shared" si="6"/>
        <v>2849</v>
      </c>
      <c r="T62" s="8">
        <f t="shared" si="7"/>
        <v>-25.006400000000212</v>
      </c>
      <c r="U62" s="8">
        <f t="shared" si="8"/>
        <v>747.66879999999992</v>
      </c>
      <c r="V62" s="8">
        <f t="shared" si="9"/>
        <v>584.11624999999992</v>
      </c>
      <c r="W62" s="10">
        <f t="shared" si="10"/>
        <v>0.35922624904676387</v>
      </c>
    </row>
    <row r="63" spans="1:23" x14ac:dyDescent="0.3">
      <c r="A63" s="5" t="s">
        <v>27</v>
      </c>
      <c r="B63" s="5" t="s">
        <v>134</v>
      </c>
      <c r="C63" s="5"/>
      <c r="D63" s="5" t="s">
        <v>145</v>
      </c>
      <c r="E63" s="5" t="s">
        <v>146</v>
      </c>
      <c r="F63" s="5">
        <v>1</v>
      </c>
      <c r="G63" s="6">
        <v>1305.0999999999999</v>
      </c>
      <c r="H63" s="5">
        <f t="shared" si="0"/>
        <v>1305.0999999999999</v>
      </c>
      <c r="I63" s="7">
        <v>0.28000000000000003</v>
      </c>
      <c r="J63" s="5">
        <f t="shared" si="1"/>
        <v>1670.528</v>
      </c>
      <c r="K63" s="5">
        <v>1644.53</v>
      </c>
      <c r="L63" s="5">
        <f t="shared" si="2"/>
        <v>1644.53</v>
      </c>
      <c r="M63" s="5">
        <f t="shared" si="11"/>
        <v>2104.9983999999999</v>
      </c>
      <c r="N63" s="5">
        <v>0</v>
      </c>
      <c r="O63" s="7">
        <v>0.18</v>
      </c>
      <c r="P63" s="5">
        <f t="shared" si="4"/>
        <v>0</v>
      </c>
      <c r="Q63" s="5">
        <v>0</v>
      </c>
      <c r="R63" s="8">
        <f t="shared" si="5"/>
        <v>2104.9983999999999</v>
      </c>
      <c r="S63" s="9">
        <f t="shared" si="6"/>
        <v>2099</v>
      </c>
      <c r="T63" s="8">
        <f t="shared" si="7"/>
        <v>-5.9983999999999469</v>
      </c>
      <c r="U63" s="8">
        <f t="shared" si="8"/>
        <v>428.47199999999998</v>
      </c>
      <c r="V63" s="8">
        <f t="shared" si="9"/>
        <v>334.74374999999998</v>
      </c>
      <c r="W63" s="10">
        <f t="shared" si="10"/>
        <v>0.25648896636273083</v>
      </c>
    </row>
    <row r="64" spans="1:23" x14ac:dyDescent="0.3">
      <c r="A64" s="5" t="s">
        <v>27</v>
      </c>
      <c r="B64" s="5" t="s">
        <v>134</v>
      </c>
      <c r="C64" s="5"/>
      <c r="D64" s="5" t="s">
        <v>147</v>
      </c>
      <c r="E64" s="5" t="s">
        <v>148</v>
      </c>
      <c r="F64" s="5">
        <v>1</v>
      </c>
      <c r="G64" s="6">
        <v>3188.04</v>
      </c>
      <c r="H64" s="5">
        <f t="shared" si="0"/>
        <v>3188.04</v>
      </c>
      <c r="I64" s="7">
        <v>0.28000000000000003</v>
      </c>
      <c r="J64" s="5">
        <f t="shared" si="1"/>
        <v>4080.6912000000002</v>
      </c>
      <c r="K64" s="5">
        <v>4017.19</v>
      </c>
      <c r="L64" s="5">
        <f t="shared" si="2"/>
        <v>4017.19</v>
      </c>
      <c r="M64" s="5">
        <f t="shared" si="11"/>
        <v>5142.0032000000001</v>
      </c>
      <c r="N64" s="5">
        <v>300</v>
      </c>
      <c r="O64" s="7">
        <v>0.18</v>
      </c>
      <c r="P64" s="5">
        <f t="shared" si="4"/>
        <v>354</v>
      </c>
      <c r="Q64" s="5">
        <v>50</v>
      </c>
      <c r="R64" s="8">
        <f t="shared" si="5"/>
        <v>5496.0032000000001</v>
      </c>
      <c r="S64" s="9">
        <f t="shared" si="6"/>
        <v>5499</v>
      </c>
      <c r="T64" s="8">
        <f t="shared" si="7"/>
        <v>2.9967999999998938</v>
      </c>
      <c r="U64" s="8">
        <f t="shared" si="8"/>
        <v>1368.3087999999998</v>
      </c>
      <c r="V64" s="8">
        <f t="shared" si="9"/>
        <v>1068.9912499999998</v>
      </c>
      <c r="W64" s="10">
        <f t="shared" si="10"/>
        <v>0.3353129979548562</v>
      </c>
    </row>
    <row r="65" spans="1:23" x14ac:dyDescent="0.3">
      <c r="A65" s="5" t="s">
        <v>27</v>
      </c>
      <c r="B65" s="5" t="s">
        <v>134</v>
      </c>
      <c r="C65" s="5"/>
      <c r="D65" s="5" t="s">
        <v>79</v>
      </c>
      <c r="E65" s="5" t="s">
        <v>149</v>
      </c>
      <c r="F65" s="5">
        <v>1</v>
      </c>
      <c r="G65" s="6">
        <v>1315.64</v>
      </c>
      <c r="H65" s="5">
        <f t="shared" si="0"/>
        <v>1315.64</v>
      </c>
      <c r="I65" s="7">
        <v>0.28000000000000003</v>
      </c>
      <c r="J65" s="5">
        <f t="shared" si="1"/>
        <v>1684.0192000000002</v>
      </c>
      <c r="K65" s="5">
        <v>1657.81</v>
      </c>
      <c r="L65" s="5">
        <f t="shared" si="2"/>
        <v>1657.81</v>
      </c>
      <c r="M65" s="5">
        <f t="shared" si="11"/>
        <v>2121.9967999999999</v>
      </c>
      <c r="N65" s="5">
        <v>100</v>
      </c>
      <c r="O65" s="7">
        <v>0.18</v>
      </c>
      <c r="P65" s="5">
        <f t="shared" si="4"/>
        <v>118</v>
      </c>
      <c r="Q65" s="5">
        <v>10</v>
      </c>
      <c r="R65" s="8">
        <f t="shared" si="5"/>
        <v>2239.9967999999999</v>
      </c>
      <c r="S65" s="9">
        <f t="shared" si="6"/>
        <v>2249</v>
      </c>
      <c r="T65" s="8">
        <f t="shared" si="7"/>
        <v>9.0032000000001062</v>
      </c>
      <c r="U65" s="8">
        <f t="shared" si="8"/>
        <v>554.98079999999982</v>
      </c>
      <c r="V65" s="8">
        <f t="shared" si="9"/>
        <v>433.57874999999984</v>
      </c>
      <c r="W65" s="10">
        <f t="shared" si="10"/>
        <v>0.32955728770788345</v>
      </c>
    </row>
    <row r="66" spans="1:23" x14ac:dyDescent="0.3">
      <c r="A66" s="5" t="s">
        <v>27</v>
      </c>
      <c r="B66" s="5" t="s">
        <v>46</v>
      </c>
      <c r="C66" s="5"/>
      <c r="D66" s="5" t="s">
        <v>150</v>
      </c>
      <c r="E66" s="5" t="s">
        <v>151</v>
      </c>
      <c r="F66" s="5">
        <v>1</v>
      </c>
      <c r="G66" s="6">
        <v>5120.0200000000004</v>
      </c>
      <c r="H66" s="5">
        <f t="shared" ref="H66:H129" si="12">G66*F66</f>
        <v>5120.0200000000004</v>
      </c>
      <c r="I66" s="7">
        <v>0.28000000000000003</v>
      </c>
      <c r="J66" s="5">
        <f t="shared" ref="J66:J129" si="13">H66*(100%+I66)</f>
        <v>6553.6256000000003</v>
      </c>
      <c r="K66" s="5">
        <v>6779.69</v>
      </c>
      <c r="L66" s="5">
        <f t="shared" ref="L66:L129" si="14">K66*F66</f>
        <v>6779.69</v>
      </c>
      <c r="M66" s="5">
        <f t="shared" si="11"/>
        <v>8678.0031999999992</v>
      </c>
      <c r="N66" s="5">
        <v>1000</v>
      </c>
      <c r="O66" s="7">
        <v>0.18</v>
      </c>
      <c r="P66" s="5">
        <f t="shared" ref="P66:P129" si="15">N66*(100%+O66)</f>
        <v>1180</v>
      </c>
      <c r="Q66" s="5">
        <v>150</v>
      </c>
      <c r="R66" s="8">
        <f t="shared" ref="R66:R129" si="16">M66+P66</f>
        <v>9858.0031999999992</v>
      </c>
      <c r="S66" s="9">
        <f t="shared" ref="S66:S129" si="17">IF(OR(D66="Welcome Kit - Personal",D66="Welcome Kit - Commercial"),0,MROUND(R66,50)-1)</f>
        <v>9849</v>
      </c>
      <c r="T66" s="8">
        <f t="shared" ref="T66:T129" si="18">S66-R66</f>
        <v>-9.0031999999991967</v>
      </c>
      <c r="U66" s="8">
        <f t="shared" ref="U66:U129" si="19">S66-J66-Q66</f>
        <v>3145.3743999999997</v>
      </c>
      <c r="V66" s="8">
        <f t="shared" ref="V66:V129" si="20">U66/(100%+I66)</f>
        <v>2457.3237499999996</v>
      </c>
      <c r="W66" s="10">
        <f t="shared" ref="W66:W129" si="21">IFERROR(V66/H66,0)</f>
        <v>0.47994417013996027</v>
      </c>
    </row>
    <row r="67" spans="1:23" x14ac:dyDescent="0.3">
      <c r="A67" s="5" t="s">
        <v>27</v>
      </c>
      <c r="B67" s="5" t="s">
        <v>46</v>
      </c>
      <c r="C67" s="5"/>
      <c r="D67" s="5" t="s">
        <v>152</v>
      </c>
      <c r="E67" s="5" t="s">
        <v>151</v>
      </c>
      <c r="F67" s="5">
        <v>1</v>
      </c>
      <c r="G67" s="6">
        <v>5120.0200000000004</v>
      </c>
      <c r="H67" s="5">
        <f t="shared" si="12"/>
        <v>5120.0200000000004</v>
      </c>
      <c r="I67" s="7">
        <v>0.28000000000000003</v>
      </c>
      <c r="J67" s="5">
        <f t="shared" si="13"/>
        <v>6553.6256000000003</v>
      </c>
      <c r="K67" s="5">
        <v>6779.69</v>
      </c>
      <c r="L67" s="5">
        <f t="shared" si="14"/>
        <v>6779.69</v>
      </c>
      <c r="M67" s="5">
        <f t="shared" si="11"/>
        <v>8678.0031999999992</v>
      </c>
      <c r="N67" s="5">
        <v>2500</v>
      </c>
      <c r="O67" s="7">
        <v>0.18</v>
      </c>
      <c r="P67" s="5">
        <f t="shared" si="15"/>
        <v>2950</v>
      </c>
      <c r="Q67" s="5">
        <v>1800</v>
      </c>
      <c r="R67" s="8">
        <f t="shared" si="16"/>
        <v>11628.003199999999</v>
      </c>
      <c r="S67" s="9">
        <f t="shared" si="17"/>
        <v>11649</v>
      </c>
      <c r="T67" s="8">
        <f t="shared" si="18"/>
        <v>20.996800000000803</v>
      </c>
      <c r="U67" s="8">
        <f t="shared" si="19"/>
        <v>3295.3743999999997</v>
      </c>
      <c r="V67" s="8">
        <f t="shared" si="20"/>
        <v>2574.5112499999996</v>
      </c>
      <c r="W67" s="10">
        <f t="shared" si="21"/>
        <v>0.50283226432709238</v>
      </c>
    </row>
    <row r="68" spans="1:23" x14ac:dyDescent="0.3">
      <c r="A68" s="5" t="s">
        <v>27</v>
      </c>
      <c r="B68" s="5" t="s">
        <v>46</v>
      </c>
      <c r="C68" s="5"/>
      <c r="D68" s="5" t="s">
        <v>86</v>
      </c>
      <c r="E68" s="5" t="s">
        <v>153</v>
      </c>
      <c r="F68" s="5">
        <v>1</v>
      </c>
      <c r="G68" s="6">
        <v>1723.17</v>
      </c>
      <c r="H68" s="5">
        <f t="shared" si="12"/>
        <v>1723.17</v>
      </c>
      <c r="I68" s="7">
        <v>0.12</v>
      </c>
      <c r="J68" s="5">
        <f t="shared" si="13"/>
        <v>1929.9504000000002</v>
      </c>
      <c r="K68" s="5">
        <v>2166.96</v>
      </c>
      <c r="L68" s="5">
        <f t="shared" si="14"/>
        <v>2166.96</v>
      </c>
      <c r="M68" s="5">
        <f t="shared" si="11"/>
        <v>2426.9952000000003</v>
      </c>
      <c r="N68" s="5">
        <v>0</v>
      </c>
      <c r="O68" s="7">
        <v>0.18</v>
      </c>
      <c r="P68" s="5">
        <f t="shared" si="15"/>
        <v>0</v>
      </c>
      <c r="Q68" s="5">
        <v>0</v>
      </c>
      <c r="R68" s="8">
        <f t="shared" si="16"/>
        <v>2426.9952000000003</v>
      </c>
      <c r="S68" s="9">
        <f t="shared" si="17"/>
        <v>2449</v>
      </c>
      <c r="T68" s="8">
        <f t="shared" si="18"/>
        <v>22.004799999999705</v>
      </c>
      <c r="U68" s="8">
        <f t="shared" si="19"/>
        <v>519.04959999999983</v>
      </c>
      <c r="V68" s="8">
        <f t="shared" si="20"/>
        <v>463.43714285714265</v>
      </c>
      <c r="W68" s="10">
        <f t="shared" si="21"/>
        <v>0.26894452831533894</v>
      </c>
    </row>
    <row r="69" spans="1:23" x14ac:dyDescent="0.3">
      <c r="A69" s="5" t="s">
        <v>27</v>
      </c>
      <c r="B69" s="5" t="s">
        <v>46</v>
      </c>
      <c r="C69" s="5"/>
      <c r="D69" s="5" t="s">
        <v>88</v>
      </c>
      <c r="E69" s="5" t="s">
        <v>154</v>
      </c>
      <c r="F69" s="5">
        <v>1</v>
      </c>
      <c r="G69" s="6">
        <v>2363.44</v>
      </c>
      <c r="H69" s="5">
        <f t="shared" si="12"/>
        <v>2363.44</v>
      </c>
      <c r="I69" s="7">
        <v>0.28000000000000003</v>
      </c>
      <c r="J69" s="5">
        <f t="shared" si="13"/>
        <v>3025.2031999999999</v>
      </c>
      <c r="K69" s="5">
        <v>2978.13</v>
      </c>
      <c r="L69" s="5">
        <f t="shared" si="14"/>
        <v>2978.13</v>
      </c>
      <c r="M69" s="5">
        <f t="shared" si="11"/>
        <v>3812.0064000000002</v>
      </c>
      <c r="N69" s="5">
        <v>0</v>
      </c>
      <c r="O69" s="7">
        <v>0.18</v>
      </c>
      <c r="P69" s="5">
        <f t="shared" si="15"/>
        <v>0</v>
      </c>
      <c r="Q69" s="5">
        <v>10</v>
      </c>
      <c r="R69" s="8">
        <f t="shared" si="16"/>
        <v>3812.0064000000002</v>
      </c>
      <c r="S69" s="9">
        <f t="shared" si="17"/>
        <v>3799</v>
      </c>
      <c r="T69" s="8">
        <f t="shared" si="18"/>
        <v>-13.006400000000212</v>
      </c>
      <c r="U69" s="8">
        <f t="shared" si="19"/>
        <v>763.79680000000008</v>
      </c>
      <c r="V69" s="8">
        <f t="shared" si="20"/>
        <v>596.71625000000006</v>
      </c>
      <c r="W69" s="10">
        <f t="shared" si="21"/>
        <v>0.25247785008293</v>
      </c>
    </row>
    <row r="70" spans="1:23" x14ac:dyDescent="0.3">
      <c r="A70" s="5" t="s">
        <v>27</v>
      </c>
      <c r="B70" s="5" t="s">
        <v>46</v>
      </c>
      <c r="C70" s="5"/>
      <c r="D70" s="5" t="s">
        <v>155</v>
      </c>
      <c r="E70" s="5" t="s">
        <v>156</v>
      </c>
      <c r="F70" s="5">
        <v>1</v>
      </c>
      <c r="G70" s="6">
        <v>5805.06</v>
      </c>
      <c r="H70" s="5">
        <f t="shared" si="12"/>
        <v>5805.06</v>
      </c>
      <c r="I70" s="7">
        <v>0.28000000000000003</v>
      </c>
      <c r="J70" s="5">
        <f t="shared" si="13"/>
        <v>7430.4768000000004</v>
      </c>
      <c r="K70" s="5">
        <v>7314.84</v>
      </c>
      <c r="L70" s="5">
        <f t="shared" si="14"/>
        <v>7314.84</v>
      </c>
      <c r="M70" s="5">
        <f t="shared" si="11"/>
        <v>9362.9952000000012</v>
      </c>
      <c r="N70" s="5">
        <v>0</v>
      </c>
      <c r="O70" s="7">
        <v>0.18</v>
      </c>
      <c r="P70" s="5">
        <f t="shared" si="15"/>
        <v>0</v>
      </c>
      <c r="Q70" s="5">
        <v>150</v>
      </c>
      <c r="R70" s="8">
        <f t="shared" si="16"/>
        <v>9362.9952000000012</v>
      </c>
      <c r="S70" s="9">
        <f t="shared" si="17"/>
        <v>9349</v>
      </c>
      <c r="T70" s="8">
        <f t="shared" si="18"/>
        <v>-13.995200000001205</v>
      </c>
      <c r="U70" s="8">
        <f t="shared" si="19"/>
        <v>1768.5231999999996</v>
      </c>
      <c r="V70" s="8">
        <f t="shared" si="20"/>
        <v>1381.6587499999996</v>
      </c>
      <c r="W70" s="10">
        <f t="shared" si="21"/>
        <v>0.23800938319328302</v>
      </c>
    </row>
    <row r="71" spans="1:23" x14ac:dyDescent="0.3">
      <c r="A71" s="5" t="s">
        <v>27</v>
      </c>
      <c r="B71" s="5" t="s">
        <v>46</v>
      </c>
      <c r="C71" s="5"/>
      <c r="D71" s="5" t="s">
        <v>79</v>
      </c>
      <c r="E71" s="5" t="s">
        <v>157</v>
      </c>
      <c r="F71" s="5">
        <v>1</v>
      </c>
      <c r="G71" s="6">
        <v>856.68</v>
      </c>
      <c r="H71" s="5">
        <f t="shared" si="12"/>
        <v>856.68</v>
      </c>
      <c r="I71" s="7">
        <v>0.28000000000000003</v>
      </c>
      <c r="J71" s="5">
        <f t="shared" si="13"/>
        <v>1096.5503999999999</v>
      </c>
      <c r="K71" s="5">
        <v>1134.3800000000001</v>
      </c>
      <c r="L71" s="5">
        <f t="shared" si="14"/>
        <v>1134.3800000000001</v>
      </c>
      <c r="M71" s="5">
        <f t="shared" si="11"/>
        <v>1452.0064000000002</v>
      </c>
      <c r="N71" s="5">
        <v>100</v>
      </c>
      <c r="O71" s="7">
        <v>0.18</v>
      </c>
      <c r="P71" s="5">
        <f t="shared" si="15"/>
        <v>118</v>
      </c>
      <c r="Q71" s="5">
        <v>10</v>
      </c>
      <c r="R71" s="8">
        <f t="shared" si="16"/>
        <v>1570.0064000000002</v>
      </c>
      <c r="S71" s="9">
        <f t="shared" si="17"/>
        <v>1549</v>
      </c>
      <c r="T71" s="8">
        <f t="shared" si="18"/>
        <v>-21.006400000000212</v>
      </c>
      <c r="U71" s="8">
        <f t="shared" si="19"/>
        <v>442.44960000000015</v>
      </c>
      <c r="V71" s="8">
        <f t="shared" si="20"/>
        <v>345.66375000000011</v>
      </c>
      <c r="W71" s="10">
        <f t="shared" si="21"/>
        <v>0.40349226082084338</v>
      </c>
    </row>
    <row r="72" spans="1:23" x14ac:dyDescent="0.3">
      <c r="A72" s="5" t="s">
        <v>27</v>
      </c>
      <c r="B72" s="5" t="s">
        <v>46</v>
      </c>
      <c r="C72" s="5"/>
      <c r="D72" s="5" t="s">
        <v>93</v>
      </c>
      <c r="E72" s="5" t="s">
        <v>158</v>
      </c>
      <c r="F72" s="5">
        <v>1</v>
      </c>
      <c r="G72" s="6">
        <v>398.25</v>
      </c>
      <c r="H72" s="5">
        <f t="shared" si="12"/>
        <v>398.25</v>
      </c>
      <c r="I72" s="7">
        <v>0.28000000000000003</v>
      </c>
      <c r="J72" s="5">
        <f t="shared" si="13"/>
        <v>509.76</v>
      </c>
      <c r="K72" s="5">
        <v>527.34</v>
      </c>
      <c r="L72" s="5">
        <f t="shared" si="14"/>
        <v>527.34</v>
      </c>
      <c r="M72" s="5">
        <f t="shared" si="11"/>
        <v>674.99520000000007</v>
      </c>
      <c r="N72" s="5">
        <v>100</v>
      </c>
      <c r="O72" s="7">
        <v>0.18</v>
      </c>
      <c r="P72" s="5">
        <f t="shared" si="15"/>
        <v>118</v>
      </c>
      <c r="Q72" s="5">
        <v>20</v>
      </c>
      <c r="R72" s="8">
        <f t="shared" si="16"/>
        <v>792.99520000000007</v>
      </c>
      <c r="S72" s="9">
        <f t="shared" si="17"/>
        <v>799</v>
      </c>
      <c r="T72" s="8">
        <f t="shared" si="18"/>
        <v>6.004799999999932</v>
      </c>
      <c r="U72" s="8">
        <f t="shared" si="19"/>
        <v>269.24</v>
      </c>
      <c r="V72" s="8">
        <f t="shared" si="20"/>
        <v>210.34375</v>
      </c>
      <c r="W72" s="10">
        <f t="shared" si="21"/>
        <v>0.52817011927181423</v>
      </c>
    </row>
    <row r="73" spans="1:23" x14ac:dyDescent="0.3">
      <c r="A73" s="5" t="s">
        <v>27</v>
      </c>
      <c r="B73" s="5" t="s">
        <v>46</v>
      </c>
      <c r="C73" s="5"/>
      <c r="D73" s="5" t="s">
        <v>96</v>
      </c>
      <c r="E73" s="5" t="s">
        <v>159</v>
      </c>
      <c r="F73" s="5">
        <v>1</v>
      </c>
      <c r="G73" s="6">
        <v>4624.42</v>
      </c>
      <c r="H73" s="5">
        <f t="shared" si="12"/>
        <v>4624.42</v>
      </c>
      <c r="I73" s="7">
        <v>0.28000000000000003</v>
      </c>
      <c r="J73" s="5">
        <f t="shared" si="13"/>
        <v>5919.2575999999999</v>
      </c>
      <c r="K73" s="5">
        <v>6123.44</v>
      </c>
      <c r="L73" s="5">
        <f t="shared" si="14"/>
        <v>6123.44</v>
      </c>
      <c r="M73" s="5">
        <f t="shared" si="11"/>
        <v>7838.0031999999992</v>
      </c>
      <c r="N73" s="5">
        <v>700</v>
      </c>
      <c r="O73" s="7">
        <v>0.18</v>
      </c>
      <c r="P73" s="5">
        <f t="shared" si="15"/>
        <v>826</v>
      </c>
      <c r="Q73" s="5">
        <v>100</v>
      </c>
      <c r="R73" s="8">
        <f t="shared" si="16"/>
        <v>8664.0031999999992</v>
      </c>
      <c r="S73" s="9">
        <f t="shared" si="17"/>
        <v>8649</v>
      </c>
      <c r="T73" s="8">
        <f t="shared" si="18"/>
        <v>-15.003199999999197</v>
      </c>
      <c r="U73" s="8">
        <f t="shared" si="19"/>
        <v>2629.7424000000001</v>
      </c>
      <c r="V73" s="8">
        <f t="shared" si="20"/>
        <v>2054.4862499999999</v>
      </c>
      <c r="W73" s="10">
        <f t="shared" si="21"/>
        <v>0.44426895697190133</v>
      </c>
    </row>
    <row r="74" spans="1:23" x14ac:dyDescent="0.3">
      <c r="A74" s="5" t="s">
        <v>27</v>
      </c>
      <c r="B74" s="5" t="s">
        <v>46</v>
      </c>
      <c r="C74" s="5"/>
      <c r="D74" s="5" t="s">
        <v>160</v>
      </c>
      <c r="E74" s="5" t="s">
        <v>161</v>
      </c>
      <c r="F74" s="5">
        <v>1</v>
      </c>
      <c r="G74" s="6">
        <v>1049.6099999999999</v>
      </c>
      <c r="H74" s="5">
        <f t="shared" si="12"/>
        <v>1049.6099999999999</v>
      </c>
      <c r="I74" s="7">
        <v>0.28000000000000003</v>
      </c>
      <c r="J74" s="5">
        <f t="shared" si="13"/>
        <v>1343.5007999999998</v>
      </c>
      <c r="K74" s="5">
        <v>1389.84</v>
      </c>
      <c r="L74" s="5">
        <f t="shared" si="14"/>
        <v>1389.84</v>
      </c>
      <c r="M74" s="5">
        <f t="shared" si="11"/>
        <v>1778.9951999999998</v>
      </c>
      <c r="N74" s="5">
        <v>100</v>
      </c>
      <c r="O74" s="7">
        <v>0.18</v>
      </c>
      <c r="P74" s="5">
        <f t="shared" si="15"/>
        <v>118</v>
      </c>
      <c r="Q74" s="5">
        <v>0</v>
      </c>
      <c r="R74" s="8">
        <f t="shared" si="16"/>
        <v>1896.9951999999998</v>
      </c>
      <c r="S74" s="9">
        <f t="shared" si="17"/>
        <v>1899</v>
      </c>
      <c r="T74" s="8">
        <f t="shared" si="18"/>
        <v>2.0048000000001593</v>
      </c>
      <c r="U74" s="8">
        <f t="shared" si="19"/>
        <v>555.4992000000002</v>
      </c>
      <c r="V74" s="8">
        <f t="shared" si="20"/>
        <v>433.98375000000016</v>
      </c>
      <c r="W74" s="10">
        <f t="shared" si="21"/>
        <v>0.41347143224626309</v>
      </c>
    </row>
    <row r="75" spans="1:23" x14ac:dyDescent="0.3">
      <c r="A75" s="5" t="s">
        <v>27</v>
      </c>
      <c r="B75" s="5" t="s">
        <v>46</v>
      </c>
      <c r="C75" s="5"/>
      <c r="D75" s="5" t="s">
        <v>160</v>
      </c>
      <c r="E75" s="5" t="s">
        <v>162</v>
      </c>
      <c r="F75" s="5">
        <v>1</v>
      </c>
      <c r="G75" s="6">
        <v>1261.42</v>
      </c>
      <c r="H75" s="5">
        <f t="shared" si="12"/>
        <v>1261.42</v>
      </c>
      <c r="I75" s="7">
        <v>0.28000000000000003</v>
      </c>
      <c r="J75" s="5">
        <f t="shared" si="13"/>
        <v>1614.6176</v>
      </c>
      <c r="K75" s="5">
        <v>1670.31</v>
      </c>
      <c r="L75" s="5">
        <f t="shared" si="14"/>
        <v>1670.31</v>
      </c>
      <c r="M75" s="5">
        <f t="shared" si="11"/>
        <v>2137.9967999999999</v>
      </c>
      <c r="N75" s="5">
        <v>100</v>
      </c>
      <c r="O75" s="7">
        <v>0.18</v>
      </c>
      <c r="P75" s="5">
        <f t="shared" si="15"/>
        <v>118</v>
      </c>
      <c r="Q75" s="5">
        <v>0</v>
      </c>
      <c r="R75" s="8">
        <f t="shared" si="16"/>
        <v>2255.9967999999999</v>
      </c>
      <c r="S75" s="9">
        <f t="shared" si="17"/>
        <v>2249</v>
      </c>
      <c r="T75" s="8">
        <f t="shared" si="18"/>
        <v>-6.9967999999998938</v>
      </c>
      <c r="U75" s="8">
        <f t="shared" si="19"/>
        <v>634.38239999999996</v>
      </c>
      <c r="V75" s="8">
        <f t="shared" si="20"/>
        <v>495.61124999999998</v>
      </c>
      <c r="W75" s="10">
        <f t="shared" si="21"/>
        <v>0.39289947043807771</v>
      </c>
    </row>
    <row r="76" spans="1:23" x14ac:dyDescent="0.3">
      <c r="A76" s="5" t="s">
        <v>27</v>
      </c>
      <c r="B76" s="5" t="s">
        <v>46</v>
      </c>
      <c r="C76" s="5"/>
      <c r="D76" s="5" t="s">
        <v>160</v>
      </c>
      <c r="E76" s="5" t="s">
        <v>163</v>
      </c>
      <c r="F76" s="5">
        <v>1</v>
      </c>
      <c r="G76" s="6">
        <v>674.96</v>
      </c>
      <c r="H76" s="5">
        <f t="shared" si="12"/>
        <v>674.96</v>
      </c>
      <c r="I76" s="7">
        <v>0.28000000000000003</v>
      </c>
      <c r="J76" s="5">
        <f t="shared" si="13"/>
        <v>863.94880000000012</v>
      </c>
      <c r="K76" s="5">
        <v>893.75</v>
      </c>
      <c r="L76" s="5">
        <f t="shared" si="14"/>
        <v>893.75</v>
      </c>
      <c r="M76" s="5">
        <f t="shared" si="11"/>
        <v>1144</v>
      </c>
      <c r="N76" s="5">
        <v>100</v>
      </c>
      <c r="O76" s="7">
        <v>0.18</v>
      </c>
      <c r="P76" s="5">
        <f t="shared" si="15"/>
        <v>118</v>
      </c>
      <c r="Q76" s="5">
        <v>0</v>
      </c>
      <c r="R76" s="8">
        <f t="shared" si="16"/>
        <v>1262</v>
      </c>
      <c r="S76" s="9">
        <f t="shared" si="17"/>
        <v>1249</v>
      </c>
      <c r="T76" s="8">
        <f t="shared" si="18"/>
        <v>-13</v>
      </c>
      <c r="U76" s="8">
        <f t="shared" si="19"/>
        <v>385.05119999999988</v>
      </c>
      <c r="V76" s="8">
        <f t="shared" si="20"/>
        <v>300.82124999999991</v>
      </c>
      <c r="W76" s="10">
        <f t="shared" si="21"/>
        <v>0.44568752222353902</v>
      </c>
    </row>
    <row r="77" spans="1:23" x14ac:dyDescent="0.3">
      <c r="A77" s="5" t="s">
        <v>27</v>
      </c>
      <c r="B77" s="5" t="s">
        <v>46</v>
      </c>
      <c r="C77" s="5"/>
      <c r="D77" s="5" t="s">
        <v>164</v>
      </c>
      <c r="E77" s="5" t="s">
        <v>165</v>
      </c>
      <c r="F77" s="5">
        <v>1</v>
      </c>
      <c r="G77" s="6">
        <v>2212.5</v>
      </c>
      <c r="H77" s="5">
        <f t="shared" si="12"/>
        <v>2212.5</v>
      </c>
      <c r="I77" s="7">
        <v>0.28000000000000003</v>
      </c>
      <c r="J77" s="5">
        <f t="shared" si="13"/>
        <v>2832</v>
      </c>
      <c r="K77" s="5">
        <v>2929.69</v>
      </c>
      <c r="L77" s="5">
        <f t="shared" si="14"/>
        <v>2929.69</v>
      </c>
      <c r="M77" s="5">
        <f t="shared" si="11"/>
        <v>3750.0032000000001</v>
      </c>
      <c r="N77" s="5">
        <v>300</v>
      </c>
      <c r="O77" s="7">
        <v>0.18</v>
      </c>
      <c r="P77" s="5">
        <f t="shared" si="15"/>
        <v>354</v>
      </c>
      <c r="Q77" s="5">
        <v>100</v>
      </c>
      <c r="R77" s="8">
        <f t="shared" si="16"/>
        <v>4104.0032000000001</v>
      </c>
      <c r="S77" s="9">
        <f t="shared" si="17"/>
        <v>4099</v>
      </c>
      <c r="T77" s="8">
        <f t="shared" si="18"/>
        <v>-5.0032000000001062</v>
      </c>
      <c r="U77" s="8">
        <f t="shared" si="19"/>
        <v>1167</v>
      </c>
      <c r="V77" s="8">
        <f t="shared" si="20"/>
        <v>911.71875</v>
      </c>
      <c r="W77" s="10">
        <f t="shared" si="21"/>
        <v>0.41207627118644069</v>
      </c>
    </row>
    <row r="78" spans="1:23" x14ac:dyDescent="0.3">
      <c r="A78" s="5" t="s">
        <v>27</v>
      </c>
      <c r="B78" s="5" t="s">
        <v>46</v>
      </c>
      <c r="C78" s="5"/>
      <c r="D78" s="5" t="s">
        <v>166</v>
      </c>
      <c r="E78" s="5" t="s">
        <v>167</v>
      </c>
      <c r="F78" s="5">
        <v>1</v>
      </c>
      <c r="G78" s="6">
        <v>7128.38</v>
      </c>
      <c r="H78" s="5">
        <f t="shared" si="12"/>
        <v>7128.38</v>
      </c>
      <c r="I78" s="7">
        <v>0.28000000000000003</v>
      </c>
      <c r="J78" s="5">
        <f t="shared" si="13"/>
        <v>9124.3263999999999</v>
      </c>
      <c r="K78" s="5">
        <v>9439.06</v>
      </c>
      <c r="L78" s="5">
        <f t="shared" si="14"/>
        <v>9439.06</v>
      </c>
      <c r="M78" s="5">
        <f t="shared" si="11"/>
        <v>12081.996799999999</v>
      </c>
      <c r="N78" s="5">
        <v>600</v>
      </c>
      <c r="O78" s="7">
        <v>0.18</v>
      </c>
      <c r="P78" s="5">
        <f t="shared" si="15"/>
        <v>708</v>
      </c>
      <c r="Q78" s="5">
        <v>200</v>
      </c>
      <c r="R78" s="8">
        <f t="shared" si="16"/>
        <v>12789.996799999999</v>
      </c>
      <c r="S78" s="9">
        <f t="shared" si="17"/>
        <v>12799</v>
      </c>
      <c r="T78" s="8">
        <f t="shared" si="18"/>
        <v>9.0032000000010157</v>
      </c>
      <c r="U78" s="8">
        <f t="shared" si="19"/>
        <v>3474.6736000000001</v>
      </c>
      <c r="V78" s="8">
        <f t="shared" si="20"/>
        <v>2714.5887499999999</v>
      </c>
      <c r="W78" s="10">
        <f t="shared" si="21"/>
        <v>0.38081425934083196</v>
      </c>
    </row>
    <row r="79" spans="1:23" x14ac:dyDescent="0.3">
      <c r="A79" s="5" t="s">
        <v>27</v>
      </c>
      <c r="B79" s="5" t="s">
        <v>46</v>
      </c>
      <c r="C79" s="5"/>
      <c r="D79" s="5" t="s">
        <v>104</v>
      </c>
      <c r="E79" s="5" t="s">
        <v>168</v>
      </c>
      <c r="F79" s="5">
        <v>1</v>
      </c>
      <c r="G79" s="6">
        <v>483.8</v>
      </c>
      <c r="H79" s="5">
        <f t="shared" si="12"/>
        <v>483.8</v>
      </c>
      <c r="I79" s="7">
        <v>0.28000000000000003</v>
      </c>
      <c r="J79" s="5">
        <f t="shared" si="13"/>
        <v>619.26400000000001</v>
      </c>
      <c r="K79" s="5">
        <v>640.63</v>
      </c>
      <c r="L79" s="5">
        <f t="shared" si="14"/>
        <v>640.63</v>
      </c>
      <c r="M79" s="5">
        <f t="shared" si="11"/>
        <v>820.00639999999999</v>
      </c>
      <c r="N79" s="5">
        <v>150</v>
      </c>
      <c r="O79" s="7">
        <v>0.18</v>
      </c>
      <c r="P79" s="5">
        <f t="shared" si="15"/>
        <v>177</v>
      </c>
      <c r="Q79" s="5">
        <v>100</v>
      </c>
      <c r="R79" s="8">
        <f t="shared" si="16"/>
        <v>997.00639999999999</v>
      </c>
      <c r="S79" s="9">
        <f t="shared" si="17"/>
        <v>999</v>
      </c>
      <c r="T79" s="8">
        <f t="shared" si="18"/>
        <v>1.9936000000000149</v>
      </c>
      <c r="U79" s="8">
        <f t="shared" si="19"/>
        <v>279.73599999999999</v>
      </c>
      <c r="V79" s="8">
        <f t="shared" si="20"/>
        <v>218.54374999999999</v>
      </c>
      <c r="W79" s="10">
        <f t="shared" si="21"/>
        <v>0.45172333608929305</v>
      </c>
    </row>
    <row r="80" spans="1:23" x14ac:dyDescent="0.3">
      <c r="A80" s="5" t="s">
        <v>27</v>
      </c>
      <c r="B80" s="5" t="s">
        <v>46</v>
      </c>
      <c r="C80" s="5"/>
      <c r="D80" s="5" t="s">
        <v>123</v>
      </c>
      <c r="E80" s="5" t="s">
        <v>169</v>
      </c>
      <c r="F80" s="5">
        <v>1</v>
      </c>
      <c r="G80" s="6">
        <v>1824.55</v>
      </c>
      <c r="H80" s="5">
        <f t="shared" si="12"/>
        <v>1824.55</v>
      </c>
      <c r="I80" s="7">
        <v>0.18</v>
      </c>
      <c r="J80" s="5">
        <f t="shared" si="13"/>
        <v>2152.9690000000001</v>
      </c>
      <c r="K80" s="5">
        <v>2378.81</v>
      </c>
      <c r="L80" s="5">
        <f t="shared" si="14"/>
        <v>2378.81</v>
      </c>
      <c r="M80" s="5">
        <f t="shared" si="11"/>
        <v>2806.9957999999997</v>
      </c>
      <c r="N80" s="5">
        <v>1500</v>
      </c>
      <c r="O80" s="7">
        <v>0.18</v>
      </c>
      <c r="P80" s="5">
        <f t="shared" si="15"/>
        <v>1770</v>
      </c>
      <c r="Q80" s="5">
        <v>200</v>
      </c>
      <c r="R80" s="8">
        <f t="shared" si="16"/>
        <v>4576.9957999999997</v>
      </c>
      <c r="S80" s="9">
        <f t="shared" si="17"/>
        <v>4599</v>
      </c>
      <c r="T80" s="8">
        <f t="shared" si="18"/>
        <v>22.00420000000031</v>
      </c>
      <c r="U80" s="8">
        <f t="shared" si="19"/>
        <v>2246.0309999999999</v>
      </c>
      <c r="V80" s="8">
        <f t="shared" si="20"/>
        <v>1903.4161016949154</v>
      </c>
      <c r="W80" s="10">
        <f t="shared" si="21"/>
        <v>1.0432249605080242</v>
      </c>
    </row>
    <row r="81" spans="1:23" x14ac:dyDescent="0.3">
      <c r="A81" s="5" t="s">
        <v>27</v>
      </c>
      <c r="B81" s="5" t="s">
        <v>170</v>
      </c>
      <c r="C81" s="5"/>
      <c r="D81" s="5" t="s">
        <v>171</v>
      </c>
      <c r="E81" s="5" t="s">
        <v>172</v>
      </c>
      <c r="F81" s="5">
        <v>1</v>
      </c>
      <c r="G81" s="6">
        <v>3587.2</v>
      </c>
      <c r="H81" s="5">
        <f t="shared" si="12"/>
        <v>3587.2</v>
      </c>
      <c r="I81" s="7">
        <v>0.28000000000000003</v>
      </c>
      <c r="J81" s="5">
        <f t="shared" si="13"/>
        <v>4591.616</v>
      </c>
      <c r="K81" s="5">
        <v>4750</v>
      </c>
      <c r="L81" s="5">
        <f t="shared" si="14"/>
        <v>4750</v>
      </c>
      <c r="M81" s="5">
        <f t="shared" si="11"/>
        <v>6080</v>
      </c>
      <c r="N81" s="5">
        <v>1000</v>
      </c>
      <c r="O81" s="7">
        <v>0.18</v>
      </c>
      <c r="P81" s="5">
        <f t="shared" si="15"/>
        <v>1180</v>
      </c>
      <c r="Q81" s="5">
        <v>150</v>
      </c>
      <c r="R81" s="8">
        <f t="shared" si="16"/>
        <v>7260</v>
      </c>
      <c r="S81" s="9">
        <f t="shared" si="17"/>
        <v>7249</v>
      </c>
      <c r="T81" s="8">
        <f t="shared" si="18"/>
        <v>-11</v>
      </c>
      <c r="U81" s="8">
        <f t="shared" si="19"/>
        <v>2507.384</v>
      </c>
      <c r="V81" s="8">
        <f t="shared" si="20"/>
        <v>1958.89375</v>
      </c>
      <c r="W81" s="10">
        <f t="shared" si="21"/>
        <v>0.54607876616859952</v>
      </c>
    </row>
    <row r="82" spans="1:23" x14ac:dyDescent="0.3">
      <c r="A82" s="5" t="s">
        <v>27</v>
      </c>
      <c r="B82" s="5" t="s">
        <v>46</v>
      </c>
      <c r="C82" s="5"/>
      <c r="D82" s="5" t="s">
        <v>173</v>
      </c>
      <c r="E82" s="5" t="s">
        <v>174</v>
      </c>
      <c r="F82" s="5">
        <v>1</v>
      </c>
      <c r="G82" s="6">
        <v>738.4</v>
      </c>
      <c r="H82" s="5">
        <f t="shared" si="12"/>
        <v>738.4</v>
      </c>
      <c r="I82" s="7">
        <v>0.28000000000000003</v>
      </c>
      <c r="J82" s="5">
        <f t="shared" si="13"/>
        <v>945.15200000000004</v>
      </c>
      <c r="K82" s="5">
        <v>812.5</v>
      </c>
      <c r="L82" s="5">
        <f t="shared" si="14"/>
        <v>812.5</v>
      </c>
      <c r="M82" s="5">
        <f t="shared" si="11"/>
        <v>1040</v>
      </c>
      <c r="N82" s="5">
        <v>0</v>
      </c>
      <c r="O82" s="7">
        <v>0.18</v>
      </c>
      <c r="P82" s="5">
        <f t="shared" si="15"/>
        <v>0</v>
      </c>
      <c r="Q82" s="5">
        <v>0</v>
      </c>
      <c r="R82" s="8">
        <f t="shared" si="16"/>
        <v>1040</v>
      </c>
      <c r="S82" s="9">
        <f t="shared" si="17"/>
        <v>1049</v>
      </c>
      <c r="T82" s="8">
        <f t="shared" si="18"/>
        <v>9</v>
      </c>
      <c r="U82" s="8">
        <f t="shared" si="19"/>
        <v>103.84799999999996</v>
      </c>
      <c r="V82" s="8">
        <f t="shared" si="20"/>
        <v>81.131249999999966</v>
      </c>
      <c r="W82" s="10">
        <f t="shared" si="21"/>
        <v>0.10987439057421447</v>
      </c>
    </row>
    <row r="83" spans="1:23" x14ac:dyDescent="0.3">
      <c r="A83" s="5" t="s">
        <v>27</v>
      </c>
      <c r="B83" s="5" t="s">
        <v>46</v>
      </c>
      <c r="C83" s="5"/>
      <c r="D83" s="5" t="s">
        <v>175</v>
      </c>
      <c r="E83" s="5" t="s">
        <v>176</v>
      </c>
      <c r="F83" s="5">
        <v>1</v>
      </c>
      <c r="G83" s="6">
        <v>793.78</v>
      </c>
      <c r="H83" s="5">
        <f t="shared" si="12"/>
        <v>793.78</v>
      </c>
      <c r="I83" s="7">
        <v>0.28000000000000003</v>
      </c>
      <c r="J83" s="5">
        <f t="shared" si="13"/>
        <v>1016.0384</v>
      </c>
      <c r="K83" s="5">
        <v>873.44</v>
      </c>
      <c r="L83" s="5">
        <f t="shared" si="14"/>
        <v>873.44</v>
      </c>
      <c r="M83" s="5">
        <f t="shared" si="11"/>
        <v>1118.0032000000001</v>
      </c>
      <c r="N83" s="5">
        <v>0</v>
      </c>
      <c r="O83" s="7">
        <v>0.18</v>
      </c>
      <c r="P83" s="5">
        <f t="shared" si="15"/>
        <v>0</v>
      </c>
      <c r="Q83" s="5">
        <v>0</v>
      </c>
      <c r="R83" s="8">
        <f t="shared" si="16"/>
        <v>1118.0032000000001</v>
      </c>
      <c r="S83" s="9">
        <f t="shared" si="17"/>
        <v>1099</v>
      </c>
      <c r="T83" s="8">
        <f t="shared" si="18"/>
        <v>-19.003200000000106</v>
      </c>
      <c r="U83" s="8">
        <f t="shared" si="19"/>
        <v>82.961599999999976</v>
      </c>
      <c r="V83" s="8">
        <f t="shared" si="20"/>
        <v>64.813749999999985</v>
      </c>
      <c r="W83" s="10">
        <f t="shared" si="21"/>
        <v>8.165203204918238E-2</v>
      </c>
    </row>
    <row r="84" spans="1:23" x14ac:dyDescent="0.3">
      <c r="A84" s="5" t="s">
        <v>27</v>
      </c>
      <c r="B84" s="5" t="s">
        <v>46</v>
      </c>
      <c r="C84" s="5"/>
      <c r="D84" s="5" t="s">
        <v>38</v>
      </c>
      <c r="E84" s="5" t="s">
        <v>177</v>
      </c>
      <c r="F84" s="5">
        <v>4</v>
      </c>
      <c r="G84" s="6">
        <v>8670.7000000000007</v>
      </c>
      <c r="H84" s="5">
        <f t="shared" si="12"/>
        <v>34682.800000000003</v>
      </c>
      <c r="I84" s="7">
        <v>0.28000000000000003</v>
      </c>
      <c r="J84" s="5">
        <f t="shared" si="13"/>
        <v>44393.984000000004</v>
      </c>
      <c r="K84" s="5">
        <v>10925.78</v>
      </c>
      <c r="L84" s="5">
        <f t="shared" si="14"/>
        <v>43703.12</v>
      </c>
      <c r="M84" s="5">
        <f t="shared" si="11"/>
        <v>55939.993600000002</v>
      </c>
      <c r="N84" s="5">
        <f>2000+700</f>
        <v>2700</v>
      </c>
      <c r="O84" s="7">
        <v>0.18</v>
      </c>
      <c r="P84" s="5">
        <f t="shared" si="15"/>
        <v>3186</v>
      </c>
      <c r="Q84" s="5">
        <v>300</v>
      </c>
      <c r="R84" s="8">
        <f t="shared" si="16"/>
        <v>59125.993600000002</v>
      </c>
      <c r="S84" s="9">
        <f t="shared" si="17"/>
        <v>59149</v>
      </c>
      <c r="T84" s="8">
        <f t="shared" si="18"/>
        <v>23.006399999998393</v>
      </c>
      <c r="U84" s="8">
        <f t="shared" si="19"/>
        <v>14455.015999999996</v>
      </c>
      <c r="V84" s="8">
        <f t="shared" si="20"/>
        <v>11292.981249999997</v>
      </c>
      <c r="W84" s="10">
        <f t="shared" si="21"/>
        <v>0.32560754177863366</v>
      </c>
    </row>
    <row r="85" spans="1:23" x14ac:dyDescent="0.3">
      <c r="A85" s="5" t="s">
        <v>27</v>
      </c>
      <c r="B85" s="5" t="s">
        <v>178</v>
      </c>
      <c r="C85" s="5"/>
      <c r="D85" s="5" t="s">
        <v>179</v>
      </c>
      <c r="E85" s="5" t="s">
        <v>180</v>
      </c>
      <c r="F85" s="5">
        <v>1</v>
      </c>
      <c r="G85" s="6">
        <v>5580</v>
      </c>
      <c r="H85" s="5">
        <f t="shared" si="12"/>
        <v>5580</v>
      </c>
      <c r="I85" s="7">
        <v>0.28000000000000003</v>
      </c>
      <c r="J85" s="5">
        <f t="shared" si="13"/>
        <v>7142.4000000000005</v>
      </c>
      <c r="K85" s="5">
        <v>7031.25</v>
      </c>
      <c r="L85" s="5">
        <f t="shared" si="14"/>
        <v>7031.25</v>
      </c>
      <c r="M85" s="5">
        <f t="shared" si="11"/>
        <v>9000</v>
      </c>
      <c r="N85" s="5">
        <v>1500</v>
      </c>
      <c r="O85" s="7">
        <v>0.18</v>
      </c>
      <c r="P85" s="5">
        <f t="shared" si="15"/>
        <v>1770</v>
      </c>
      <c r="Q85" s="5">
        <v>150</v>
      </c>
      <c r="R85" s="8">
        <f t="shared" si="16"/>
        <v>10770</v>
      </c>
      <c r="S85" s="9">
        <f t="shared" si="17"/>
        <v>10749</v>
      </c>
      <c r="T85" s="8">
        <f t="shared" si="18"/>
        <v>-21</v>
      </c>
      <c r="U85" s="8">
        <f t="shared" si="19"/>
        <v>3456.5999999999995</v>
      </c>
      <c r="V85" s="8">
        <f t="shared" si="20"/>
        <v>2700.4687499999995</v>
      </c>
      <c r="W85" s="10">
        <f t="shared" si="21"/>
        <v>0.48395497311827951</v>
      </c>
    </row>
    <row r="86" spans="1:23" x14ac:dyDescent="0.3">
      <c r="A86" s="5" t="s">
        <v>27</v>
      </c>
      <c r="B86" s="5" t="s">
        <v>178</v>
      </c>
      <c r="C86" s="5"/>
      <c r="D86" s="5" t="s">
        <v>181</v>
      </c>
      <c r="E86" s="5" t="s">
        <v>182</v>
      </c>
      <c r="F86" s="5">
        <v>1</v>
      </c>
      <c r="G86" s="6">
        <v>5123.68</v>
      </c>
      <c r="H86" s="5">
        <f t="shared" si="12"/>
        <v>5123.68</v>
      </c>
      <c r="I86" s="7">
        <v>0.28000000000000003</v>
      </c>
      <c r="J86" s="5">
        <f t="shared" si="13"/>
        <v>6558.3104000000003</v>
      </c>
      <c r="K86" s="5">
        <v>6456.25</v>
      </c>
      <c r="L86" s="5">
        <f t="shared" si="14"/>
        <v>6456.25</v>
      </c>
      <c r="M86" s="5">
        <f t="shared" si="11"/>
        <v>8264</v>
      </c>
      <c r="N86" s="5">
        <v>1500</v>
      </c>
      <c r="O86" s="7">
        <v>0.18</v>
      </c>
      <c r="P86" s="5">
        <f t="shared" si="15"/>
        <v>1770</v>
      </c>
      <c r="Q86" s="5">
        <v>150</v>
      </c>
      <c r="R86" s="8">
        <f t="shared" si="16"/>
        <v>10034</v>
      </c>
      <c r="S86" s="9">
        <f t="shared" si="17"/>
        <v>10049</v>
      </c>
      <c r="T86" s="8">
        <f t="shared" si="18"/>
        <v>15</v>
      </c>
      <c r="U86" s="8">
        <f t="shared" si="19"/>
        <v>3340.6895999999997</v>
      </c>
      <c r="V86" s="8">
        <f t="shared" si="20"/>
        <v>2609.9137499999997</v>
      </c>
      <c r="W86" s="10">
        <f t="shared" si="21"/>
        <v>0.50938266050963366</v>
      </c>
    </row>
    <row r="87" spans="1:23" x14ac:dyDescent="0.3">
      <c r="A87" s="5" t="s">
        <v>27</v>
      </c>
      <c r="B87" s="5" t="s">
        <v>178</v>
      </c>
      <c r="C87" s="5"/>
      <c r="D87" s="5" t="s">
        <v>183</v>
      </c>
      <c r="E87" s="5" t="s">
        <v>184</v>
      </c>
      <c r="F87" s="5">
        <v>1</v>
      </c>
      <c r="G87" s="6">
        <v>6139.86</v>
      </c>
      <c r="H87" s="5">
        <f t="shared" si="12"/>
        <v>6139.86</v>
      </c>
      <c r="I87" s="7">
        <v>0.28000000000000003</v>
      </c>
      <c r="J87" s="5">
        <f t="shared" si="13"/>
        <v>7859.0207999999993</v>
      </c>
      <c r="K87" s="5">
        <v>7736.72</v>
      </c>
      <c r="L87" s="5">
        <f t="shared" si="14"/>
        <v>7736.72</v>
      </c>
      <c r="M87" s="5">
        <f t="shared" si="11"/>
        <v>9903.0016000000014</v>
      </c>
      <c r="N87" s="5">
        <v>1500</v>
      </c>
      <c r="O87" s="7">
        <v>0.18</v>
      </c>
      <c r="P87" s="5">
        <f t="shared" si="15"/>
        <v>1770</v>
      </c>
      <c r="Q87" s="5">
        <v>150</v>
      </c>
      <c r="R87" s="8">
        <f t="shared" si="16"/>
        <v>11673.001600000001</v>
      </c>
      <c r="S87" s="9">
        <f t="shared" si="17"/>
        <v>11649</v>
      </c>
      <c r="T87" s="8">
        <f t="shared" si="18"/>
        <v>-24.001600000001417</v>
      </c>
      <c r="U87" s="8">
        <f t="shared" si="19"/>
        <v>3639.9792000000007</v>
      </c>
      <c r="V87" s="8">
        <f t="shared" si="20"/>
        <v>2843.7337500000003</v>
      </c>
      <c r="W87" s="10">
        <f t="shared" si="21"/>
        <v>0.46315937985556682</v>
      </c>
    </row>
    <row r="88" spans="1:23" x14ac:dyDescent="0.3">
      <c r="A88" s="5" t="s">
        <v>27</v>
      </c>
      <c r="B88" s="5" t="s">
        <v>178</v>
      </c>
      <c r="C88" s="5"/>
      <c r="D88" s="5" t="s">
        <v>185</v>
      </c>
      <c r="E88" s="5" t="s">
        <v>186</v>
      </c>
      <c r="F88" s="5">
        <v>1</v>
      </c>
      <c r="G88" s="6">
        <v>5947.66</v>
      </c>
      <c r="H88" s="5">
        <f t="shared" si="12"/>
        <v>5947.66</v>
      </c>
      <c r="I88" s="7">
        <v>0.28000000000000003</v>
      </c>
      <c r="J88" s="5">
        <f t="shared" si="13"/>
        <v>7613.0047999999997</v>
      </c>
      <c r="K88" s="5">
        <v>7494.53</v>
      </c>
      <c r="L88" s="5">
        <f t="shared" si="14"/>
        <v>7494.53</v>
      </c>
      <c r="M88" s="5">
        <f t="shared" ref="M88:M151" si="22">L88*(100%+I88)</f>
        <v>9592.9984000000004</v>
      </c>
      <c r="N88" s="5">
        <v>1500</v>
      </c>
      <c r="O88" s="7">
        <v>0.18</v>
      </c>
      <c r="P88" s="5">
        <f t="shared" si="15"/>
        <v>1770</v>
      </c>
      <c r="Q88" s="5">
        <v>150</v>
      </c>
      <c r="R88" s="8">
        <f t="shared" si="16"/>
        <v>11362.9984</v>
      </c>
      <c r="S88" s="9">
        <f t="shared" si="17"/>
        <v>11349</v>
      </c>
      <c r="T88" s="8">
        <f t="shared" si="18"/>
        <v>-13.998400000000402</v>
      </c>
      <c r="U88" s="8">
        <f t="shared" si="19"/>
        <v>3585.9952000000003</v>
      </c>
      <c r="V88" s="8">
        <f t="shared" si="20"/>
        <v>2801.5587500000001</v>
      </c>
      <c r="W88" s="10">
        <f t="shared" si="21"/>
        <v>0.4710354576421652</v>
      </c>
    </row>
    <row r="89" spans="1:23" x14ac:dyDescent="0.3">
      <c r="A89" s="5" t="s">
        <v>27</v>
      </c>
      <c r="B89" s="5" t="s">
        <v>178</v>
      </c>
      <c r="C89" s="5"/>
      <c r="D89" s="5" t="s">
        <v>86</v>
      </c>
      <c r="E89" s="5" t="s">
        <v>187</v>
      </c>
      <c r="F89" s="5">
        <v>1</v>
      </c>
      <c r="G89" s="6">
        <v>1464.73</v>
      </c>
      <c r="H89" s="5">
        <f t="shared" si="12"/>
        <v>1464.73</v>
      </c>
      <c r="I89" s="7">
        <v>0.12</v>
      </c>
      <c r="J89" s="5">
        <f t="shared" si="13"/>
        <v>1640.4976000000001</v>
      </c>
      <c r="K89" s="5">
        <v>1841.96</v>
      </c>
      <c r="L89" s="5">
        <f t="shared" si="14"/>
        <v>1841.96</v>
      </c>
      <c r="M89" s="5">
        <f t="shared" si="22"/>
        <v>2062.9952000000003</v>
      </c>
      <c r="N89" s="5">
        <v>0</v>
      </c>
      <c r="O89" s="7">
        <v>0.18</v>
      </c>
      <c r="P89" s="5">
        <f t="shared" si="15"/>
        <v>0</v>
      </c>
      <c r="Q89" s="5">
        <v>0</v>
      </c>
      <c r="R89" s="8">
        <f t="shared" si="16"/>
        <v>2062.9952000000003</v>
      </c>
      <c r="S89" s="9">
        <f t="shared" si="17"/>
        <v>2049</v>
      </c>
      <c r="T89" s="8">
        <f t="shared" si="18"/>
        <v>-13.995200000000295</v>
      </c>
      <c r="U89" s="8">
        <f t="shared" si="19"/>
        <v>408.50239999999985</v>
      </c>
      <c r="V89" s="8">
        <f t="shared" si="20"/>
        <v>364.73428571428553</v>
      </c>
      <c r="W89" s="10">
        <f t="shared" si="21"/>
        <v>0.2490112756032071</v>
      </c>
    </row>
    <row r="90" spans="1:23" x14ac:dyDescent="0.3">
      <c r="A90" s="5" t="s">
        <v>27</v>
      </c>
      <c r="B90" s="5" t="s">
        <v>178</v>
      </c>
      <c r="C90" s="5"/>
      <c r="D90" s="5" t="s">
        <v>88</v>
      </c>
      <c r="E90" s="5" t="s">
        <v>188</v>
      </c>
      <c r="F90" s="5">
        <v>1</v>
      </c>
      <c r="G90" s="6">
        <v>2736.06</v>
      </c>
      <c r="H90" s="5">
        <f t="shared" si="12"/>
        <v>2736.06</v>
      </c>
      <c r="I90" s="7">
        <v>0.28000000000000003</v>
      </c>
      <c r="J90" s="5">
        <f t="shared" si="13"/>
        <v>3502.1568000000002</v>
      </c>
      <c r="K90" s="5">
        <v>3447.66</v>
      </c>
      <c r="L90" s="5">
        <f t="shared" si="14"/>
        <v>3447.66</v>
      </c>
      <c r="M90" s="5">
        <f t="shared" si="22"/>
        <v>4413.0047999999997</v>
      </c>
      <c r="N90" s="5">
        <v>0</v>
      </c>
      <c r="O90" s="7">
        <v>0.18</v>
      </c>
      <c r="P90" s="5">
        <f t="shared" si="15"/>
        <v>0</v>
      </c>
      <c r="Q90" s="5">
        <v>10</v>
      </c>
      <c r="R90" s="8">
        <f t="shared" si="16"/>
        <v>4413.0047999999997</v>
      </c>
      <c r="S90" s="9">
        <f t="shared" si="17"/>
        <v>4399</v>
      </c>
      <c r="T90" s="8">
        <f t="shared" si="18"/>
        <v>-14.004799999999705</v>
      </c>
      <c r="U90" s="8">
        <f t="shared" si="19"/>
        <v>886.8431999999998</v>
      </c>
      <c r="V90" s="8">
        <f t="shared" si="20"/>
        <v>692.84624999999983</v>
      </c>
      <c r="W90" s="10">
        <f t="shared" si="21"/>
        <v>0.25322772526918264</v>
      </c>
    </row>
    <row r="91" spans="1:23" x14ac:dyDescent="0.3">
      <c r="A91" s="5" t="s">
        <v>27</v>
      </c>
      <c r="B91" s="5" t="s">
        <v>178</v>
      </c>
      <c r="C91" s="5"/>
      <c r="D91" s="5" t="s">
        <v>155</v>
      </c>
      <c r="E91" s="5" t="s">
        <v>189</v>
      </c>
      <c r="F91" s="5">
        <v>1</v>
      </c>
      <c r="G91" s="6">
        <v>6385.38</v>
      </c>
      <c r="H91" s="5">
        <f t="shared" si="12"/>
        <v>6385.38</v>
      </c>
      <c r="I91" s="7">
        <v>0.28000000000000003</v>
      </c>
      <c r="J91" s="5">
        <f t="shared" si="13"/>
        <v>8173.2864</v>
      </c>
      <c r="K91" s="5">
        <v>8046.09</v>
      </c>
      <c r="L91" s="5">
        <f t="shared" si="14"/>
        <v>8046.09</v>
      </c>
      <c r="M91" s="5">
        <f t="shared" si="22"/>
        <v>10298.995200000001</v>
      </c>
      <c r="N91" s="5">
        <v>0</v>
      </c>
      <c r="O91" s="7">
        <v>0.18</v>
      </c>
      <c r="P91" s="5">
        <f t="shared" si="15"/>
        <v>0</v>
      </c>
      <c r="Q91" s="5">
        <v>0</v>
      </c>
      <c r="R91" s="8">
        <f t="shared" si="16"/>
        <v>10298.995200000001</v>
      </c>
      <c r="S91" s="9">
        <f t="shared" si="17"/>
        <v>10299</v>
      </c>
      <c r="T91" s="8">
        <f t="shared" si="18"/>
        <v>4.7999999987951014E-3</v>
      </c>
      <c r="U91" s="8">
        <f t="shared" si="19"/>
        <v>2125.7136</v>
      </c>
      <c r="V91" s="8">
        <f t="shared" si="20"/>
        <v>1660.7137499999999</v>
      </c>
      <c r="W91" s="10">
        <f t="shared" si="21"/>
        <v>0.26008064516129031</v>
      </c>
    </row>
    <row r="92" spans="1:23" x14ac:dyDescent="0.3">
      <c r="A92" s="5" t="s">
        <v>27</v>
      </c>
      <c r="B92" s="5" t="s">
        <v>178</v>
      </c>
      <c r="C92" s="5"/>
      <c r="D92" s="5" t="s">
        <v>79</v>
      </c>
      <c r="E92" s="5" t="s">
        <v>190</v>
      </c>
      <c r="F92" s="5">
        <v>1</v>
      </c>
      <c r="G92" s="6">
        <v>1418.56</v>
      </c>
      <c r="H92" s="5">
        <f t="shared" si="12"/>
        <v>1418.56</v>
      </c>
      <c r="I92" s="7">
        <v>0.28000000000000003</v>
      </c>
      <c r="J92" s="5">
        <f t="shared" si="13"/>
        <v>1815.7567999999999</v>
      </c>
      <c r="K92" s="5">
        <v>1787.5</v>
      </c>
      <c r="L92" s="5">
        <f t="shared" si="14"/>
        <v>1787.5</v>
      </c>
      <c r="M92" s="5">
        <f t="shared" si="22"/>
        <v>2288</v>
      </c>
      <c r="N92" s="5">
        <v>100</v>
      </c>
      <c r="O92" s="7">
        <v>0.18</v>
      </c>
      <c r="P92" s="5">
        <f t="shared" si="15"/>
        <v>118</v>
      </c>
      <c r="Q92" s="5">
        <v>10</v>
      </c>
      <c r="R92" s="8">
        <f t="shared" si="16"/>
        <v>2406</v>
      </c>
      <c r="S92" s="9">
        <f t="shared" si="17"/>
        <v>2399</v>
      </c>
      <c r="T92" s="8">
        <f t="shared" si="18"/>
        <v>-7</v>
      </c>
      <c r="U92" s="8">
        <f t="shared" si="19"/>
        <v>573.24320000000012</v>
      </c>
      <c r="V92" s="8">
        <f t="shared" si="20"/>
        <v>447.84625000000005</v>
      </c>
      <c r="W92" s="10">
        <f t="shared" si="21"/>
        <v>0.31570483448003617</v>
      </c>
    </row>
    <row r="93" spans="1:23" x14ac:dyDescent="0.3">
      <c r="A93" s="5" t="s">
        <v>27</v>
      </c>
      <c r="B93" s="5" t="s">
        <v>178</v>
      </c>
      <c r="C93" s="5"/>
      <c r="D93" s="5" t="s">
        <v>191</v>
      </c>
      <c r="E93" s="5" t="s">
        <v>192</v>
      </c>
      <c r="F93" s="5">
        <v>1</v>
      </c>
      <c r="G93" s="6">
        <v>2288.42</v>
      </c>
      <c r="H93" s="5">
        <f t="shared" si="12"/>
        <v>2288.42</v>
      </c>
      <c r="I93" s="7">
        <v>0.28000000000000003</v>
      </c>
      <c r="J93" s="5">
        <f t="shared" si="13"/>
        <v>2929.1776</v>
      </c>
      <c r="K93" s="5">
        <v>2883.59</v>
      </c>
      <c r="L93" s="5">
        <f t="shared" si="14"/>
        <v>2883.59</v>
      </c>
      <c r="M93" s="5">
        <f t="shared" si="22"/>
        <v>3690.9952000000003</v>
      </c>
      <c r="N93" s="5">
        <v>100</v>
      </c>
      <c r="O93" s="7">
        <v>0.18</v>
      </c>
      <c r="P93" s="5">
        <f t="shared" si="15"/>
        <v>118</v>
      </c>
      <c r="Q93" s="5">
        <v>10</v>
      </c>
      <c r="R93" s="8">
        <f t="shared" si="16"/>
        <v>3808.9952000000003</v>
      </c>
      <c r="S93" s="9">
        <f t="shared" si="17"/>
        <v>3799</v>
      </c>
      <c r="T93" s="8">
        <f t="shared" si="18"/>
        <v>-9.9952000000002954</v>
      </c>
      <c r="U93" s="8">
        <f t="shared" si="19"/>
        <v>859.82240000000002</v>
      </c>
      <c r="V93" s="8">
        <f t="shared" si="20"/>
        <v>671.73625000000004</v>
      </c>
      <c r="W93" s="10">
        <f t="shared" si="21"/>
        <v>0.29353713479169036</v>
      </c>
    </row>
    <row r="94" spans="1:23" x14ac:dyDescent="0.3">
      <c r="A94" s="5" t="s">
        <v>27</v>
      </c>
      <c r="B94" s="5" t="s">
        <v>178</v>
      </c>
      <c r="C94" s="5"/>
      <c r="D94" s="5" t="s">
        <v>96</v>
      </c>
      <c r="E94" s="5" t="s">
        <v>193</v>
      </c>
      <c r="F94" s="5">
        <v>1</v>
      </c>
      <c r="G94" s="6">
        <v>6505.66</v>
      </c>
      <c r="H94" s="5">
        <f t="shared" si="12"/>
        <v>6505.66</v>
      </c>
      <c r="I94" s="7">
        <v>0.28000000000000003</v>
      </c>
      <c r="J94" s="5">
        <f t="shared" si="13"/>
        <v>8327.2448000000004</v>
      </c>
      <c r="K94" s="5">
        <v>8197.66</v>
      </c>
      <c r="L94" s="5">
        <f t="shared" si="14"/>
        <v>8197.66</v>
      </c>
      <c r="M94" s="5">
        <f t="shared" si="22"/>
        <v>10493.004800000001</v>
      </c>
      <c r="N94" s="5">
        <v>1000</v>
      </c>
      <c r="O94" s="7">
        <v>0.18</v>
      </c>
      <c r="P94" s="5">
        <f t="shared" si="15"/>
        <v>1180</v>
      </c>
      <c r="Q94" s="5">
        <v>100</v>
      </c>
      <c r="R94" s="8">
        <f t="shared" si="16"/>
        <v>11673.004800000001</v>
      </c>
      <c r="S94" s="9">
        <f t="shared" si="17"/>
        <v>11649</v>
      </c>
      <c r="T94" s="8">
        <f t="shared" si="18"/>
        <v>-24.004800000000614</v>
      </c>
      <c r="U94" s="8">
        <f t="shared" si="19"/>
        <v>3221.7551999999996</v>
      </c>
      <c r="V94" s="8">
        <f t="shared" si="20"/>
        <v>2516.9962499999997</v>
      </c>
      <c r="W94" s="10">
        <f t="shared" si="21"/>
        <v>0.38689329752861351</v>
      </c>
    </row>
    <row r="95" spans="1:23" x14ac:dyDescent="0.3">
      <c r="A95" s="5" t="s">
        <v>27</v>
      </c>
      <c r="B95" s="5" t="s">
        <v>178</v>
      </c>
      <c r="C95" s="5"/>
      <c r="D95" s="5" t="s">
        <v>194</v>
      </c>
      <c r="E95" s="5" t="s">
        <v>195</v>
      </c>
      <c r="F95" s="5">
        <v>1</v>
      </c>
      <c r="G95" s="6">
        <v>1536.36</v>
      </c>
      <c r="H95" s="5">
        <f t="shared" si="12"/>
        <v>1536.36</v>
      </c>
      <c r="I95" s="7">
        <v>0.28000000000000003</v>
      </c>
      <c r="J95" s="5">
        <f t="shared" si="13"/>
        <v>1966.5408</v>
      </c>
      <c r="K95" s="5">
        <v>1935.94</v>
      </c>
      <c r="L95" s="5">
        <f t="shared" si="14"/>
        <v>1935.94</v>
      </c>
      <c r="M95" s="5">
        <f t="shared" si="22"/>
        <v>2478.0032000000001</v>
      </c>
      <c r="N95" s="5">
        <v>600</v>
      </c>
      <c r="O95" s="7">
        <v>0.18</v>
      </c>
      <c r="P95" s="5">
        <f t="shared" si="15"/>
        <v>708</v>
      </c>
      <c r="Q95" s="5">
        <v>150</v>
      </c>
      <c r="R95" s="8">
        <f t="shared" si="16"/>
        <v>3186.0032000000001</v>
      </c>
      <c r="S95" s="9">
        <f t="shared" si="17"/>
        <v>3199</v>
      </c>
      <c r="T95" s="8">
        <f t="shared" si="18"/>
        <v>12.996799999999894</v>
      </c>
      <c r="U95" s="8">
        <f t="shared" si="19"/>
        <v>1082.4592</v>
      </c>
      <c r="V95" s="8">
        <f t="shared" si="20"/>
        <v>845.67124999999999</v>
      </c>
      <c r="W95" s="10">
        <f t="shared" si="21"/>
        <v>0.5504382110963576</v>
      </c>
    </row>
    <row r="96" spans="1:23" x14ac:dyDescent="0.3">
      <c r="A96" s="5" t="s">
        <v>27</v>
      </c>
      <c r="B96" s="5" t="s">
        <v>178</v>
      </c>
      <c r="C96" s="5"/>
      <c r="D96" s="5" t="s">
        <v>98</v>
      </c>
      <c r="E96" s="5" t="s">
        <v>196</v>
      </c>
      <c r="F96" s="5">
        <v>1</v>
      </c>
      <c r="G96" s="6">
        <v>4643.3</v>
      </c>
      <c r="H96" s="5">
        <f t="shared" si="12"/>
        <v>4643.3</v>
      </c>
      <c r="I96" s="7">
        <v>0.28000000000000003</v>
      </c>
      <c r="J96" s="5">
        <f t="shared" si="13"/>
        <v>5943.424</v>
      </c>
      <c r="K96" s="5">
        <v>6148.44</v>
      </c>
      <c r="L96" s="5">
        <f t="shared" si="14"/>
        <v>6148.44</v>
      </c>
      <c r="M96" s="5">
        <f t="shared" si="22"/>
        <v>7870.0031999999992</v>
      </c>
      <c r="N96" s="5">
        <v>300</v>
      </c>
      <c r="O96" s="7">
        <v>0.18</v>
      </c>
      <c r="P96" s="5">
        <f t="shared" si="15"/>
        <v>354</v>
      </c>
      <c r="Q96" s="5">
        <v>75</v>
      </c>
      <c r="R96" s="8">
        <f t="shared" si="16"/>
        <v>8224.0031999999992</v>
      </c>
      <c r="S96" s="9">
        <f t="shared" si="17"/>
        <v>8199</v>
      </c>
      <c r="T96" s="8">
        <f t="shared" si="18"/>
        <v>-25.003199999999197</v>
      </c>
      <c r="U96" s="8">
        <f t="shared" si="19"/>
        <v>2180.576</v>
      </c>
      <c r="V96" s="8">
        <f t="shared" si="20"/>
        <v>1703.575</v>
      </c>
      <c r="W96" s="10">
        <f t="shared" si="21"/>
        <v>0.3668888506019426</v>
      </c>
    </row>
    <row r="97" spans="1:23" x14ac:dyDescent="0.3">
      <c r="A97" s="5" t="s">
        <v>27</v>
      </c>
      <c r="B97" s="5" t="s">
        <v>178</v>
      </c>
      <c r="C97" s="5"/>
      <c r="D97" s="5" t="s">
        <v>100</v>
      </c>
      <c r="E97" s="5" t="s">
        <v>197</v>
      </c>
      <c r="F97" s="5">
        <v>1</v>
      </c>
      <c r="G97" s="6">
        <v>4078.36</v>
      </c>
      <c r="H97" s="5">
        <f t="shared" si="12"/>
        <v>4078.36</v>
      </c>
      <c r="I97" s="7">
        <v>0.28000000000000003</v>
      </c>
      <c r="J97" s="5">
        <f t="shared" si="13"/>
        <v>5220.3008</v>
      </c>
      <c r="K97" s="5">
        <v>5139.0600000000004</v>
      </c>
      <c r="L97" s="5">
        <f t="shared" si="14"/>
        <v>5139.0600000000004</v>
      </c>
      <c r="M97" s="5">
        <f t="shared" si="22"/>
        <v>6577.9968000000008</v>
      </c>
      <c r="N97" s="5">
        <v>600</v>
      </c>
      <c r="O97" s="7">
        <v>0.18</v>
      </c>
      <c r="P97" s="5">
        <f t="shared" si="15"/>
        <v>708</v>
      </c>
      <c r="Q97" s="5">
        <v>50</v>
      </c>
      <c r="R97" s="8">
        <f t="shared" si="16"/>
        <v>7285.9968000000008</v>
      </c>
      <c r="S97" s="9">
        <f t="shared" si="17"/>
        <v>7299</v>
      </c>
      <c r="T97" s="8">
        <f t="shared" si="18"/>
        <v>13.003199999999197</v>
      </c>
      <c r="U97" s="8">
        <f t="shared" si="19"/>
        <v>2028.6992</v>
      </c>
      <c r="V97" s="8">
        <f t="shared" si="20"/>
        <v>1584.9212499999999</v>
      </c>
      <c r="W97" s="10">
        <f t="shared" si="21"/>
        <v>0.38861729960081992</v>
      </c>
    </row>
    <row r="98" spans="1:23" x14ac:dyDescent="0.3">
      <c r="A98" s="5" t="s">
        <v>27</v>
      </c>
      <c r="B98" s="5" t="s">
        <v>178</v>
      </c>
      <c r="C98" s="5"/>
      <c r="D98" s="5" t="s">
        <v>102</v>
      </c>
      <c r="E98" s="5" t="s">
        <v>198</v>
      </c>
      <c r="F98" s="5">
        <v>1</v>
      </c>
      <c r="G98" s="6">
        <v>3507.96</v>
      </c>
      <c r="H98" s="5">
        <f t="shared" si="12"/>
        <v>3507.96</v>
      </c>
      <c r="I98" s="7">
        <v>0.28000000000000003</v>
      </c>
      <c r="J98" s="5">
        <f t="shared" si="13"/>
        <v>4490.1887999999999</v>
      </c>
      <c r="K98" s="5">
        <v>4420.3100000000004</v>
      </c>
      <c r="L98" s="5">
        <f t="shared" si="14"/>
        <v>4420.3100000000004</v>
      </c>
      <c r="M98" s="5">
        <f t="shared" si="22"/>
        <v>5657.9968000000008</v>
      </c>
      <c r="N98" s="5">
        <f>450+4000</f>
        <v>4450</v>
      </c>
      <c r="O98" s="7">
        <v>0.18</v>
      </c>
      <c r="P98" s="5">
        <f t="shared" si="15"/>
        <v>5251</v>
      </c>
      <c r="Q98" s="5">
        <v>100</v>
      </c>
      <c r="R98" s="8">
        <f t="shared" si="16"/>
        <v>10908.996800000001</v>
      </c>
      <c r="S98" s="9">
        <f t="shared" si="17"/>
        <v>10899</v>
      </c>
      <c r="T98" s="8">
        <f t="shared" si="18"/>
        <v>-9.9968000000008033</v>
      </c>
      <c r="U98" s="8">
        <f t="shared" si="19"/>
        <v>6308.8112000000001</v>
      </c>
      <c r="V98" s="8">
        <f t="shared" si="20"/>
        <v>4928.75875</v>
      </c>
      <c r="W98" s="10">
        <f t="shared" si="21"/>
        <v>1.4050213656940216</v>
      </c>
    </row>
    <row r="99" spans="1:23" x14ac:dyDescent="0.3">
      <c r="A99" s="5" t="s">
        <v>27</v>
      </c>
      <c r="B99" s="5" t="s">
        <v>178</v>
      </c>
      <c r="C99" s="5"/>
      <c r="D99" s="5" t="s">
        <v>118</v>
      </c>
      <c r="E99" s="5" t="s">
        <v>199</v>
      </c>
      <c r="F99" s="5">
        <v>1</v>
      </c>
      <c r="G99" s="6">
        <v>5529.48</v>
      </c>
      <c r="H99" s="5">
        <f t="shared" si="12"/>
        <v>5529.48</v>
      </c>
      <c r="I99" s="7">
        <v>0.28000000000000003</v>
      </c>
      <c r="J99" s="5">
        <f t="shared" si="13"/>
        <v>7077.7343999999994</v>
      </c>
      <c r="K99" s="5">
        <v>7321.88</v>
      </c>
      <c r="L99" s="5">
        <f t="shared" si="14"/>
        <v>7321.88</v>
      </c>
      <c r="M99" s="5">
        <f t="shared" si="22"/>
        <v>9372.0064000000002</v>
      </c>
      <c r="N99" s="5">
        <v>750</v>
      </c>
      <c r="O99" s="7">
        <v>0.18</v>
      </c>
      <c r="P99" s="5">
        <f t="shared" si="15"/>
        <v>885</v>
      </c>
      <c r="Q99" s="5">
        <v>50</v>
      </c>
      <c r="R99" s="8">
        <f t="shared" si="16"/>
        <v>10257.0064</v>
      </c>
      <c r="S99" s="9">
        <f t="shared" si="17"/>
        <v>10249</v>
      </c>
      <c r="T99" s="8">
        <f t="shared" si="18"/>
        <v>-8.0064000000002125</v>
      </c>
      <c r="U99" s="8">
        <f t="shared" si="19"/>
        <v>3121.2656000000006</v>
      </c>
      <c r="V99" s="8">
        <f t="shared" si="20"/>
        <v>2438.4887500000004</v>
      </c>
      <c r="W99" s="10">
        <f t="shared" si="21"/>
        <v>0.44099784247343343</v>
      </c>
    </row>
    <row r="100" spans="1:23" x14ac:dyDescent="0.3">
      <c r="A100" s="5" t="s">
        <v>27</v>
      </c>
      <c r="B100" s="5" t="s">
        <v>178</v>
      </c>
      <c r="C100" s="5"/>
      <c r="D100" s="5" t="s">
        <v>123</v>
      </c>
      <c r="E100" s="5" t="s">
        <v>200</v>
      </c>
      <c r="F100" s="5">
        <v>1</v>
      </c>
      <c r="G100" s="6">
        <v>2028</v>
      </c>
      <c r="H100" s="5">
        <f t="shared" si="12"/>
        <v>2028</v>
      </c>
      <c r="I100" s="7">
        <v>0.18</v>
      </c>
      <c r="J100" s="5">
        <f t="shared" si="13"/>
        <v>2393.04</v>
      </c>
      <c r="K100" s="5">
        <v>2644.07</v>
      </c>
      <c r="L100" s="5">
        <f t="shared" si="14"/>
        <v>2644.07</v>
      </c>
      <c r="M100" s="5">
        <f t="shared" si="22"/>
        <v>3120.0025999999998</v>
      </c>
      <c r="N100" s="5">
        <v>1000</v>
      </c>
      <c r="O100" s="7">
        <v>0.18</v>
      </c>
      <c r="P100" s="5">
        <f t="shared" si="15"/>
        <v>1180</v>
      </c>
      <c r="Q100" s="5">
        <v>200</v>
      </c>
      <c r="R100" s="8">
        <f t="shared" si="16"/>
        <v>4300.0025999999998</v>
      </c>
      <c r="S100" s="9">
        <f t="shared" si="17"/>
        <v>4299</v>
      </c>
      <c r="T100" s="8">
        <f t="shared" si="18"/>
        <v>-1.0025999999998021</v>
      </c>
      <c r="U100" s="8">
        <f t="shared" si="19"/>
        <v>1705.96</v>
      </c>
      <c r="V100" s="8">
        <f t="shared" si="20"/>
        <v>1445.7288135593221</v>
      </c>
      <c r="W100" s="10">
        <f t="shared" si="21"/>
        <v>0.71288403035469539</v>
      </c>
    </row>
    <row r="101" spans="1:23" x14ac:dyDescent="0.3">
      <c r="A101" s="5" t="s">
        <v>27</v>
      </c>
      <c r="B101" s="5" t="s">
        <v>178</v>
      </c>
      <c r="C101" s="5"/>
      <c r="D101" s="5" t="s">
        <v>125</v>
      </c>
      <c r="E101" s="5" t="s">
        <v>201</v>
      </c>
      <c r="F101" s="5">
        <v>1</v>
      </c>
      <c r="G101" s="6">
        <v>998.82</v>
      </c>
      <c r="H101" s="5">
        <f t="shared" si="12"/>
        <v>998.82</v>
      </c>
      <c r="I101" s="7">
        <v>0.28000000000000003</v>
      </c>
      <c r="J101" s="5">
        <f t="shared" si="13"/>
        <v>1278.4896000000001</v>
      </c>
      <c r="K101" s="5">
        <v>1258.5899999999999</v>
      </c>
      <c r="L101" s="5">
        <f t="shared" si="14"/>
        <v>1258.5899999999999</v>
      </c>
      <c r="M101" s="5">
        <f t="shared" si="22"/>
        <v>1610.9951999999998</v>
      </c>
      <c r="N101" s="5">
        <v>0</v>
      </c>
      <c r="O101" s="7">
        <v>0.18</v>
      </c>
      <c r="P101" s="5">
        <f t="shared" si="15"/>
        <v>0</v>
      </c>
      <c r="Q101" s="5">
        <v>0</v>
      </c>
      <c r="R101" s="8">
        <f t="shared" si="16"/>
        <v>1610.9951999999998</v>
      </c>
      <c r="S101" s="9">
        <f t="shared" si="17"/>
        <v>1599</v>
      </c>
      <c r="T101" s="8">
        <f t="shared" si="18"/>
        <v>-11.995199999999841</v>
      </c>
      <c r="U101" s="8">
        <f t="shared" si="19"/>
        <v>320.51039999999989</v>
      </c>
      <c r="V101" s="8">
        <f t="shared" si="20"/>
        <v>250.39874999999992</v>
      </c>
      <c r="W101" s="10">
        <f t="shared" si="21"/>
        <v>0.25069456959211861</v>
      </c>
    </row>
    <row r="102" spans="1:23" x14ac:dyDescent="0.3">
      <c r="A102" s="5" t="s">
        <v>27</v>
      </c>
      <c r="B102" s="5" t="s">
        <v>178</v>
      </c>
      <c r="C102" s="5"/>
      <c r="D102" s="5" t="s">
        <v>202</v>
      </c>
      <c r="E102" s="5" t="s">
        <v>203</v>
      </c>
      <c r="F102" s="5">
        <v>4</v>
      </c>
      <c r="G102" s="6">
        <v>9435.7800000000007</v>
      </c>
      <c r="H102" s="5">
        <f t="shared" si="12"/>
        <v>37743.120000000003</v>
      </c>
      <c r="I102" s="7">
        <v>0.28000000000000003</v>
      </c>
      <c r="J102" s="5">
        <f t="shared" si="13"/>
        <v>48311.193600000006</v>
      </c>
      <c r="K102" s="5">
        <v>11889.84</v>
      </c>
      <c r="L102" s="5">
        <f t="shared" si="14"/>
        <v>47559.360000000001</v>
      </c>
      <c r="M102" s="5">
        <f t="shared" si="22"/>
        <v>60875.980800000005</v>
      </c>
      <c r="N102" s="5">
        <v>700</v>
      </c>
      <c r="O102" s="7">
        <v>0.18</v>
      </c>
      <c r="P102" s="5">
        <f t="shared" si="15"/>
        <v>826</v>
      </c>
      <c r="Q102" s="5">
        <v>300</v>
      </c>
      <c r="R102" s="8">
        <f t="shared" si="16"/>
        <v>61701.980800000005</v>
      </c>
      <c r="S102" s="9">
        <f t="shared" si="17"/>
        <v>61699</v>
      </c>
      <c r="T102" s="8">
        <f t="shared" si="18"/>
        <v>-2.9808000000048196</v>
      </c>
      <c r="U102" s="8">
        <f t="shared" si="19"/>
        <v>13087.806399999994</v>
      </c>
      <c r="V102" s="8">
        <f t="shared" si="20"/>
        <v>10224.848749999996</v>
      </c>
      <c r="W102" s="10">
        <f t="shared" si="21"/>
        <v>0.2709062936503393</v>
      </c>
    </row>
    <row r="103" spans="1:23" x14ac:dyDescent="0.3">
      <c r="A103" s="5" t="s">
        <v>27</v>
      </c>
      <c r="B103" s="5" t="s">
        <v>178</v>
      </c>
      <c r="C103" s="5"/>
      <c r="D103" s="5" t="s">
        <v>204</v>
      </c>
      <c r="E103" s="5" t="s">
        <v>205</v>
      </c>
      <c r="F103" s="5">
        <v>1</v>
      </c>
      <c r="G103" s="6">
        <v>3155.18</v>
      </c>
      <c r="H103" s="5">
        <f t="shared" si="12"/>
        <v>3155.18</v>
      </c>
      <c r="I103" s="7">
        <v>0.28000000000000003</v>
      </c>
      <c r="J103" s="5">
        <f t="shared" si="13"/>
        <v>4038.6304</v>
      </c>
      <c r="K103" s="5">
        <v>3975.78</v>
      </c>
      <c r="L103" s="5">
        <f t="shared" si="14"/>
        <v>3975.78</v>
      </c>
      <c r="M103" s="5">
        <f t="shared" si="22"/>
        <v>5088.9984000000004</v>
      </c>
      <c r="N103" s="5">
        <v>750</v>
      </c>
      <c r="O103" s="7">
        <v>0.18</v>
      </c>
      <c r="P103" s="5">
        <f t="shared" si="15"/>
        <v>885</v>
      </c>
      <c r="Q103" s="5">
        <v>75</v>
      </c>
      <c r="R103" s="8">
        <f t="shared" si="16"/>
        <v>5973.9984000000004</v>
      </c>
      <c r="S103" s="9">
        <f t="shared" si="17"/>
        <v>5949</v>
      </c>
      <c r="T103" s="8">
        <f t="shared" si="18"/>
        <v>-24.998400000000402</v>
      </c>
      <c r="U103" s="8">
        <f t="shared" si="19"/>
        <v>1835.3696</v>
      </c>
      <c r="V103" s="8">
        <f t="shared" si="20"/>
        <v>1433.8824999999999</v>
      </c>
      <c r="W103" s="10">
        <f t="shared" si="21"/>
        <v>0.45445347016651982</v>
      </c>
    </row>
    <row r="104" spans="1:23" x14ac:dyDescent="0.3">
      <c r="A104" s="5" t="s">
        <v>27</v>
      </c>
      <c r="B104" s="5" t="s">
        <v>178</v>
      </c>
      <c r="C104" s="5"/>
      <c r="D104" s="5" t="s">
        <v>206</v>
      </c>
      <c r="E104" s="5" t="s">
        <v>207</v>
      </c>
      <c r="F104" s="5">
        <v>1</v>
      </c>
      <c r="G104" s="6">
        <v>5799.48</v>
      </c>
      <c r="H104" s="5">
        <f t="shared" si="12"/>
        <v>5799.48</v>
      </c>
      <c r="I104" s="7">
        <v>0.28000000000000003</v>
      </c>
      <c r="J104" s="5">
        <f t="shared" si="13"/>
        <v>7423.3343999999997</v>
      </c>
      <c r="K104" s="5">
        <v>7307.81</v>
      </c>
      <c r="L104" s="5">
        <f t="shared" si="14"/>
        <v>7307.81</v>
      </c>
      <c r="M104" s="5">
        <f t="shared" si="22"/>
        <v>9353.9968000000008</v>
      </c>
      <c r="N104" s="5">
        <v>1500</v>
      </c>
      <c r="O104" s="7">
        <v>0.18</v>
      </c>
      <c r="P104" s="5">
        <f t="shared" si="15"/>
        <v>1770</v>
      </c>
      <c r="Q104" s="5">
        <v>150</v>
      </c>
      <c r="R104" s="8">
        <f t="shared" si="16"/>
        <v>11123.996800000001</v>
      </c>
      <c r="S104" s="9">
        <f t="shared" si="17"/>
        <v>11099</v>
      </c>
      <c r="T104" s="8">
        <f t="shared" si="18"/>
        <v>-24.996800000000803</v>
      </c>
      <c r="U104" s="8">
        <f t="shared" si="19"/>
        <v>3525.6656000000003</v>
      </c>
      <c r="V104" s="8">
        <f t="shared" si="20"/>
        <v>2754.42625</v>
      </c>
      <c r="W104" s="10">
        <f t="shared" si="21"/>
        <v>0.47494365874181826</v>
      </c>
    </row>
    <row r="105" spans="1:23" x14ac:dyDescent="0.3">
      <c r="A105" s="5" t="s">
        <v>27</v>
      </c>
      <c r="B105" s="5" t="s">
        <v>49</v>
      </c>
      <c r="C105" s="5"/>
      <c r="D105" s="5" t="s">
        <v>83</v>
      </c>
      <c r="E105" s="5" t="s">
        <v>208</v>
      </c>
      <c r="F105" s="5">
        <v>1</v>
      </c>
      <c r="G105" s="6">
        <v>7190.33</v>
      </c>
      <c r="H105" s="5">
        <f t="shared" si="12"/>
        <v>7190.33</v>
      </c>
      <c r="I105" s="7">
        <v>0.28000000000000003</v>
      </c>
      <c r="J105" s="5">
        <f t="shared" si="13"/>
        <v>9203.6224000000002</v>
      </c>
      <c r="K105" s="5">
        <v>9521.09</v>
      </c>
      <c r="L105" s="5">
        <f t="shared" si="14"/>
        <v>9521.09</v>
      </c>
      <c r="M105" s="5">
        <f t="shared" si="22"/>
        <v>12186.995200000001</v>
      </c>
      <c r="N105" s="5">
        <v>1500</v>
      </c>
      <c r="O105" s="7">
        <v>0.18</v>
      </c>
      <c r="P105" s="5">
        <f t="shared" si="15"/>
        <v>1770</v>
      </c>
      <c r="Q105" s="5">
        <v>150</v>
      </c>
      <c r="R105" s="8">
        <f t="shared" si="16"/>
        <v>13956.995200000001</v>
      </c>
      <c r="S105" s="9">
        <f t="shared" si="17"/>
        <v>13949</v>
      </c>
      <c r="T105" s="8">
        <f t="shared" si="18"/>
        <v>-7.9952000000012049</v>
      </c>
      <c r="U105" s="8">
        <f t="shared" si="19"/>
        <v>4595.3775999999998</v>
      </c>
      <c r="V105" s="8">
        <f t="shared" si="20"/>
        <v>3590.1387499999996</v>
      </c>
      <c r="W105" s="10">
        <f t="shared" si="21"/>
        <v>0.49930097088728886</v>
      </c>
    </row>
    <row r="106" spans="1:23" x14ac:dyDescent="0.3">
      <c r="A106" s="5" t="s">
        <v>27</v>
      </c>
      <c r="B106" s="5" t="s">
        <v>49</v>
      </c>
      <c r="C106" s="5"/>
      <c r="D106" s="5" t="s">
        <v>209</v>
      </c>
      <c r="E106" s="5" t="s">
        <v>210</v>
      </c>
      <c r="F106" s="5">
        <v>1</v>
      </c>
      <c r="G106" s="6">
        <v>8467.9599999999991</v>
      </c>
      <c r="H106" s="5">
        <f t="shared" si="12"/>
        <v>8467.9599999999991</v>
      </c>
      <c r="I106" s="7">
        <v>0.28000000000000003</v>
      </c>
      <c r="J106" s="5">
        <f t="shared" si="13"/>
        <v>10838.988799999999</v>
      </c>
      <c r="K106" s="5">
        <v>10670.31</v>
      </c>
      <c r="L106" s="5">
        <f t="shared" si="14"/>
        <v>10670.31</v>
      </c>
      <c r="M106" s="5">
        <f t="shared" si="22"/>
        <v>13657.996799999999</v>
      </c>
      <c r="N106" s="5">
        <v>1500</v>
      </c>
      <c r="O106" s="7">
        <v>0.18</v>
      </c>
      <c r="P106" s="5">
        <f t="shared" si="15"/>
        <v>1770</v>
      </c>
      <c r="Q106" s="5">
        <v>150</v>
      </c>
      <c r="R106" s="8">
        <f t="shared" si="16"/>
        <v>15427.996799999999</v>
      </c>
      <c r="S106" s="9">
        <f t="shared" si="17"/>
        <v>15449</v>
      </c>
      <c r="T106" s="8">
        <f t="shared" si="18"/>
        <v>21.003200000001016</v>
      </c>
      <c r="U106" s="8">
        <f t="shared" si="19"/>
        <v>4460.0112000000008</v>
      </c>
      <c r="V106" s="8">
        <f t="shared" si="20"/>
        <v>3484.3837500000004</v>
      </c>
      <c r="W106" s="10">
        <f t="shared" si="21"/>
        <v>0.41147853201951839</v>
      </c>
    </row>
    <row r="107" spans="1:23" x14ac:dyDescent="0.3">
      <c r="A107" s="5" t="s">
        <v>27</v>
      </c>
      <c r="B107" s="5" t="s">
        <v>49</v>
      </c>
      <c r="C107" s="5"/>
      <c r="D107" s="5" t="s">
        <v>211</v>
      </c>
      <c r="E107" s="5" t="s">
        <v>208</v>
      </c>
      <c r="F107" s="5">
        <v>1</v>
      </c>
      <c r="G107" s="6">
        <v>7190.33</v>
      </c>
      <c r="H107" s="5">
        <f t="shared" si="12"/>
        <v>7190.33</v>
      </c>
      <c r="I107" s="7">
        <v>0.28000000000000003</v>
      </c>
      <c r="J107" s="5">
        <f t="shared" si="13"/>
        <v>9203.6224000000002</v>
      </c>
      <c r="K107" s="5">
        <v>9521.09</v>
      </c>
      <c r="L107" s="5">
        <f t="shared" si="14"/>
        <v>9521.09</v>
      </c>
      <c r="M107" s="5">
        <f t="shared" si="22"/>
        <v>12186.995200000001</v>
      </c>
      <c r="N107" s="5">
        <v>3000</v>
      </c>
      <c r="O107" s="7">
        <v>0.18</v>
      </c>
      <c r="P107" s="5">
        <f t="shared" si="15"/>
        <v>3540</v>
      </c>
      <c r="Q107" s="5">
        <v>1800</v>
      </c>
      <c r="R107" s="8">
        <f t="shared" si="16"/>
        <v>15726.995200000001</v>
      </c>
      <c r="S107" s="9">
        <f t="shared" si="17"/>
        <v>15749</v>
      </c>
      <c r="T107" s="8">
        <f t="shared" si="18"/>
        <v>22.004799999998795</v>
      </c>
      <c r="U107" s="8">
        <f t="shared" si="19"/>
        <v>4745.3775999999998</v>
      </c>
      <c r="V107" s="8">
        <f t="shared" si="20"/>
        <v>3707.3262499999996</v>
      </c>
      <c r="W107" s="10">
        <f t="shared" si="21"/>
        <v>0.51559890158031685</v>
      </c>
    </row>
    <row r="108" spans="1:23" x14ac:dyDescent="0.3">
      <c r="A108" s="5" t="s">
        <v>27</v>
      </c>
      <c r="B108" s="5" t="s">
        <v>49</v>
      </c>
      <c r="C108" s="5"/>
      <c r="D108" s="5" t="s">
        <v>212</v>
      </c>
      <c r="E108" s="5" t="s">
        <v>210</v>
      </c>
      <c r="F108" s="5">
        <v>1</v>
      </c>
      <c r="G108" s="6">
        <v>8467.9599999999991</v>
      </c>
      <c r="H108" s="5">
        <f t="shared" si="12"/>
        <v>8467.9599999999991</v>
      </c>
      <c r="I108" s="7">
        <v>0.28000000000000003</v>
      </c>
      <c r="J108" s="5">
        <f t="shared" si="13"/>
        <v>10838.988799999999</v>
      </c>
      <c r="K108" s="5">
        <v>10670.31</v>
      </c>
      <c r="L108" s="5">
        <f t="shared" si="14"/>
        <v>10670.31</v>
      </c>
      <c r="M108" s="5">
        <f t="shared" si="22"/>
        <v>13657.996799999999</v>
      </c>
      <c r="N108" s="5">
        <v>3000</v>
      </c>
      <c r="O108" s="7">
        <v>0.18</v>
      </c>
      <c r="P108" s="5">
        <f t="shared" si="15"/>
        <v>3540</v>
      </c>
      <c r="Q108" s="5">
        <v>1800</v>
      </c>
      <c r="R108" s="8">
        <f t="shared" si="16"/>
        <v>17197.996800000001</v>
      </c>
      <c r="S108" s="9">
        <f t="shared" si="17"/>
        <v>17199</v>
      </c>
      <c r="T108" s="8">
        <f t="shared" si="18"/>
        <v>1.0031999999991967</v>
      </c>
      <c r="U108" s="8">
        <f t="shared" si="19"/>
        <v>4560.0112000000008</v>
      </c>
      <c r="V108" s="8">
        <f t="shared" si="20"/>
        <v>3562.5087500000004</v>
      </c>
      <c r="W108" s="10">
        <f t="shared" si="21"/>
        <v>0.42070448490545548</v>
      </c>
    </row>
    <row r="109" spans="1:23" x14ac:dyDescent="0.3">
      <c r="A109" s="5" t="s">
        <v>27</v>
      </c>
      <c r="B109" s="5" t="s">
        <v>49</v>
      </c>
      <c r="C109" s="5"/>
      <c r="D109" s="5" t="s">
        <v>86</v>
      </c>
      <c r="E109" s="5" t="s">
        <v>213</v>
      </c>
      <c r="F109" s="5">
        <v>1</v>
      </c>
      <c r="G109" s="6">
        <v>1640.16</v>
      </c>
      <c r="H109" s="5">
        <f t="shared" si="12"/>
        <v>1640.16</v>
      </c>
      <c r="I109" s="7">
        <v>0.28000000000000003</v>
      </c>
      <c r="J109" s="5">
        <f t="shared" si="13"/>
        <v>2099.4048000000003</v>
      </c>
      <c r="K109" s="5">
        <v>1884.38</v>
      </c>
      <c r="L109" s="5">
        <f t="shared" si="14"/>
        <v>1884.38</v>
      </c>
      <c r="M109" s="5">
        <f t="shared" si="22"/>
        <v>2412.0064000000002</v>
      </c>
      <c r="N109" s="5">
        <v>0</v>
      </c>
      <c r="O109" s="7">
        <v>0.18</v>
      </c>
      <c r="P109" s="5">
        <f t="shared" si="15"/>
        <v>0</v>
      </c>
      <c r="Q109" s="5">
        <v>0</v>
      </c>
      <c r="R109" s="8">
        <f t="shared" si="16"/>
        <v>2412.0064000000002</v>
      </c>
      <c r="S109" s="9">
        <f t="shared" si="17"/>
        <v>2399</v>
      </c>
      <c r="T109" s="8">
        <f t="shared" si="18"/>
        <v>-13.006400000000212</v>
      </c>
      <c r="U109" s="8">
        <f t="shared" si="19"/>
        <v>299.59519999999975</v>
      </c>
      <c r="V109" s="8">
        <f t="shared" si="20"/>
        <v>234.0587499999998</v>
      </c>
      <c r="W109" s="10">
        <f t="shared" si="21"/>
        <v>0.14270482757779715</v>
      </c>
    </row>
    <row r="110" spans="1:23" x14ac:dyDescent="0.3">
      <c r="A110" s="5" t="s">
        <v>27</v>
      </c>
      <c r="B110" s="5" t="s">
        <v>49</v>
      </c>
      <c r="C110" s="5"/>
      <c r="D110" s="5" t="s">
        <v>88</v>
      </c>
      <c r="E110" s="5" t="s">
        <v>214</v>
      </c>
      <c r="F110" s="5">
        <v>1</v>
      </c>
      <c r="G110" s="6">
        <v>4030</v>
      </c>
      <c r="H110" s="5">
        <f t="shared" si="12"/>
        <v>4030</v>
      </c>
      <c r="I110" s="7">
        <v>0.28000000000000003</v>
      </c>
      <c r="J110" s="5">
        <f t="shared" si="13"/>
        <v>5158.4000000000005</v>
      </c>
      <c r="K110" s="5">
        <v>5078.13</v>
      </c>
      <c r="L110" s="5">
        <f t="shared" si="14"/>
        <v>5078.13</v>
      </c>
      <c r="M110" s="5">
        <f t="shared" si="22"/>
        <v>6500.0064000000002</v>
      </c>
      <c r="N110" s="5">
        <v>0</v>
      </c>
      <c r="O110" s="7">
        <v>0.18</v>
      </c>
      <c r="P110" s="5">
        <f t="shared" si="15"/>
        <v>0</v>
      </c>
      <c r="Q110" s="5">
        <v>10</v>
      </c>
      <c r="R110" s="8">
        <f t="shared" si="16"/>
        <v>6500.0064000000002</v>
      </c>
      <c r="S110" s="9">
        <f t="shared" si="17"/>
        <v>6499</v>
      </c>
      <c r="T110" s="8">
        <f t="shared" si="18"/>
        <v>-1.0064000000002125</v>
      </c>
      <c r="U110" s="8">
        <f t="shared" si="19"/>
        <v>1330.5999999999995</v>
      </c>
      <c r="V110" s="8">
        <f t="shared" si="20"/>
        <v>1039.5312499999995</v>
      </c>
      <c r="W110" s="10">
        <f t="shared" si="21"/>
        <v>0.25794820099255572</v>
      </c>
    </row>
    <row r="111" spans="1:23" x14ac:dyDescent="0.3">
      <c r="A111" s="5" t="s">
        <v>27</v>
      </c>
      <c r="B111" s="5" t="s">
        <v>49</v>
      </c>
      <c r="C111" s="5"/>
      <c r="D111" s="5" t="s">
        <v>155</v>
      </c>
      <c r="E111" s="5" t="s">
        <v>215</v>
      </c>
      <c r="F111" s="5">
        <v>1</v>
      </c>
      <c r="G111" s="6">
        <v>6199.38</v>
      </c>
      <c r="H111" s="5">
        <f t="shared" si="12"/>
        <v>6199.38</v>
      </c>
      <c r="I111" s="7">
        <v>0.28000000000000003</v>
      </c>
      <c r="J111" s="5">
        <f t="shared" si="13"/>
        <v>7935.2064</v>
      </c>
      <c r="K111" s="5">
        <v>7811.72</v>
      </c>
      <c r="L111" s="5">
        <f t="shared" si="14"/>
        <v>7811.72</v>
      </c>
      <c r="M111" s="5">
        <f t="shared" si="22"/>
        <v>9999.0016000000014</v>
      </c>
      <c r="N111" s="5">
        <v>0</v>
      </c>
      <c r="O111" s="7">
        <v>0.18</v>
      </c>
      <c r="P111" s="5">
        <f t="shared" si="15"/>
        <v>0</v>
      </c>
      <c r="Q111" s="5">
        <v>0</v>
      </c>
      <c r="R111" s="8">
        <f t="shared" si="16"/>
        <v>9999.0016000000014</v>
      </c>
      <c r="S111" s="9">
        <f t="shared" si="17"/>
        <v>9999</v>
      </c>
      <c r="T111" s="8">
        <f t="shared" si="18"/>
        <v>-1.6000000014173565E-3</v>
      </c>
      <c r="U111" s="8">
        <f t="shared" si="19"/>
        <v>2063.7936</v>
      </c>
      <c r="V111" s="8">
        <f t="shared" si="20"/>
        <v>1612.3387499999999</v>
      </c>
      <c r="W111" s="10">
        <f t="shared" si="21"/>
        <v>0.26008064516129031</v>
      </c>
    </row>
    <row r="112" spans="1:23" x14ac:dyDescent="0.3">
      <c r="A112" s="5" t="s">
        <v>27</v>
      </c>
      <c r="B112" s="5" t="s">
        <v>49</v>
      </c>
      <c r="C112" s="5"/>
      <c r="D112" s="5" t="s">
        <v>79</v>
      </c>
      <c r="E112" s="5" t="s">
        <v>216</v>
      </c>
      <c r="F112" s="5">
        <v>1</v>
      </c>
      <c r="G112" s="6">
        <v>2338.7600000000002</v>
      </c>
      <c r="H112" s="5">
        <f t="shared" si="12"/>
        <v>2338.7600000000002</v>
      </c>
      <c r="I112" s="7">
        <v>0.28000000000000003</v>
      </c>
      <c r="J112" s="5">
        <f t="shared" si="13"/>
        <v>2993.6128000000003</v>
      </c>
      <c r="K112" s="5">
        <v>3096.88</v>
      </c>
      <c r="L112" s="5">
        <f t="shared" si="14"/>
        <v>3096.88</v>
      </c>
      <c r="M112" s="5">
        <f t="shared" si="22"/>
        <v>3964.0064000000002</v>
      </c>
      <c r="N112" s="5">
        <v>100</v>
      </c>
      <c r="O112" s="7">
        <v>0.18</v>
      </c>
      <c r="P112" s="5">
        <f t="shared" si="15"/>
        <v>118</v>
      </c>
      <c r="Q112" s="5">
        <v>10</v>
      </c>
      <c r="R112" s="8">
        <f t="shared" si="16"/>
        <v>4082.0064000000002</v>
      </c>
      <c r="S112" s="9">
        <f t="shared" si="17"/>
        <v>4099</v>
      </c>
      <c r="T112" s="8">
        <f t="shared" si="18"/>
        <v>16.993599999999788</v>
      </c>
      <c r="U112" s="8">
        <f t="shared" si="19"/>
        <v>1095.3871999999997</v>
      </c>
      <c r="V112" s="8">
        <f t="shared" si="20"/>
        <v>855.77124999999967</v>
      </c>
      <c r="W112" s="10">
        <f t="shared" si="21"/>
        <v>0.36590810942550733</v>
      </c>
    </row>
    <row r="113" spans="1:23" x14ac:dyDescent="0.3">
      <c r="A113" s="5" t="s">
        <v>27</v>
      </c>
      <c r="B113" s="5" t="s">
        <v>49</v>
      </c>
      <c r="C113" s="5"/>
      <c r="D113" s="5" t="s">
        <v>96</v>
      </c>
      <c r="E113" s="5" t="s">
        <v>217</v>
      </c>
      <c r="F113" s="5">
        <v>1</v>
      </c>
      <c r="G113" s="6">
        <v>10027.049999999999</v>
      </c>
      <c r="H113" s="5">
        <f t="shared" si="12"/>
        <v>10027.049999999999</v>
      </c>
      <c r="I113" s="7">
        <v>0.28000000000000003</v>
      </c>
      <c r="J113" s="5">
        <f t="shared" si="13"/>
        <v>12834.624</v>
      </c>
      <c r="K113" s="5">
        <v>13277.34</v>
      </c>
      <c r="L113" s="5">
        <f t="shared" si="14"/>
        <v>13277.34</v>
      </c>
      <c r="M113" s="5">
        <f t="shared" si="22"/>
        <v>16994.995200000001</v>
      </c>
      <c r="N113" s="5">
        <v>900</v>
      </c>
      <c r="O113" s="7">
        <v>0.18</v>
      </c>
      <c r="P113" s="5">
        <f t="shared" si="15"/>
        <v>1062</v>
      </c>
      <c r="Q113" s="5">
        <v>100</v>
      </c>
      <c r="R113" s="8">
        <f t="shared" si="16"/>
        <v>18056.995200000001</v>
      </c>
      <c r="S113" s="9">
        <f t="shared" si="17"/>
        <v>18049</v>
      </c>
      <c r="T113" s="8">
        <f t="shared" si="18"/>
        <v>-7.9952000000012049</v>
      </c>
      <c r="U113" s="8">
        <f t="shared" si="19"/>
        <v>5114.3760000000002</v>
      </c>
      <c r="V113" s="8">
        <f t="shared" si="20"/>
        <v>3995.6062500000003</v>
      </c>
      <c r="W113" s="10">
        <f t="shared" si="21"/>
        <v>0.3984827292174668</v>
      </c>
    </row>
    <row r="114" spans="1:23" x14ac:dyDescent="0.3">
      <c r="A114" s="5" t="s">
        <v>27</v>
      </c>
      <c r="B114" s="5" t="s">
        <v>49</v>
      </c>
      <c r="C114" s="5"/>
      <c r="D114" s="5" t="s">
        <v>218</v>
      </c>
      <c r="E114" s="5" t="s">
        <v>219</v>
      </c>
      <c r="F114" s="5">
        <v>1</v>
      </c>
      <c r="G114" s="6">
        <v>927.48</v>
      </c>
      <c r="H114" s="5">
        <f t="shared" si="12"/>
        <v>927.48</v>
      </c>
      <c r="I114" s="7">
        <v>0.28000000000000003</v>
      </c>
      <c r="J114" s="5">
        <f t="shared" si="13"/>
        <v>1187.1744000000001</v>
      </c>
      <c r="K114" s="5">
        <v>1228.1300000000001</v>
      </c>
      <c r="L114" s="5">
        <f t="shared" si="14"/>
        <v>1228.1300000000001</v>
      </c>
      <c r="M114" s="5">
        <f t="shared" si="22"/>
        <v>1572.0064000000002</v>
      </c>
      <c r="N114" s="5">
        <v>300</v>
      </c>
      <c r="O114" s="7">
        <v>0.18</v>
      </c>
      <c r="P114" s="5">
        <f t="shared" si="15"/>
        <v>354</v>
      </c>
      <c r="Q114" s="5">
        <v>50</v>
      </c>
      <c r="R114" s="8">
        <f t="shared" si="16"/>
        <v>1926.0064000000002</v>
      </c>
      <c r="S114" s="9">
        <f t="shared" si="17"/>
        <v>1949</v>
      </c>
      <c r="T114" s="8">
        <f t="shared" si="18"/>
        <v>22.993599999999788</v>
      </c>
      <c r="U114" s="8">
        <f t="shared" si="19"/>
        <v>711.82559999999989</v>
      </c>
      <c r="V114" s="8">
        <f t="shared" si="20"/>
        <v>556.11374999999987</v>
      </c>
      <c r="W114" s="10">
        <f t="shared" si="21"/>
        <v>0.59959648725578973</v>
      </c>
    </row>
    <row r="115" spans="1:23" x14ac:dyDescent="0.3">
      <c r="A115" s="5" t="s">
        <v>27</v>
      </c>
      <c r="B115" s="5" t="s">
        <v>49</v>
      </c>
      <c r="C115" s="5"/>
      <c r="D115" s="5" t="s">
        <v>218</v>
      </c>
      <c r="E115" s="5" t="s">
        <v>220</v>
      </c>
      <c r="F115" s="5">
        <v>1</v>
      </c>
      <c r="G115" s="6">
        <v>1023.62</v>
      </c>
      <c r="H115" s="5">
        <f t="shared" si="12"/>
        <v>1023.62</v>
      </c>
      <c r="I115" s="7">
        <v>0.28000000000000003</v>
      </c>
      <c r="J115" s="5">
        <f t="shared" si="13"/>
        <v>1310.2336</v>
      </c>
      <c r="K115" s="5">
        <v>1289.8399999999999</v>
      </c>
      <c r="L115" s="5">
        <f t="shared" si="14"/>
        <v>1289.8399999999999</v>
      </c>
      <c r="M115" s="5">
        <f t="shared" si="22"/>
        <v>1650.9951999999998</v>
      </c>
      <c r="N115" s="5">
        <v>300</v>
      </c>
      <c r="O115" s="7">
        <v>0.18</v>
      </c>
      <c r="P115" s="5">
        <f t="shared" si="15"/>
        <v>354</v>
      </c>
      <c r="Q115" s="5">
        <v>0</v>
      </c>
      <c r="R115" s="8">
        <f t="shared" si="16"/>
        <v>2004.9951999999998</v>
      </c>
      <c r="S115" s="9">
        <f t="shared" si="17"/>
        <v>1999</v>
      </c>
      <c r="T115" s="8">
        <f t="shared" si="18"/>
        <v>-5.9951999999998407</v>
      </c>
      <c r="U115" s="8">
        <f t="shared" si="19"/>
        <v>688.76639999999998</v>
      </c>
      <c r="V115" s="8">
        <f t="shared" si="20"/>
        <v>538.09875</v>
      </c>
      <c r="W115" s="10">
        <f t="shared" si="21"/>
        <v>0.52568213790273732</v>
      </c>
    </row>
    <row r="116" spans="1:23" x14ac:dyDescent="0.3">
      <c r="A116" s="5" t="s">
        <v>27</v>
      </c>
      <c r="B116" s="5" t="s">
        <v>49</v>
      </c>
      <c r="C116" s="5"/>
      <c r="D116" s="5" t="s">
        <v>221</v>
      </c>
      <c r="E116" s="5" t="s">
        <v>222</v>
      </c>
      <c r="F116" s="5">
        <v>1</v>
      </c>
      <c r="G116" s="6">
        <v>2465.02</v>
      </c>
      <c r="H116" s="5">
        <f t="shared" si="12"/>
        <v>2465.02</v>
      </c>
      <c r="I116" s="7">
        <v>0.28000000000000003</v>
      </c>
      <c r="J116" s="5">
        <f t="shared" si="13"/>
        <v>3155.2256000000002</v>
      </c>
      <c r="K116" s="5">
        <v>3264.06</v>
      </c>
      <c r="L116" s="5">
        <f t="shared" si="14"/>
        <v>3264.06</v>
      </c>
      <c r="M116" s="5">
        <f t="shared" si="22"/>
        <v>4177.9967999999999</v>
      </c>
      <c r="N116" s="5">
        <v>300</v>
      </c>
      <c r="O116" s="7">
        <v>0.18</v>
      </c>
      <c r="P116" s="5">
        <f t="shared" si="15"/>
        <v>354</v>
      </c>
      <c r="Q116" s="5">
        <v>50</v>
      </c>
      <c r="R116" s="8">
        <f t="shared" si="16"/>
        <v>4531.9967999999999</v>
      </c>
      <c r="S116" s="9">
        <f t="shared" si="17"/>
        <v>4549</v>
      </c>
      <c r="T116" s="8">
        <f t="shared" si="18"/>
        <v>17.003200000000106</v>
      </c>
      <c r="U116" s="8">
        <f t="shared" si="19"/>
        <v>1343.7743999999998</v>
      </c>
      <c r="V116" s="8">
        <f t="shared" si="20"/>
        <v>1049.8237499999998</v>
      </c>
      <c r="W116" s="10">
        <f t="shared" si="21"/>
        <v>0.42588853234456509</v>
      </c>
    </row>
    <row r="117" spans="1:23" x14ac:dyDescent="0.3">
      <c r="A117" s="5" t="s">
        <v>27</v>
      </c>
      <c r="B117" s="5" t="s">
        <v>49</v>
      </c>
      <c r="C117" s="5"/>
      <c r="D117" s="5" t="s">
        <v>221</v>
      </c>
      <c r="E117" s="5" t="s">
        <v>223</v>
      </c>
      <c r="F117" s="5">
        <v>1</v>
      </c>
      <c r="G117" s="6">
        <v>1390.63</v>
      </c>
      <c r="H117" s="5">
        <f t="shared" si="12"/>
        <v>1390.63</v>
      </c>
      <c r="I117" s="7">
        <v>0.28000000000000003</v>
      </c>
      <c r="J117" s="5">
        <f t="shared" si="13"/>
        <v>1780.0064000000002</v>
      </c>
      <c r="K117" s="5">
        <v>1841.41</v>
      </c>
      <c r="L117" s="5">
        <f t="shared" si="14"/>
        <v>1841.41</v>
      </c>
      <c r="M117" s="5">
        <f t="shared" si="22"/>
        <v>2357.0048000000002</v>
      </c>
      <c r="N117" s="5">
        <v>300</v>
      </c>
      <c r="O117" s="7">
        <v>0.18</v>
      </c>
      <c r="P117" s="5">
        <f t="shared" si="15"/>
        <v>354</v>
      </c>
      <c r="Q117" s="5">
        <v>0</v>
      </c>
      <c r="R117" s="8">
        <f t="shared" si="16"/>
        <v>2711.0048000000002</v>
      </c>
      <c r="S117" s="9">
        <f t="shared" si="17"/>
        <v>2699</v>
      </c>
      <c r="T117" s="8">
        <f t="shared" si="18"/>
        <v>-12.004800000000159</v>
      </c>
      <c r="U117" s="8">
        <f t="shared" si="19"/>
        <v>918.99359999999979</v>
      </c>
      <c r="V117" s="8">
        <f t="shared" si="20"/>
        <v>717.96374999999978</v>
      </c>
      <c r="W117" s="10">
        <f t="shared" si="21"/>
        <v>0.51628668301417324</v>
      </c>
    </row>
    <row r="118" spans="1:23" x14ac:dyDescent="0.3">
      <c r="A118" s="5" t="s">
        <v>27</v>
      </c>
      <c r="B118" s="5" t="s">
        <v>49</v>
      </c>
      <c r="C118" s="5"/>
      <c r="D118" s="5" t="s">
        <v>194</v>
      </c>
      <c r="E118" s="5" t="s">
        <v>224</v>
      </c>
      <c r="F118" s="5">
        <v>1</v>
      </c>
      <c r="G118" s="6">
        <v>1896.26</v>
      </c>
      <c r="H118" s="5">
        <f t="shared" si="12"/>
        <v>1896.26</v>
      </c>
      <c r="I118" s="7">
        <v>0.28000000000000003</v>
      </c>
      <c r="J118" s="5">
        <f t="shared" si="13"/>
        <v>2427.2128000000002</v>
      </c>
      <c r="K118" s="5">
        <v>2510.94</v>
      </c>
      <c r="L118" s="5">
        <f t="shared" si="14"/>
        <v>2510.94</v>
      </c>
      <c r="M118" s="5">
        <f t="shared" si="22"/>
        <v>3214.0032000000001</v>
      </c>
      <c r="N118" s="5">
        <v>600</v>
      </c>
      <c r="O118" s="7">
        <v>0.18</v>
      </c>
      <c r="P118" s="5">
        <f t="shared" si="15"/>
        <v>708</v>
      </c>
      <c r="Q118" s="5">
        <v>150</v>
      </c>
      <c r="R118" s="8">
        <f t="shared" si="16"/>
        <v>3922.0032000000001</v>
      </c>
      <c r="S118" s="9">
        <f t="shared" si="17"/>
        <v>3899</v>
      </c>
      <c r="T118" s="8">
        <f t="shared" si="18"/>
        <v>-23.003200000000106</v>
      </c>
      <c r="U118" s="8">
        <f t="shared" si="19"/>
        <v>1321.7871999999998</v>
      </c>
      <c r="V118" s="8">
        <f t="shared" si="20"/>
        <v>1032.6462499999998</v>
      </c>
      <c r="W118" s="10">
        <f t="shared" si="21"/>
        <v>0.54456996930800616</v>
      </c>
    </row>
    <row r="119" spans="1:23" x14ac:dyDescent="0.3">
      <c r="A119" s="5" t="s">
        <v>27</v>
      </c>
      <c r="B119" s="5" t="s">
        <v>49</v>
      </c>
      <c r="C119" s="5"/>
      <c r="D119" s="5" t="s">
        <v>225</v>
      </c>
      <c r="E119" s="5" t="s">
        <v>226</v>
      </c>
      <c r="F119" s="5">
        <v>1</v>
      </c>
      <c r="G119" s="6">
        <v>1776.49</v>
      </c>
      <c r="H119" s="5">
        <f t="shared" si="12"/>
        <v>1776.49</v>
      </c>
      <c r="I119" s="7">
        <v>0.28000000000000003</v>
      </c>
      <c r="J119" s="5">
        <f t="shared" si="13"/>
        <v>2273.9072000000001</v>
      </c>
      <c r="K119" s="5">
        <v>2352.34</v>
      </c>
      <c r="L119" s="5">
        <f t="shared" si="14"/>
        <v>2352.34</v>
      </c>
      <c r="M119" s="5">
        <f t="shared" si="22"/>
        <v>3010.9952000000003</v>
      </c>
      <c r="N119" s="5">
        <v>300</v>
      </c>
      <c r="O119" s="7">
        <v>0.18</v>
      </c>
      <c r="P119" s="5">
        <f t="shared" si="15"/>
        <v>354</v>
      </c>
      <c r="Q119" s="5">
        <v>75</v>
      </c>
      <c r="R119" s="8">
        <f t="shared" si="16"/>
        <v>3364.9952000000003</v>
      </c>
      <c r="S119" s="9">
        <f t="shared" si="17"/>
        <v>3349</v>
      </c>
      <c r="T119" s="8">
        <f t="shared" si="18"/>
        <v>-15.995200000000295</v>
      </c>
      <c r="U119" s="8">
        <f t="shared" si="19"/>
        <v>1000.0927999999999</v>
      </c>
      <c r="V119" s="8">
        <f t="shared" si="20"/>
        <v>781.32249999999988</v>
      </c>
      <c r="W119" s="10">
        <f t="shared" si="21"/>
        <v>0.43981249542637441</v>
      </c>
    </row>
    <row r="120" spans="1:23" x14ac:dyDescent="0.3">
      <c r="A120" s="5" t="s">
        <v>27</v>
      </c>
      <c r="B120" s="5" t="s">
        <v>49</v>
      </c>
      <c r="C120" s="5"/>
      <c r="D120" s="5" t="s">
        <v>225</v>
      </c>
      <c r="E120" s="5" t="s">
        <v>227</v>
      </c>
      <c r="F120" s="5">
        <v>1</v>
      </c>
      <c r="G120" s="6">
        <v>1163.48</v>
      </c>
      <c r="H120" s="5">
        <f t="shared" si="12"/>
        <v>1163.48</v>
      </c>
      <c r="I120" s="7">
        <v>0.28000000000000003</v>
      </c>
      <c r="J120" s="5">
        <f t="shared" si="13"/>
        <v>1489.2544</v>
      </c>
      <c r="K120" s="5">
        <v>1540.63</v>
      </c>
      <c r="L120" s="5">
        <f t="shared" si="14"/>
        <v>1540.63</v>
      </c>
      <c r="M120" s="5">
        <f t="shared" si="22"/>
        <v>1972.0064000000002</v>
      </c>
      <c r="N120" s="5">
        <v>300</v>
      </c>
      <c r="O120" s="7">
        <v>0.18</v>
      </c>
      <c r="P120" s="5">
        <f t="shared" si="15"/>
        <v>354</v>
      </c>
      <c r="Q120" s="5">
        <v>0</v>
      </c>
      <c r="R120" s="8">
        <f t="shared" si="16"/>
        <v>2326.0064000000002</v>
      </c>
      <c r="S120" s="9">
        <f t="shared" si="17"/>
        <v>2349</v>
      </c>
      <c r="T120" s="8">
        <f t="shared" si="18"/>
        <v>22.993599999999788</v>
      </c>
      <c r="U120" s="8">
        <f t="shared" si="19"/>
        <v>859.74559999999997</v>
      </c>
      <c r="V120" s="8">
        <f t="shared" si="20"/>
        <v>671.67624999999998</v>
      </c>
      <c r="W120" s="10">
        <f t="shared" si="21"/>
        <v>0.57729935194416748</v>
      </c>
    </row>
    <row r="121" spans="1:23" x14ac:dyDescent="0.3">
      <c r="A121" s="5" t="s">
        <v>27</v>
      </c>
      <c r="B121" s="5" t="s">
        <v>49</v>
      </c>
      <c r="C121" s="5"/>
      <c r="D121" s="5" t="s">
        <v>104</v>
      </c>
      <c r="E121" s="5" t="s">
        <v>228</v>
      </c>
      <c r="F121" s="5">
        <v>1</v>
      </c>
      <c r="G121" s="6">
        <v>632.48</v>
      </c>
      <c r="H121" s="5">
        <f t="shared" si="12"/>
        <v>632.48</v>
      </c>
      <c r="I121" s="7">
        <v>0.28000000000000003</v>
      </c>
      <c r="J121" s="5">
        <f t="shared" si="13"/>
        <v>809.57440000000008</v>
      </c>
      <c r="K121" s="5">
        <v>837.5</v>
      </c>
      <c r="L121" s="5">
        <f t="shared" si="14"/>
        <v>837.5</v>
      </c>
      <c r="M121" s="5">
        <f t="shared" si="22"/>
        <v>1072</v>
      </c>
      <c r="N121" s="5">
        <v>100</v>
      </c>
      <c r="O121" s="7">
        <v>0.18</v>
      </c>
      <c r="P121" s="5">
        <f t="shared" si="15"/>
        <v>118</v>
      </c>
      <c r="Q121" s="5">
        <v>100</v>
      </c>
      <c r="R121" s="8">
        <f t="shared" si="16"/>
        <v>1190</v>
      </c>
      <c r="S121" s="9">
        <f t="shared" si="17"/>
        <v>1199</v>
      </c>
      <c r="T121" s="8">
        <f t="shared" si="18"/>
        <v>9</v>
      </c>
      <c r="U121" s="8">
        <f t="shared" si="19"/>
        <v>289.42559999999992</v>
      </c>
      <c r="V121" s="8">
        <f t="shared" si="20"/>
        <v>226.11374999999992</v>
      </c>
      <c r="W121" s="10">
        <f t="shared" si="21"/>
        <v>0.35750339931697434</v>
      </c>
    </row>
    <row r="122" spans="1:23" x14ac:dyDescent="0.3">
      <c r="A122" s="5" t="s">
        <v>27</v>
      </c>
      <c r="B122" s="5" t="s">
        <v>49</v>
      </c>
      <c r="C122" s="5"/>
      <c r="D122" s="5" t="s">
        <v>123</v>
      </c>
      <c r="E122" s="5" t="s">
        <v>229</v>
      </c>
      <c r="F122" s="5">
        <v>1</v>
      </c>
      <c r="G122" s="6">
        <f>3170.05+G123</f>
        <v>4281.0200000000004</v>
      </c>
      <c r="H122" s="5">
        <f t="shared" si="12"/>
        <v>4281.0200000000004</v>
      </c>
      <c r="I122" s="7">
        <v>0.18</v>
      </c>
      <c r="J122" s="5">
        <f t="shared" si="13"/>
        <v>5051.6036000000004</v>
      </c>
      <c r="K122" s="5">
        <f>4133.05+K123</f>
        <v>5604.14</v>
      </c>
      <c r="L122" s="5">
        <f t="shared" si="14"/>
        <v>5604.14</v>
      </c>
      <c r="M122" s="5">
        <f t="shared" si="22"/>
        <v>6612.8851999999997</v>
      </c>
      <c r="N122" s="5">
        <v>1000</v>
      </c>
      <c r="O122" s="7">
        <v>0.18</v>
      </c>
      <c r="P122" s="5">
        <f t="shared" si="15"/>
        <v>1180</v>
      </c>
      <c r="Q122" s="5">
        <v>200</v>
      </c>
      <c r="R122" s="8">
        <f t="shared" si="16"/>
        <v>7792.8851999999997</v>
      </c>
      <c r="S122" s="9">
        <f t="shared" si="17"/>
        <v>7799</v>
      </c>
      <c r="T122" s="8">
        <f t="shared" si="18"/>
        <v>6.1148000000002867</v>
      </c>
      <c r="U122" s="8">
        <f t="shared" si="19"/>
        <v>2547.3963999999996</v>
      </c>
      <c r="V122" s="8">
        <f t="shared" si="20"/>
        <v>2158.8105084745762</v>
      </c>
      <c r="W122" s="10">
        <f t="shared" si="21"/>
        <v>0.50427480097607014</v>
      </c>
    </row>
    <row r="123" spans="1:23" x14ac:dyDescent="0.3">
      <c r="A123" s="5" t="s">
        <v>27</v>
      </c>
      <c r="B123" s="5" t="s">
        <v>49</v>
      </c>
      <c r="C123" s="5"/>
      <c r="D123" s="5" t="s">
        <v>230</v>
      </c>
      <c r="E123" s="5" t="s">
        <v>231</v>
      </c>
      <c r="F123" s="5">
        <v>1</v>
      </c>
      <c r="G123" s="6">
        <v>1110.97</v>
      </c>
      <c r="H123" s="5">
        <f t="shared" si="12"/>
        <v>1110.97</v>
      </c>
      <c r="I123" s="7">
        <v>0.28000000000000003</v>
      </c>
      <c r="J123" s="5">
        <f t="shared" si="13"/>
        <v>1422.0416</v>
      </c>
      <c r="K123" s="5">
        <v>1471.09</v>
      </c>
      <c r="L123" s="5">
        <f t="shared" si="14"/>
        <v>1471.09</v>
      </c>
      <c r="M123" s="5">
        <f t="shared" si="22"/>
        <v>1882.9951999999998</v>
      </c>
      <c r="N123" s="5">
        <v>0</v>
      </c>
      <c r="O123" s="7">
        <v>0.18</v>
      </c>
      <c r="P123" s="5">
        <f t="shared" si="15"/>
        <v>0</v>
      </c>
      <c r="Q123" s="5">
        <v>0</v>
      </c>
      <c r="R123" s="8">
        <f t="shared" si="16"/>
        <v>1882.9951999999998</v>
      </c>
      <c r="S123" s="9">
        <f t="shared" si="17"/>
        <v>1899</v>
      </c>
      <c r="T123" s="8">
        <f t="shared" si="18"/>
        <v>16.004800000000159</v>
      </c>
      <c r="U123" s="8">
        <f t="shared" si="19"/>
        <v>476.95839999999998</v>
      </c>
      <c r="V123" s="8">
        <f t="shared" si="20"/>
        <v>372.62374999999997</v>
      </c>
      <c r="W123" s="10">
        <f t="shared" si="21"/>
        <v>0.33540397130435562</v>
      </c>
    </row>
    <row r="124" spans="1:23" x14ac:dyDescent="0.3">
      <c r="A124" s="5" t="s">
        <v>27</v>
      </c>
      <c r="B124" s="5" t="s">
        <v>49</v>
      </c>
      <c r="C124" s="5"/>
      <c r="D124" s="5" t="s">
        <v>232</v>
      </c>
      <c r="E124" s="5" t="s">
        <v>233</v>
      </c>
      <c r="F124" s="5">
        <v>1</v>
      </c>
      <c r="G124" s="6">
        <v>1110.97</v>
      </c>
      <c r="H124" s="5">
        <f t="shared" si="12"/>
        <v>1110.97</v>
      </c>
      <c r="I124" s="7">
        <v>0.28000000000000003</v>
      </c>
      <c r="J124" s="5">
        <f t="shared" si="13"/>
        <v>1422.0416</v>
      </c>
      <c r="K124" s="5">
        <v>1471.09</v>
      </c>
      <c r="L124" s="5">
        <f t="shared" si="14"/>
        <v>1471.09</v>
      </c>
      <c r="M124" s="5">
        <f t="shared" si="22"/>
        <v>1882.9951999999998</v>
      </c>
      <c r="N124" s="5">
        <v>0</v>
      </c>
      <c r="O124" s="7">
        <v>0.18</v>
      </c>
      <c r="P124" s="5">
        <f t="shared" si="15"/>
        <v>0</v>
      </c>
      <c r="Q124" s="5">
        <v>0</v>
      </c>
      <c r="R124" s="8">
        <f t="shared" si="16"/>
        <v>1882.9951999999998</v>
      </c>
      <c r="S124" s="9">
        <f t="shared" si="17"/>
        <v>1899</v>
      </c>
      <c r="T124" s="8">
        <f t="shared" si="18"/>
        <v>16.004800000000159</v>
      </c>
      <c r="U124" s="8">
        <f t="shared" si="19"/>
        <v>476.95839999999998</v>
      </c>
      <c r="V124" s="8">
        <f t="shared" si="20"/>
        <v>372.62374999999997</v>
      </c>
      <c r="W124" s="10">
        <f t="shared" si="21"/>
        <v>0.33540397130435562</v>
      </c>
    </row>
    <row r="125" spans="1:23" x14ac:dyDescent="0.3">
      <c r="A125" s="5" t="s">
        <v>27</v>
      </c>
      <c r="B125" s="5" t="s">
        <v>49</v>
      </c>
      <c r="C125" s="5"/>
      <c r="D125" s="5" t="s">
        <v>106</v>
      </c>
      <c r="E125" s="5" t="s">
        <v>234</v>
      </c>
      <c r="F125" s="5">
        <v>1</v>
      </c>
      <c r="G125" s="6">
        <v>3845.86</v>
      </c>
      <c r="H125" s="5">
        <f t="shared" si="12"/>
        <v>3845.86</v>
      </c>
      <c r="I125" s="7">
        <v>0.28000000000000003</v>
      </c>
      <c r="J125" s="5">
        <f t="shared" si="13"/>
        <v>4922.7008000000005</v>
      </c>
      <c r="K125" s="5">
        <v>4846.09</v>
      </c>
      <c r="L125" s="5">
        <f t="shared" si="14"/>
        <v>4846.09</v>
      </c>
      <c r="M125" s="5">
        <f t="shared" si="22"/>
        <v>6202.9952000000003</v>
      </c>
      <c r="N125" s="5">
        <v>450</v>
      </c>
      <c r="O125" s="7">
        <v>0.18</v>
      </c>
      <c r="P125" s="5">
        <f t="shared" si="15"/>
        <v>531</v>
      </c>
      <c r="Q125" s="5">
        <v>75</v>
      </c>
      <c r="R125" s="8">
        <f t="shared" si="16"/>
        <v>6733.9952000000003</v>
      </c>
      <c r="S125" s="9">
        <f t="shared" si="17"/>
        <v>6749</v>
      </c>
      <c r="T125" s="8">
        <f t="shared" si="18"/>
        <v>15.004799999999705</v>
      </c>
      <c r="U125" s="8">
        <f t="shared" si="19"/>
        <v>1751.2991999999995</v>
      </c>
      <c r="V125" s="8">
        <f t="shared" si="20"/>
        <v>1368.2024999999996</v>
      </c>
      <c r="W125" s="10">
        <f t="shared" si="21"/>
        <v>0.3557598300510158</v>
      </c>
    </row>
    <row r="126" spans="1:23" x14ac:dyDescent="0.3">
      <c r="A126" s="5" t="s">
        <v>27</v>
      </c>
      <c r="B126" s="5" t="s">
        <v>49</v>
      </c>
      <c r="C126" s="5"/>
      <c r="D126" s="5" t="s">
        <v>125</v>
      </c>
      <c r="E126" s="5" t="s">
        <v>235</v>
      </c>
      <c r="F126" s="5">
        <v>1</v>
      </c>
      <c r="G126" s="6">
        <v>1494.82</v>
      </c>
      <c r="H126" s="5">
        <f t="shared" si="12"/>
        <v>1494.82</v>
      </c>
      <c r="I126" s="7">
        <v>0.12</v>
      </c>
      <c r="J126" s="5">
        <f t="shared" si="13"/>
        <v>1674.1984</v>
      </c>
      <c r="K126" s="5">
        <v>2152.6799999999998</v>
      </c>
      <c r="L126" s="5">
        <f t="shared" si="14"/>
        <v>2152.6799999999998</v>
      </c>
      <c r="M126" s="5">
        <f t="shared" si="22"/>
        <v>2411.0016000000001</v>
      </c>
      <c r="N126" s="5">
        <v>0</v>
      </c>
      <c r="O126" s="7">
        <v>0.18</v>
      </c>
      <c r="P126" s="5">
        <f t="shared" si="15"/>
        <v>0</v>
      </c>
      <c r="Q126" s="5">
        <v>0</v>
      </c>
      <c r="R126" s="8">
        <f t="shared" si="16"/>
        <v>2411.0016000000001</v>
      </c>
      <c r="S126" s="9">
        <f t="shared" si="17"/>
        <v>2399</v>
      </c>
      <c r="T126" s="8">
        <f t="shared" si="18"/>
        <v>-12.001600000000053</v>
      </c>
      <c r="U126" s="8">
        <f t="shared" si="19"/>
        <v>724.80160000000001</v>
      </c>
      <c r="V126" s="8">
        <f t="shared" si="20"/>
        <v>647.14428571428562</v>
      </c>
      <c r="W126" s="10">
        <f t="shared" si="21"/>
        <v>0.43292455661168944</v>
      </c>
    </row>
    <row r="127" spans="1:23" x14ac:dyDescent="0.3">
      <c r="A127" s="5" t="s">
        <v>27</v>
      </c>
      <c r="B127" s="5" t="s">
        <v>49</v>
      </c>
      <c r="C127" s="5"/>
      <c r="D127" s="5" t="s">
        <v>236</v>
      </c>
      <c r="E127" s="5" t="s">
        <v>237</v>
      </c>
      <c r="F127" s="5">
        <v>4</v>
      </c>
      <c r="G127" s="6">
        <v>9373.7800000000007</v>
      </c>
      <c r="H127" s="5">
        <f t="shared" si="12"/>
        <v>37495.120000000003</v>
      </c>
      <c r="I127" s="7">
        <v>0.28000000000000003</v>
      </c>
      <c r="J127" s="5">
        <f t="shared" si="13"/>
        <v>47993.753600000004</v>
      </c>
      <c r="K127" s="5">
        <v>11811.72</v>
      </c>
      <c r="L127" s="5">
        <f t="shared" si="14"/>
        <v>47246.879999999997</v>
      </c>
      <c r="M127" s="5">
        <f t="shared" si="22"/>
        <v>60476.006399999998</v>
      </c>
      <c r="N127" s="5">
        <v>2600</v>
      </c>
      <c r="O127" s="7">
        <v>0.18</v>
      </c>
      <c r="P127" s="5">
        <f t="shared" si="15"/>
        <v>3068</v>
      </c>
      <c r="Q127" s="5">
        <v>300</v>
      </c>
      <c r="R127" s="8">
        <f t="shared" si="16"/>
        <v>63544.006399999998</v>
      </c>
      <c r="S127" s="9">
        <f t="shared" si="17"/>
        <v>63549</v>
      </c>
      <c r="T127" s="8">
        <f t="shared" si="18"/>
        <v>4.9936000000016065</v>
      </c>
      <c r="U127" s="8">
        <f t="shared" si="19"/>
        <v>15255.246399999996</v>
      </c>
      <c r="V127" s="8">
        <f t="shared" si="20"/>
        <v>11918.161249999997</v>
      </c>
      <c r="W127" s="10">
        <f t="shared" si="21"/>
        <v>0.31785899738419282</v>
      </c>
    </row>
    <row r="128" spans="1:23" x14ac:dyDescent="0.3">
      <c r="A128" s="5" t="s">
        <v>27</v>
      </c>
      <c r="B128" s="5" t="s">
        <v>49</v>
      </c>
      <c r="C128" s="5"/>
      <c r="D128" s="5" t="s">
        <v>238</v>
      </c>
      <c r="E128" s="5" t="s">
        <v>239</v>
      </c>
      <c r="F128" s="5">
        <v>4</v>
      </c>
      <c r="G128" s="6">
        <v>10288.280000000001</v>
      </c>
      <c r="H128" s="5">
        <f t="shared" si="12"/>
        <v>41153.120000000003</v>
      </c>
      <c r="I128" s="7">
        <v>0.28000000000000003</v>
      </c>
      <c r="J128" s="5">
        <f t="shared" si="13"/>
        <v>52675.993600000002</v>
      </c>
      <c r="K128" s="5">
        <v>12964.06</v>
      </c>
      <c r="L128" s="5">
        <f t="shared" si="14"/>
        <v>51856.24</v>
      </c>
      <c r="M128" s="5">
        <f t="shared" si="22"/>
        <v>66375.987200000003</v>
      </c>
      <c r="N128" s="5">
        <v>2600</v>
      </c>
      <c r="O128" s="7">
        <v>0.18</v>
      </c>
      <c r="P128" s="5">
        <f t="shared" si="15"/>
        <v>3068</v>
      </c>
      <c r="Q128" s="5">
        <v>300</v>
      </c>
      <c r="R128" s="8">
        <f t="shared" si="16"/>
        <v>69443.987200000003</v>
      </c>
      <c r="S128" s="9">
        <f t="shared" si="17"/>
        <v>69449</v>
      </c>
      <c r="T128" s="8">
        <f t="shared" si="18"/>
        <v>5.0127999999967869</v>
      </c>
      <c r="U128" s="8">
        <f t="shared" si="19"/>
        <v>16473.006399999998</v>
      </c>
      <c r="V128" s="8">
        <f t="shared" si="20"/>
        <v>12869.536249999999</v>
      </c>
      <c r="W128" s="10">
        <f t="shared" si="21"/>
        <v>0.31272322122842688</v>
      </c>
    </row>
    <row r="129" spans="1:23" x14ac:dyDescent="0.3">
      <c r="A129" s="5" t="s">
        <v>27</v>
      </c>
      <c r="B129" s="5" t="s">
        <v>49</v>
      </c>
      <c r="C129" s="5"/>
      <c r="D129" s="5" t="s">
        <v>35</v>
      </c>
      <c r="E129" s="5" t="s">
        <v>240</v>
      </c>
      <c r="F129" s="5">
        <v>4</v>
      </c>
      <c r="G129" s="6">
        <v>481.74</v>
      </c>
      <c r="H129" s="5">
        <f t="shared" si="12"/>
        <v>1926.96</v>
      </c>
      <c r="I129" s="7">
        <v>0.18</v>
      </c>
      <c r="J129" s="5">
        <f t="shared" si="13"/>
        <v>2273.8127999999997</v>
      </c>
      <c r="K129" s="5">
        <v>607.03</v>
      </c>
      <c r="L129" s="5">
        <f t="shared" si="14"/>
        <v>2428.12</v>
      </c>
      <c r="M129" s="5">
        <f t="shared" si="22"/>
        <v>2865.1815999999999</v>
      </c>
      <c r="N129" s="5">
        <v>25</v>
      </c>
      <c r="O129" s="7">
        <v>0.18</v>
      </c>
      <c r="P129" s="5">
        <f t="shared" si="15"/>
        <v>29.5</v>
      </c>
      <c r="Q129" s="5">
        <v>10</v>
      </c>
      <c r="R129" s="8">
        <f t="shared" si="16"/>
        <v>2894.6815999999999</v>
      </c>
      <c r="S129" s="9">
        <f t="shared" si="17"/>
        <v>2899</v>
      </c>
      <c r="T129" s="8">
        <f t="shared" si="18"/>
        <v>4.3184000000001106</v>
      </c>
      <c r="U129" s="8">
        <f t="shared" si="19"/>
        <v>615.1872000000003</v>
      </c>
      <c r="V129" s="8">
        <f t="shared" si="20"/>
        <v>521.34508474576296</v>
      </c>
      <c r="W129" s="10">
        <f t="shared" si="21"/>
        <v>0.27055314316112578</v>
      </c>
    </row>
    <row r="130" spans="1:23" x14ac:dyDescent="0.3">
      <c r="A130" s="5" t="s">
        <v>27</v>
      </c>
      <c r="B130" s="5" t="s">
        <v>49</v>
      </c>
      <c r="C130" s="5"/>
      <c r="D130" s="5" t="s">
        <v>241</v>
      </c>
      <c r="E130" s="5" t="s">
        <v>242</v>
      </c>
      <c r="F130" s="5">
        <v>1</v>
      </c>
      <c r="G130" s="6">
        <v>1457.24</v>
      </c>
      <c r="H130" s="5">
        <f t="shared" ref="H130:H193" si="23">G130*F130</f>
        <v>1457.24</v>
      </c>
      <c r="I130" s="7">
        <v>0.18</v>
      </c>
      <c r="J130" s="5">
        <f t="shared" ref="J130:J193" si="24">H130*(100%+I130)</f>
        <v>1719.5431999999998</v>
      </c>
      <c r="K130" s="5">
        <v>1816.1</v>
      </c>
      <c r="L130" s="5">
        <f t="shared" ref="L130:L193" si="25">K130*F130</f>
        <v>1816.1</v>
      </c>
      <c r="M130" s="5">
        <f t="shared" si="22"/>
        <v>2142.9979999999996</v>
      </c>
      <c r="N130" s="5">
        <v>500</v>
      </c>
      <c r="O130" s="7">
        <v>0.18</v>
      </c>
      <c r="P130" s="5">
        <f t="shared" ref="P130:P193" si="26">N130*(100%+O130)</f>
        <v>590</v>
      </c>
      <c r="Q130" s="5">
        <v>0</v>
      </c>
      <c r="R130" s="8">
        <f t="shared" ref="R130:R193" si="27">M130+P130</f>
        <v>2732.9979999999996</v>
      </c>
      <c r="S130" s="9">
        <f t="shared" ref="S130:S193" si="28">IF(OR(D130="Welcome Kit - Personal",D130="Welcome Kit - Commercial"),0,MROUND(R130,50)-1)</f>
        <v>2749</v>
      </c>
      <c r="T130" s="8">
        <f t="shared" ref="T130:T193" si="29">S130-R130</f>
        <v>16.002000000000407</v>
      </c>
      <c r="U130" s="8">
        <f t="shared" ref="U130:U193" si="30">S130-J130-Q130</f>
        <v>1029.4568000000002</v>
      </c>
      <c r="V130" s="8">
        <f t="shared" ref="V130:V193" si="31">U130/(100%+I130)</f>
        <v>872.42101694915277</v>
      </c>
      <c r="W130" s="10">
        <f t="shared" ref="W130:W193" si="32">IFERROR(V130/H130,0)</f>
        <v>0.59868039372317039</v>
      </c>
    </row>
    <row r="131" spans="1:23" x14ac:dyDescent="0.3">
      <c r="A131" s="5" t="s">
        <v>27</v>
      </c>
      <c r="B131" s="5" t="s">
        <v>49</v>
      </c>
      <c r="C131" s="5"/>
      <c r="D131" s="5" t="s">
        <v>243</v>
      </c>
      <c r="E131" s="5" t="s">
        <v>244</v>
      </c>
      <c r="F131" s="5">
        <v>1</v>
      </c>
      <c r="G131" s="6">
        <v>505.63</v>
      </c>
      <c r="H131" s="5">
        <f t="shared" si="23"/>
        <v>505.63</v>
      </c>
      <c r="I131" s="7">
        <v>0.28000000000000003</v>
      </c>
      <c r="J131" s="5">
        <f t="shared" si="24"/>
        <v>647.20640000000003</v>
      </c>
      <c r="K131" s="5">
        <v>669.53</v>
      </c>
      <c r="L131" s="5">
        <f t="shared" si="25"/>
        <v>669.53</v>
      </c>
      <c r="M131" s="5">
        <f t="shared" si="22"/>
        <v>856.99839999999995</v>
      </c>
      <c r="N131" s="5">
        <v>100</v>
      </c>
      <c r="O131" s="7">
        <v>0.18</v>
      </c>
      <c r="P131" s="5">
        <f t="shared" si="26"/>
        <v>118</v>
      </c>
      <c r="Q131" s="5">
        <v>0</v>
      </c>
      <c r="R131" s="8">
        <f t="shared" si="27"/>
        <v>974.99839999999995</v>
      </c>
      <c r="S131" s="9">
        <f t="shared" si="28"/>
        <v>949</v>
      </c>
      <c r="T131" s="8">
        <f t="shared" si="29"/>
        <v>-25.998399999999947</v>
      </c>
      <c r="U131" s="8">
        <f t="shared" si="30"/>
        <v>301.79359999999997</v>
      </c>
      <c r="V131" s="8">
        <f t="shared" si="31"/>
        <v>235.77624999999998</v>
      </c>
      <c r="W131" s="10">
        <f t="shared" si="32"/>
        <v>0.46630194015386739</v>
      </c>
    </row>
    <row r="132" spans="1:23" x14ac:dyDescent="0.3">
      <c r="A132" s="5" t="s">
        <v>27</v>
      </c>
      <c r="B132" s="5" t="s">
        <v>49</v>
      </c>
      <c r="C132" s="5"/>
      <c r="D132" s="5" t="s">
        <v>245</v>
      </c>
      <c r="E132" s="5" t="s">
        <v>246</v>
      </c>
      <c r="F132" s="5">
        <v>1</v>
      </c>
      <c r="G132" s="6">
        <v>1233.0999999999999</v>
      </c>
      <c r="H132" s="5">
        <f t="shared" si="23"/>
        <v>1233.0999999999999</v>
      </c>
      <c r="I132" s="7">
        <v>0.28000000000000003</v>
      </c>
      <c r="J132" s="5">
        <f t="shared" si="24"/>
        <v>1578.3679999999999</v>
      </c>
      <c r="K132" s="5">
        <v>1632.81</v>
      </c>
      <c r="L132" s="5">
        <f t="shared" si="25"/>
        <v>1632.81</v>
      </c>
      <c r="M132" s="5">
        <f t="shared" si="22"/>
        <v>2089.9967999999999</v>
      </c>
      <c r="N132" s="5">
        <v>100</v>
      </c>
      <c r="O132" s="7">
        <v>0.18</v>
      </c>
      <c r="P132" s="5">
        <f t="shared" si="26"/>
        <v>118</v>
      </c>
      <c r="Q132" s="5">
        <v>0</v>
      </c>
      <c r="R132" s="8">
        <f t="shared" si="27"/>
        <v>2207.9967999999999</v>
      </c>
      <c r="S132" s="9">
        <f t="shared" si="28"/>
        <v>2199</v>
      </c>
      <c r="T132" s="8">
        <f t="shared" si="29"/>
        <v>-8.9967999999998938</v>
      </c>
      <c r="U132" s="8">
        <f t="shared" si="30"/>
        <v>620.63200000000006</v>
      </c>
      <c r="V132" s="8">
        <f t="shared" si="31"/>
        <v>484.86875000000003</v>
      </c>
      <c r="W132" s="10">
        <f t="shared" si="32"/>
        <v>0.39321121563539052</v>
      </c>
    </row>
    <row r="133" spans="1:23" x14ac:dyDescent="0.3">
      <c r="A133" s="5" t="s">
        <v>27</v>
      </c>
      <c r="B133" s="5" t="s">
        <v>49</v>
      </c>
      <c r="C133" s="5"/>
      <c r="D133" s="5" t="s">
        <v>247</v>
      </c>
      <c r="E133" s="5" t="s">
        <v>248</v>
      </c>
      <c r="F133" s="5">
        <v>1</v>
      </c>
      <c r="G133" s="6">
        <v>3374.8</v>
      </c>
      <c r="H133" s="5">
        <f t="shared" si="23"/>
        <v>3374.8</v>
      </c>
      <c r="I133" s="7">
        <v>0.28000000000000003</v>
      </c>
      <c r="J133" s="5">
        <f t="shared" si="24"/>
        <v>4319.7440000000006</v>
      </c>
      <c r="K133" s="5">
        <v>4468.75</v>
      </c>
      <c r="L133" s="5">
        <f t="shared" si="25"/>
        <v>4468.75</v>
      </c>
      <c r="M133" s="5">
        <f t="shared" si="22"/>
        <v>5720</v>
      </c>
      <c r="N133" s="5">
        <v>1000</v>
      </c>
      <c r="O133" s="7">
        <v>0.18</v>
      </c>
      <c r="P133" s="5">
        <f t="shared" si="26"/>
        <v>1180</v>
      </c>
      <c r="Q133" s="5">
        <v>50</v>
      </c>
      <c r="R133" s="8">
        <f t="shared" si="27"/>
        <v>6900</v>
      </c>
      <c r="S133" s="9">
        <f t="shared" si="28"/>
        <v>6899</v>
      </c>
      <c r="T133" s="8">
        <f t="shared" si="29"/>
        <v>-1</v>
      </c>
      <c r="U133" s="8">
        <f t="shared" si="30"/>
        <v>2529.2559999999994</v>
      </c>
      <c r="V133" s="8">
        <f t="shared" si="31"/>
        <v>1975.9812499999996</v>
      </c>
      <c r="W133" s="10">
        <f t="shared" si="32"/>
        <v>0.58551062285172439</v>
      </c>
    </row>
    <row r="134" spans="1:23" x14ac:dyDescent="0.3">
      <c r="A134" s="5" t="s">
        <v>27</v>
      </c>
      <c r="B134" s="5" t="s">
        <v>49</v>
      </c>
      <c r="C134" s="5"/>
      <c r="D134" s="5" t="s">
        <v>102</v>
      </c>
      <c r="E134" s="5" t="s">
        <v>249</v>
      </c>
      <c r="F134" s="5">
        <v>1</v>
      </c>
      <c r="G134" s="6">
        <v>3374.8</v>
      </c>
      <c r="H134" s="5">
        <f t="shared" si="23"/>
        <v>3374.8</v>
      </c>
      <c r="I134" s="7">
        <v>0.28000000000000003</v>
      </c>
      <c r="J134" s="5">
        <f t="shared" si="24"/>
        <v>4319.7440000000006</v>
      </c>
      <c r="K134" s="5">
        <v>4468.75</v>
      </c>
      <c r="L134" s="5">
        <f t="shared" si="25"/>
        <v>4468.75</v>
      </c>
      <c r="M134" s="5">
        <f t="shared" si="22"/>
        <v>5720</v>
      </c>
      <c r="N134" s="5">
        <v>5100</v>
      </c>
      <c r="O134" s="7">
        <v>0.18</v>
      </c>
      <c r="P134" s="5">
        <f t="shared" si="26"/>
        <v>6018</v>
      </c>
      <c r="Q134" s="5">
        <v>100</v>
      </c>
      <c r="R134" s="8">
        <f t="shared" si="27"/>
        <v>11738</v>
      </c>
      <c r="S134" s="9">
        <f t="shared" si="28"/>
        <v>11749</v>
      </c>
      <c r="T134" s="8">
        <f t="shared" si="29"/>
        <v>11</v>
      </c>
      <c r="U134" s="8">
        <f t="shared" si="30"/>
        <v>7329.2559999999994</v>
      </c>
      <c r="V134" s="8">
        <f t="shared" si="31"/>
        <v>5725.9812499999998</v>
      </c>
      <c r="W134" s="10">
        <f t="shared" si="32"/>
        <v>1.69668758148631</v>
      </c>
    </row>
    <row r="135" spans="1:23" x14ac:dyDescent="0.3">
      <c r="A135" s="5" t="s">
        <v>27</v>
      </c>
      <c r="B135" s="5" t="s">
        <v>49</v>
      </c>
      <c r="C135" s="5"/>
      <c r="D135" s="5" t="s">
        <v>118</v>
      </c>
      <c r="E135" s="5" t="s">
        <v>250</v>
      </c>
      <c r="F135" s="5">
        <v>1</v>
      </c>
      <c r="G135" s="6">
        <v>5115.3</v>
      </c>
      <c r="H135" s="5">
        <f t="shared" si="23"/>
        <v>5115.3</v>
      </c>
      <c r="I135" s="7">
        <v>0.28000000000000003</v>
      </c>
      <c r="J135" s="5">
        <f t="shared" si="24"/>
        <v>6547.5840000000007</v>
      </c>
      <c r="K135" s="5">
        <v>6773.44</v>
      </c>
      <c r="L135" s="5">
        <f t="shared" si="25"/>
        <v>6773.44</v>
      </c>
      <c r="M135" s="5">
        <f t="shared" si="22"/>
        <v>8670.0031999999992</v>
      </c>
      <c r="N135" s="5">
        <v>650</v>
      </c>
      <c r="O135" s="7">
        <v>0.18</v>
      </c>
      <c r="P135" s="5">
        <f t="shared" si="26"/>
        <v>767</v>
      </c>
      <c r="Q135" s="5">
        <v>50</v>
      </c>
      <c r="R135" s="8">
        <f t="shared" si="27"/>
        <v>9437.0031999999992</v>
      </c>
      <c r="S135" s="9">
        <f t="shared" si="28"/>
        <v>9449</v>
      </c>
      <c r="T135" s="8">
        <f t="shared" si="29"/>
        <v>11.996800000000803</v>
      </c>
      <c r="U135" s="8">
        <f t="shared" si="30"/>
        <v>2851.4159999999993</v>
      </c>
      <c r="V135" s="8">
        <f t="shared" si="31"/>
        <v>2227.6687499999994</v>
      </c>
      <c r="W135" s="10">
        <f t="shared" si="32"/>
        <v>0.4354913201571754</v>
      </c>
    </row>
    <row r="136" spans="1:23" x14ac:dyDescent="0.3">
      <c r="A136" s="5" t="s">
        <v>27</v>
      </c>
      <c r="B136" s="5" t="s">
        <v>49</v>
      </c>
      <c r="C136" s="5"/>
      <c r="D136" s="5" t="s">
        <v>251</v>
      </c>
      <c r="E136" s="5" t="s">
        <v>252</v>
      </c>
      <c r="F136" s="5">
        <v>1</v>
      </c>
      <c r="G136" s="6">
        <v>365.8</v>
      </c>
      <c r="H136" s="5">
        <f t="shared" si="23"/>
        <v>365.8</v>
      </c>
      <c r="I136" s="7">
        <v>0.28000000000000003</v>
      </c>
      <c r="J136" s="5">
        <f t="shared" si="24"/>
        <v>468.22400000000005</v>
      </c>
      <c r="K136" s="5">
        <v>460.94</v>
      </c>
      <c r="L136" s="5">
        <f t="shared" si="25"/>
        <v>460.94</v>
      </c>
      <c r="M136" s="5">
        <f t="shared" si="22"/>
        <v>590.00319999999999</v>
      </c>
      <c r="N136" s="5">
        <v>0</v>
      </c>
      <c r="O136" s="7">
        <v>0.18</v>
      </c>
      <c r="P136" s="5">
        <f t="shared" si="26"/>
        <v>0</v>
      </c>
      <c r="Q136" s="5">
        <v>0</v>
      </c>
      <c r="R136" s="8">
        <f t="shared" si="27"/>
        <v>590.00319999999999</v>
      </c>
      <c r="S136" s="9">
        <f t="shared" si="28"/>
        <v>599</v>
      </c>
      <c r="T136" s="8">
        <f t="shared" si="29"/>
        <v>8.9968000000000075</v>
      </c>
      <c r="U136" s="8">
        <f t="shared" si="30"/>
        <v>130.77599999999995</v>
      </c>
      <c r="V136" s="8">
        <f t="shared" si="31"/>
        <v>102.16874999999996</v>
      </c>
      <c r="W136" s="10">
        <f t="shared" si="32"/>
        <v>0.27930221432476754</v>
      </c>
    </row>
    <row r="137" spans="1:23" x14ac:dyDescent="0.3">
      <c r="A137" s="5" t="s">
        <v>27</v>
      </c>
      <c r="B137" s="5" t="s">
        <v>49</v>
      </c>
      <c r="C137" s="5"/>
      <c r="D137" s="5" t="s">
        <v>253</v>
      </c>
      <c r="E137" s="5" t="s">
        <v>254</v>
      </c>
      <c r="F137" s="5">
        <v>1</v>
      </c>
      <c r="G137" s="6">
        <v>1490.56</v>
      </c>
      <c r="H137" s="5">
        <f t="shared" si="23"/>
        <v>1490.56</v>
      </c>
      <c r="I137" s="7">
        <v>0.18</v>
      </c>
      <c r="J137" s="5">
        <f t="shared" si="24"/>
        <v>1758.8607999999999</v>
      </c>
      <c r="K137" s="5">
        <f>2192/118%</f>
        <v>1857.6271186440679</v>
      </c>
      <c r="L137" s="5">
        <f t="shared" si="25"/>
        <v>1857.6271186440679</v>
      </c>
      <c r="M137" s="5">
        <f t="shared" si="22"/>
        <v>2192</v>
      </c>
      <c r="N137" s="5">
        <v>0</v>
      </c>
      <c r="O137" s="7">
        <v>0.18</v>
      </c>
      <c r="P137" s="5">
        <f t="shared" si="26"/>
        <v>0</v>
      </c>
      <c r="Q137" s="5">
        <v>0</v>
      </c>
      <c r="R137" s="8">
        <f t="shared" si="27"/>
        <v>2192</v>
      </c>
      <c r="S137" s="9">
        <f t="shared" si="28"/>
        <v>2199</v>
      </c>
      <c r="T137" s="8">
        <f t="shared" si="29"/>
        <v>7</v>
      </c>
      <c r="U137" s="8">
        <f t="shared" si="30"/>
        <v>440.13920000000007</v>
      </c>
      <c r="V137" s="8">
        <f t="shared" si="31"/>
        <v>372.99932203389841</v>
      </c>
      <c r="W137" s="10">
        <f t="shared" si="32"/>
        <v>0.25024106512579058</v>
      </c>
    </row>
    <row r="138" spans="1:23" x14ac:dyDescent="0.3">
      <c r="A138" s="5" t="s">
        <v>27</v>
      </c>
      <c r="B138" s="5" t="s">
        <v>52</v>
      </c>
      <c r="C138" s="5"/>
      <c r="D138" s="5" t="s">
        <v>83</v>
      </c>
      <c r="E138" s="5" t="s">
        <v>255</v>
      </c>
      <c r="F138" s="5">
        <v>1</v>
      </c>
      <c r="G138" s="6">
        <v>7002.9</v>
      </c>
      <c r="H138" s="5">
        <f t="shared" si="23"/>
        <v>7002.9</v>
      </c>
      <c r="I138" s="7">
        <v>0.28000000000000003</v>
      </c>
      <c r="J138" s="5">
        <f t="shared" si="24"/>
        <v>8963.7119999999995</v>
      </c>
      <c r="K138" s="5">
        <v>8824.2199999999993</v>
      </c>
      <c r="L138" s="5">
        <f t="shared" si="25"/>
        <v>8824.2199999999993</v>
      </c>
      <c r="M138" s="5">
        <f t="shared" si="22"/>
        <v>11295.0016</v>
      </c>
      <c r="N138" s="5">
        <v>2000</v>
      </c>
      <c r="O138" s="7">
        <v>0.18</v>
      </c>
      <c r="P138" s="5">
        <f t="shared" si="26"/>
        <v>2360</v>
      </c>
      <c r="Q138" s="5">
        <v>150</v>
      </c>
      <c r="R138" s="8">
        <f t="shared" si="27"/>
        <v>13655.0016</v>
      </c>
      <c r="S138" s="9">
        <f t="shared" si="28"/>
        <v>13649</v>
      </c>
      <c r="T138" s="8">
        <f t="shared" si="29"/>
        <v>-6.0015999999995984</v>
      </c>
      <c r="U138" s="8">
        <f t="shared" si="30"/>
        <v>4535.2880000000005</v>
      </c>
      <c r="V138" s="8">
        <f t="shared" si="31"/>
        <v>3543.1937500000004</v>
      </c>
      <c r="W138" s="10">
        <f t="shared" si="32"/>
        <v>0.50596092333176268</v>
      </c>
    </row>
    <row r="139" spans="1:23" x14ac:dyDescent="0.3">
      <c r="A139" s="5" t="s">
        <v>27</v>
      </c>
      <c r="B139" s="5" t="s">
        <v>52</v>
      </c>
      <c r="C139" s="5"/>
      <c r="D139" s="5" t="s">
        <v>135</v>
      </c>
      <c r="E139" s="5" t="s">
        <v>256</v>
      </c>
      <c r="F139" s="5">
        <v>1</v>
      </c>
      <c r="G139" s="6">
        <v>5048.66</v>
      </c>
      <c r="H139" s="5">
        <f t="shared" si="23"/>
        <v>5048.66</v>
      </c>
      <c r="I139" s="7">
        <v>0.28000000000000003</v>
      </c>
      <c r="J139" s="5">
        <f t="shared" si="24"/>
        <v>6462.2848000000004</v>
      </c>
      <c r="K139" s="5">
        <v>6361.72</v>
      </c>
      <c r="L139" s="5">
        <f t="shared" si="25"/>
        <v>6361.72</v>
      </c>
      <c r="M139" s="5">
        <f t="shared" si="22"/>
        <v>8143.0016000000005</v>
      </c>
      <c r="N139" s="5">
        <v>2000</v>
      </c>
      <c r="O139" s="7">
        <v>0.18</v>
      </c>
      <c r="P139" s="5">
        <f t="shared" si="26"/>
        <v>2360</v>
      </c>
      <c r="Q139" s="5">
        <v>150</v>
      </c>
      <c r="R139" s="8">
        <f t="shared" si="27"/>
        <v>10503.0016</v>
      </c>
      <c r="S139" s="9">
        <f t="shared" si="28"/>
        <v>10499</v>
      </c>
      <c r="T139" s="8">
        <f t="shared" si="29"/>
        <v>-4.0015999999995984</v>
      </c>
      <c r="U139" s="8">
        <f t="shared" si="30"/>
        <v>3886.7151999999996</v>
      </c>
      <c r="V139" s="8">
        <f t="shared" si="31"/>
        <v>3036.4962499999997</v>
      </c>
      <c r="W139" s="10">
        <f t="shared" si="32"/>
        <v>0.60144597774458963</v>
      </c>
    </row>
    <row r="140" spans="1:23" x14ac:dyDescent="0.3">
      <c r="A140" s="5" t="s">
        <v>27</v>
      </c>
      <c r="B140" s="5" t="s">
        <v>52</v>
      </c>
      <c r="C140" s="5"/>
      <c r="D140" s="5" t="s">
        <v>211</v>
      </c>
      <c r="E140" s="5" t="s">
        <v>256</v>
      </c>
      <c r="F140" s="5">
        <v>1</v>
      </c>
      <c r="G140" s="6">
        <v>5048.66</v>
      </c>
      <c r="H140" s="5">
        <f t="shared" si="23"/>
        <v>5048.66</v>
      </c>
      <c r="I140" s="7">
        <v>0.28000000000000003</v>
      </c>
      <c r="J140" s="5">
        <f t="shared" si="24"/>
        <v>6462.2848000000004</v>
      </c>
      <c r="K140" s="5">
        <v>6361.72</v>
      </c>
      <c r="L140" s="5">
        <f t="shared" si="25"/>
        <v>6361.72</v>
      </c>
      <c r="M140" s="5">
        <f t="shared" si="22"/>
        <v>8143.0016000000005</v>
      </c>
      <c r="N140" s="5">
        <v>3000</v>
      </c>
      <c r="O140" s="7">
        <v>0.18</v>
      </c>
      <c r="P140" s="5">
        <f t="shared" si="26"/>
        <v>3540</v>
      </c>
      <c r="Q140" s="5">
        <v>1800</v>
      </c>
      <c r="R140" s="8">
        <f t="shared" si="27"/>
        <v>11683.0016</v>
      </c>
      <c r="S140" s="9">
        <f t="shared" si="28"/>
        <v>11699</v>
      </c>
      <c r="T140" s="8">
        <f t="shared" si="29"/>
        <v>15.998400000000402</v>
      </c>
      <c r="U140" s="8">
        <f t="shared" si="30"/>
        <v>3436.7151999999996</v>
      </c>
      <c r="V140" s="8">
        <f t="shared" si="31"/>
        <v>2684.9337499999997</v>
      </c>
      <c r="W140" s="10">
        <f t="shared" si="32"/>
        <v>0.53181116375434268</v>
      </c>
    </row>
    <row r="141" spans="1:23" x14ac:dyDescent="0.3">
      <c r="A141" s="5" t="s">
        <v>27</v>
      </c>
      <c r="B141" s="5" t="s">
        <v>52</v>
      </c>
      <c r="C141" s="5"/>
      <c r="D141" s="5" t="s">
        <v>257</v>
      </c>
      <c r="E141" s="5" t="s">
        <v>255</v>
      </c>
      <c r="F141" s="5">
        <v>1</v>
      </c>
      <c r="G141" s="6">
        <v>7002.9</v>
      </c>
      <c r="H141" s="5">
        <f t="shared" si="23"/>
        <v>7002.9</v>
      </c>
      <c r="I141" s="7">
        <v>0.28000000000000003</v>
      </c>
      <c r="J141" s="5">
        <f t="shared" si="24"/>
        <v>8963.7119999999995</v>
      </c>
      <c r="K141" s="5">
        <v>8824.2199999999993</v>
      </c>
      <c r="L141" s="5">
        <f t="shared" si="25"/>
        <v>8824.2199999999993</v>
      </c>
      <c r="M141" s="5">
        <f t="shared" si="22"/>
        <v>11295.0016</v>
      </c>
      <c r="N141" s="5">
        <v>3000</v>
      </c>
      <c r="O141" s="7">
        <v>0.18</v>
      </c>
      <c r="P141" s="5">
        <f t="shared" si="26"/>
        <v>3540</v>
      </c>
      <c r="Q141" s="5">
        <v>1800</v>
      </c>
      <c r="R141" s="8">
        <f t="shared" si="27"/>
        <v>14835.0016</v>
      </c>
      <c r="S141" s="9">
        <f t="shared" si="28"/>
        <v>14849</v>
      </c>
      <c r="T141" s="8">
        <f t="shared" si="29"/>
        <v>13.998400000000402</v>
      </c>
      <c r="U141" s="8">
        <f t="shared" si="30"/>
        <v>4085.2880000000005</v>
      </c>
      <c r="V141" s="8">
        <f t="shared" si="31"/>
        <v>3191.6312500000004</v>
      </c>
      <c r="W141" s="10">
        <f t="shared" si="32"/>
        <v>0.45575850718987854</v>
      </c>
    </row>
    <row r="142" spans="1:23" x14ac:dyDescent="0.3">
      <c r="A142" s="5" t="s">
        <v>27</v>
      </c>
      <c r="B142" s="5" t="s">
        <v>52</v>
      </c>
      <c r="C142" s="5"/>
      <c r="D142" s="5" t="s">
        <v>86</v>
      </c>
      <c r="E142" s="5" t="s">
        <v>258</v>
      </c>
      <c r="F142" s="5">
        <v>1</v>
      </c>
      <c r="G142" s="6">
        <v>1434.8</v>
      </c>
      <c r="H142" s="5">
        <f t="shared" si="23"/>
        <v>1434.8</v>
      </c>
      <c r="I142" s="7">
        <v>0.28000000000000003</v>
      </c>
      <c r="J142" s="5">
        <f t="shared" si="24"/>
        <v>1836.5439999999999</v>
      </c>
      <c r="K142" s="5">
        <v>1648.44</v>
      </c>
      <c r="L142" s="5">
        <f t="shared" si="25"/>
        <v>1648.44</v>
      </c>
      <c r="M142" s="5">
        <f t="shared" si="22"/>
        <v>2110.0032000000001</v>
      </c>
      <c r="N142" s="5">
        <v>0</v>
      </c>
      <c r="O142" s="7">
        <v>0.18</v>
      </c>
      <c r="P142" s="5">
        <f t="shared" si="26"/>
        <v>0</v>
      </c>
      <c r="Q142" s="5">
        <v>0</v>
      </c>
      <c r="R142" s="8">
        <f t="shared" si="27"/>
        <v>2110.0032000000001</v>
      </c>
      <c r="S142" s="9">
        <f t="shared" si="28"/>
        <v>2099</v>
      </c>
      <c r="T142" s="8">
        <f t="shared" si="29"/>
        <v>-11.003200000000106</v>
      </c>
      <c r="U142" s="8">
        <f t="shared" si="30"/>
        <v>262.45600000000013</v>
      </c>
      <c r="V142" s="8">
        <f t="shared" si="31"/>
        <v>205.0437500000001</v>
      </c>
      <c r="W142" s="10">
        <f t="shared" si="32"/>
        <v>0.14290754809032624</v>
      </c>
    </row>
    <row r="143" spans="1:23" x14ac:dyDescent="0.3">
      <c r="A143" s="5" t="s">
        <v>27</v>
      </c>
      <c r="B143" s="5" t="s">
        <v>52</v>
      </c>
      <c r="C143" s="5"/>
      <c r="D143" s="5" t="s">
        <v>88</v>
      </c>
      <c r="E143" s="5" t="s">
        <v>259</v>
      </c>
      <c r="F143" s="5">
        <v>1</v>
      </c>
      <c r="G143" s="6">
        <v>3452.16</v>
      </c>
      <c r="H143" s="5">
        <f t="shared" si="23"/>
        <v>3452.16</v>
      </c>
      <c r="I143" s="7">
        <v>0.28000000000000003</v>
      </c>
      <c r="J143" s="5">
        <f t="shared" si="24"/>
        <v>4418.7647999999999</v>
      </c>
      <c r="K143" s="5">
        <v>4350</v>
      </c>
      <c r="L143" s="5">
        <f t="shared" si="25"/>
        <v>4350</v>
      </c>
      <c r="M143" s="5">
        <f t="shared" si="22"/>
        <v>5568</v>
      </c>
      <c r="N143" s="5">
        <v>0</v>
      </c>
      <c r="O143" s="7">
        <v>0.18</v>
      </c>
      <c r="P143" s="5">
        <f t="shared" si="26"/>
        <v>0</v>
      </c>
      <c r="Q143" s="5">
        <v>10</v>
      </c>
      <c r="R143" s="8">
        <f t="shared" si="27"/>
        <v>5568</v>
      </c>
      <c r="S143" s="9">
        <f t="shared" si="28"/>
        <v>5549</v>
      </c>
      <c r="T143" s="8">
        <f t="shared" si="29"/>
        <v>-19</v>
      </c>
      <c r="U143" s="8">
        <f t="shared" si="30"/>
        <v>1120.2352000000001</v>
      </c>
      <c r="V143" s="8">
        <f t="shared" si="31"/>
        <v>875.18375000000003</v>
      </c>
      <c r="W143" s="10">
        <f t="shared" si="32"/>
        <v>0.25351772513440862</v>
      </c>
    </row>
    <row r="144" spans="1:23" x14ac:dyDescent="0.3">
      <c r="A144" s="5" t="s">
        <v>27</v>
      </c>
      <c r="B144" s="5" t="s">
        <v>52</v>
      </c>
      <c r="C144" s="5"/>
      <c r="D144" s="5" t="s">
        <v>155</v>
      </c>
      <c r="E144" s="5" t="s">
        <v>260</v>
      </c>
      <c r="F144" s="5">
        <v>1</v>
      </c>
      <c r="G144" s="6">
        <v>6382.9</v>
      </c>
      <c r="H144" s="5">
        <f t="shared" si="23"/>
        <v>6382.9</v>
      </c>
      <c r="I144" s="7">
        <v>0.28000000000000003</v>
      </c>
      <c r="J144" s="5">
        <f t="shared" si="24"/>
        <v>8170.1120000000001</v>
      </c>
      <c r="K144" s="5">
        <v>8042.97</v>
      </c>
      <c r="L144" s="5">
        <f t="shared" si="25"/>
        <v>8042.97</v>
      </c>
      <c r="M144" s="5">
        <f t="shared" si="22"/>
        <v>10295.001600000001</v>
      </c>
      <c r="N144" s="5">
        <v>0</v>
      </c>
      <c r="O144" s="7">
        <v>0.18</v>
      </c>
      <c r="P144" s="5">
        <f t="shared" si="26"/>
        <v>0</v>
      </c>
      <c r="Q144" s="5">
        <v>0</v>
      </c>
      <c r="R144" s="8">
        <f t="shared" si="27"/>
        <v>10295.001600000001</v>
      </c>
      <c r="S144" s="9">
        <f t="shared" si="28"/>
        <v>10299</v>
      </c>
      <c r="T144" s="8">
        <f t="shared" si="29"/>
        <v>3.9983999999985826</v>
      </c>
      <c r="U144" s="8">
        <f t="shared" si="30"/>
        <v>2128.8879999999999</v>
      </c>
      <c r="V144" s="8">
        <f t="shared" si="31"/>
        <v>1663.1937499999999</v>
      </c>
      <c r="W144" s="10">
        <f t="shared" si="32"/>
        <v>0.26057023453289258</v>
      </c>
    </row>
    <row r="145" spans="1:23" x14ac:dyDescent="0.3">
      <c r="A145" s="5" t="s">
        <v>27</v>
      </c>
      <c r="B145" s="5" t="s">
        <v>52</v>
      </c>
      <c r="C145" s="5"/>
      <c r="D145" s="5" t="s">
        <v>79</v>
      </c>
      <c r="E145" s="5" t="s">
        <v>261</v>
      </c>
      <c r="F145" s="5">
        <v>1</v>
      </c>
      <c r="G145" s="6">
        <v>3235.16</v>
      </c>
      <c r="H145" s="5">
        <f t="shared" si="23"/>
        <v>3235.16</v>
      </c>
      <c r="I145" s="7">
        <v>0.28000000000000003</v>
      </c>
      <c r="J145" s="5">
        <f t="shared" si="24"/>
        <v>4141.0047999999997</v>
      </c>
      <c r="K145" s="5">
        <v>4076.56</v>
      </c>
      <c r="L145" s="5">
        <f t="shared" si="25"/>
        <v>4076.56</v>
      </c>
      <c r="M145" s="5">
        <f t="shared" si="22"/>
        <v>5217.9967999999999</v>
      </c>
      <c r="N145" s="5">
        <v>100</v>
      </c>
      <c r="O145" s="7">
        <v>0.18</v>
      </c>
      <c r="P145" s="5">
        <f t="shared" si="26"/>
        <v>118</v>
      </c>
      <c r="Q145" s="5">
        <v>10</v>
      </c>
      <c r="R145" s="8">
        <f t="shared" si="27"/>
        <v>5335.9967999999999</v>
      </c>
      <c r="S145" s="9">
        <f t="shared" si="28"/>
        <v>5349</v>
      </c>
      <c r="T145" s="8">
        <f t="shared" si="29"/>
        <v>13.003200000000106</v>
      </c>
      <c r="U145" s="8">
        <f t="shared" si="30"/>
        <v>1197.9952000000003</v>
      </c>
      <c r="V145" s="8">
        <f t="shared" si="31"/>
        <v>935.93375000000026</v>
      </c>
      <c r="W145" s="10">
        <f t="shared" si="32"/>
        <v>0.28930060646150429</v>
      </c>
    </row>
    <row r="146" spans="1:23" x14ac:dyDescent="0.3">
      <c r="A146" s="5" t="s">
        <v>27</v>
      </c>
      <c r="B146" s="5" t="s">
        <v>52</v>
      </c>
      <c r="C146" s="5"/>
      <c r="D146" s="5" t="s">
        <v>96</v>
      </c>
      <c r="E146" s="5" t="s">
        <v>262</v>
      </c>
      <c r="F146" s="5">
        <v>1</v>
      </c>
      <c r="G146" s="6">
        <v>10217.6</v>
      </c>
      <c r="H146" s="5">
        <f t="shared" si="23"/>
        <v>10217.6</v>
      </c>
      <c r="I146" s="7">
        <v>0.28000000000000003</v>
      </c>
      <c r="J146" s="5">
        <f t="shared" si="24"/>
        <v>13078.528</v>
      </c>
      <c r="K146" s="5">
        <v>12875</v>
      </c>
      <c r="L146" s="5">
        <f t="shared" si="25"/>
        <v>12875</v>
      </c>
      <c r="M146" s="5">
        <f t="shared" si="22"/>
        <v>16480</v>
      </c>
      <c r="N146" s="5">
        <v>1000</v>
      </c>
      <c r="O146" s="7">
        <v>0.18</v>
      </c>
      <c r="P146" s="5">
        <f t="shared" si="26"/>
        <v>1180</v>
      </c>
      <c r="Q146" s="5">
        <v>100</v>
      </c>
      <c r="R146" s="8">
        <f t="shared" si="27"/>
        <v>17660</v>
      </c>
      <c r="S146" s="9">
        <f t="shared" si="28"/>
        <v>17649</v>
      </c>
      <c r="T146" s="8">
        <f t="shared" si="29"/>
        <v>-11</v>
      </c>
      <c r="U146" s="8">
        <f t="shared" si="30"/>
        <v>4470.4719999999998</v>
      </c>
      <c r="V146" s="8">
        <f t="shared" si="31"/>
        <v>3492.5562499999996</v>
      </c>
      <c r="W146" s="10">
        <f t="shared" si="32"/>
        <v>0.34181767244754147</v>
      </c>
    </row>
    <row r="147" spans="1:23" x14ac:dyDescent="0.3">
      <c r="A147" s="5" t="s">
        <v>27</v>
      </c>
      <c r="B147" s="5" t="s">
        <v>52</v>
      </c>
      <c r="C147" s="5"/>
      <c r="D147" s="5" t="s">
        <v>194</v>
      </c>
      <c r="E147" s="5" t="s">
        <v>263</v>
      </c>
      <c r="F147" s="5">
        <v>1</v>
      </c>
      <c r="G147" s="6">
        <v>3164.48</v>
      </c>
      <c r="H147" s="5">
        <f t="shared" si="23"/>
        <v>3164.48</v>
      </c>
      <c r="I147" s="7">
        <v>0.28000000000000003</v>
      </c>
      <c r="J147" s="5">
        <f t="shared" si="24"/>
        <v>4050.5344</v>
      </c>
      <c r="K147" s="5">
        <v>3987.5</v>
      </c>
      <c r="L147" s="5">
        <f t="shared" si="25"/>
        <v>3987.5</v>
      </c>
      <c r="M147" s="5">
        <f t="shared" si="22"/>
        <v>5104</v>
      </c>
      <c r="N147" s="5">
        <v>600</v>
      </c>
      <c r="O147" s="7">
        <v>0.18</v>
      </c>
      <c r="P147" s="5">
        <f t="shared" si="26"/>
        <v>708</v>
      </c>
      <c r="Q147" s="5">
        <v>150</v>
      </c>
      <c r="R147" s="8">
        <f t="shared" si="27"/>
        <v>5812</v>
      </c>
      <c r="S147" s="9">
        <f t="shared" si="28"/>
        <v>5799</v>
      </c>
      <c r="T147" s="8">
        <f t="shared" si="29"/>
        <v>-13</v>
      </c>
      <c r="U147" s="8">
        <f t="shared" si="30"/>
        <v>1598.4656</v>
      </c>
      <c r="V147" s="8">
        <f t="shared" si="31"/>
        <v>1248.80125</v>
      </c>
      <c r="W147" s="10">
        <f t="shared" si="32"/>
        <v>0.39463079242087168</v>
      </c>
    </row>
    <row r="148" spans="1:23" x14ac:dyDescent="0.3">
      <c r="A148" s="5" t="s">
        <v>27</v>
      </c>
      <c r="B148" s="5" t="s">
        <v>52</v>
      </c>
      <c r="C148" s="5"/>
      <c r="D148" s="5" t="s">
        <v>118</v>
      </c>
      <c r="E148" s="5" t="s">
        <v>264</v>
      </c>
      <c r="F148" s="5">
        <v>1</v>
      </c>
      <c r="G148" s="6">
        <f>11266.64+G149</f>
        <v>14659.9</v>
      </c>
      <c r="H148" s="5">
        <f t="shared" si="23"/>
        <v>14659.9</v>
      </c>
      <c r="I148" s="7">
        <v>0.28000000000000003</v>
      </c>
      <c r="J148" s="5">
        <f t="shared" si="24"/>
        <v>18764.671999999999</v>
      </c>
      <c r="K148" s="5">
        <f>14196.88+K149</f>
        <v>18472.66</v>
      </c>
      <c r="L148" s="5">
        <f t="shared" si="25"/>
        <v>18472.66</v>
      </c>
      <c r="M148" s="5">
        <f t="shared" si="22"/>
        <v>23645.004799999999</v>
      </c>
      <c r="N148" s="5">
        <v>650</v>
      </c>
      <c r="O148" s="7">
        <v>0.18</v>
      </c>
      <c r="P148" s="5">
        <f t="shared" si="26"/>
        <v>767</v>
      </c>
      <c r="Q148" s="5">
        <v>100</v>
      </c>
      <c r="R148" s="8">
        <f t="shared" si="27"/>
        <v>24412.004799999999</v>
      </c>
      <c r="S148" s="9">
        <f t="shared" si="28"/>
        <v>24399</v>
      </c>
      <c r="T148" s="8">
        <f t="shared" si="29"/>
        <v>-13.004799999998795</v>
      </c>
      <c r="U148" s="8">
        <f t="shared" si="30"/>
        <v>5534.3280000000013</v>
      </c>
      <c r="V148" s="8">
        <f t="shared" si="31"/>
        <v>4323.6937500000013</v>
      </c>
      <c r="W148" s="10">
        <f t="shared" si="32"/>
        <v>0.29493337266966357</v>
      </c>
    </row>
    <row r="149" spans="1:23" x14ac:dyDescent="0.3">
      <c r="A149" s="5" t="s">
        <v>27</v>
      </c>
      <c r="B149" s="5" t="s">
        <v>52</v>
      </c>
      <c r="C149" s="5"/>
      <c r="D149" s="5" t="s">
        <v>265</v>
      </c>
      <c r="E149" s="5" t="s">
        <v>266</v>
      </c>
      <c r="F149" s="5">
        <v>1</v>
      </c>
      <c r="G149" s="6">
        <v>3393.26</v>
      </c>
      <c r="H149" s="5">
        <f t="shared" si="23"/>
        <v>3393.26</v>
      </c>
      <c r="I149" s="7">
        <v>0.28000000000000003</v>
      </c>
      <c r="J149" s="5">
        <f t="shared" si="24"/>
        <v>4343.3728000000001</v>
      </c>
      <c r="K149" s="5">
        <v>4275.78</v>
      </c>
      <c r="L149" s="5">
        <f t="shared" si="25"/>
        <v>4275.78</v>
      </c>
      <c r="M149" s="5">
        <f t="shared" si="22"/>
        <v>5472.9983999999995</v>
      </c>
      <c r="N149" s="5">
        <v>0</v>
      </c>
      <c r="O149" s="7">
        <v>0.18</v>
      </c>
      <c r="P149" s="5">
        <f t="shared" si="26"/>
        <v>0</v>
      </c>
      <c r="Q149" s="5">
        <v>0</v>
      </c>
      <c r="R149" s="8">
        <f t="shared" si="27"/>
        <v>5472.9983999999995</v>
      </c>
      <c r="S149" s="9">
        <f t="shared" si="28"/>
        <v>5449</v>
      </c>
      <c r="T149" s="8">
        <f t="shared" si="29"/>
        <v>-23.998399999999492</v>
      </c>
      <c r="U149" s="8">
        <f t="shared" si="30"/>
        <v>1105.6271999999999</v>
      </c>
      <c r="V149" s="8">
        <f t="shared" si="31"/>
        <v>863.7712499999999</v>
      </c>
      <c r="W149" s="10">
        <f t="shared" si="32"/>
        <v>0.25455498547119876</v>
      </c>
    </row>
    <row r="150" spans="1:23" x14ac:dyDescent="0.3">
      <c r="A150" s="5" t="s">
        <v>27</v>
      </c>
      <c r="B150" s="5" t="s">
        <v>52</v>
      </c>
      <c r="C150" s="5"/>
      <c r="D150" s="5" t="s">
        <v>104</v>
      </c>
      <c r="E150" s="5" t="s">
        <v>267</v>
      </c>
      <c r="F150" s="5">
        <v>1</v>
      </c>
      <c r="G150" s="6">
        <v>379.37</v>
      </c>
      <c r="H150" s="5">
        <f t="shared" si="23"/>
        <v>379.37</v>
      </c>
      <c r="I150" s="7">
        <v>0.28000000000000003</v>
      </c>
      <c r="J150" s="5">
        <f t="shared" si="24"/>
        <v>485.59360000000004</v>
      </c>
      <c r="K150" s="5">
        <v>502.34</v>
      </c>
      <c r="L150" s="5">
        <f t="shared" si="25"/>
        <v>502.34</v>
      </c>
      <c r="M150" s="5">
        <f t="shared" si="22"/>
        <v>642.99519999999995</v>
      </c>
      <c r="N150" s="5">
        <v>200</v>
      </c>
      <c r="O150" s="7">
        <v>0.18</v>
      </c>
      <c r="P150" s="5">
        <f t="shared" si="26"/>
        <v>236</v>
      </c>
      <c r="Q150" s="5">
        <v>100</v>
      </c>
      <c r="R150" s="8">
        <f t="shared" si="27"/>
        <v>878.99519999999995</v>
      </c>
      <c r="S150" s="9">
        <f t="shared" si="28"/>
        <v>899</v>
      </c>
      <c r="T150" s="8">
        <f t="shared" si="29"/>
        <v>20.004800000000046</v>
      </c>
      <c r="U150" s="8">
        <f t="shared" si="30"/>
        <v>313.40639999999996</v>
      </c>
      <c r="V150" s="8">
        <f t="shared" si="31"/>
        <v>244.84874999999997</v>
      </c>
      <c r="W150" s="10">
        <f t="shared" si="32"/>
        <v>0.64540883570129415</v>
      </c>
    </row>
    <row r="151" spans="1:23" x14ac:dyDescent="0.3">
      <c r="A151" s="5" t="s">
        <v>27</v>
      </c>
      <c r="B151" s="5" t="s">
        <v>52</v>
      </c>
      <c r="C151" s="5"/>
      <c r="D151" s="5" t="s">
        <v>123</v>
      </c>
      <c r="E151" s="5" t="s">
        <v>268</v>
      </c>
      <c r="F151" s="5">
        <v>1</v>
      </c>
      <c r="G151" s="6">
        <v>2089.1</v>
      </c>
      <c r="H151" s="5">
        <f t="shared" si="23"/>
        <v>2089.1</v>
      </c>
      <c r="I151" s="7">
        <v>0.18</v>
      </c>
      <c r="J151" s="5">
        <f t="shared" si="24"/>
        <v>2465.1379999999999</v>
      </c>
      <c r="K151" s="5">
        <v>2723.73</v>
      </c>
      <c r="L151" s="5">
        <f t="shared" si="25"/>
        <v>2723.73</v>
      </c>
      <c r="M151" s="5">
        <f t="shared" si="22"/>
        <v>3214.0013999999996</v>
      </c>
      <c r="N151" s="5">
        <v>1500</v>
      </c>
      <c r="O151" s="7">
        <v>0.18</v>
      </c>
      <c r="P151" s="5">
        <f t="shared" si="26"/>
        <v>1770</v>
      </c>
      <c r="Q151" s="5">
        <v>200</v>
      </c>
      <c r="R151" s="8">
        <f t="shared" si="27"/>
        <v>4984.0013999999992</v>
      </c>
      <c r="S151" s="9">
        <f t="shared" si="28"/>
        <v>4999</v>
      </c>
      <c r="T151" s="8">
        <f t="shared" si="29"/>
        <v>14.998600000000806</v>
      </c>
      <c r="U151" s="8">
        <f t="shared" si="30"/>
        <v>2333.8620000000001</v>
      </c>
      <c r="V151" s="8">
        <f t="shared" si="31"/>
        <v>1977.8491525423731</v>
      </c>
      <c r="W151" s="10">
        <f t="shared" si="32"/>
        <v>0.94674699753117286</v>
      </c>
    </row>
    <row r="152" spans="1:23" x14ac:dyDescent="0.3">
      <c r="A152" s="5" t="s">
        <v>27</v>
      </c>
      <c r="B152" s="5" t="s">
        <v>52</v>
      </c>
      <c r="C152" s="5"/>
      <c r="D152" s="5" t="s">
        <v>106</v>
      </c>
      <c r="E152" s="5" t="s">
        <v>269</v>
      </c>
      <c r="F152" s="5">
        <v>1</v>
      </c>
      <c r="G152" s="6">
        <v>3227.3</v>
      </c>
      <c r="H152" s="5">
        <f t="shared" si="23"/>
        <v>3227.3</v>
      </c>
      <c r="I152" s="7">
        <v>0.28000000000000003</v>
      </c>
      <c r="J152" s="5">
        <f t="shared" si="24"/>
        <v>4130.9440000000004</v>
      </c>
      <c r="K152" s="5">
        <v>4273.4399999999996</v>
      </c>
      <c r="L152" s="5">
        <f t="shared" si="25"/>
        <v>4273.4399999999996</v>
      </c>
      <c r="M152" s="5">
        <f t="shared" ref="M152:M215" si="33">L152*(100%+I152)</f>
        <v>5470.0031999999992</v>
      </c>
      <c r="N152" s="5">
        <v>600</v>
      </c>
      <c r="O152" s="7">
        <v>0.18</v>
      </c>
      <c r="P152" s="5">
        <f t="shared" si="26"/>
        <v>708</v>
      </c>
      <c r="Q152" s="5">
        <v>75</v>
      </c>
      <c r="R152" s="8">
        <f t="shared" si="27"/>
        <v>6178.0031999999992</v>
      </c>
      <c r="S152" s="9">
        <f t="shared" si="28"/>
        <v>6199</v>
      </c>
      <c r="T152" s="8">
        <f t="shared" si="29"/>
        <v>20.996800000000803</v>
      </c>
      <c r="U152" s="8">
        <f t="shared" si="30"/>
        <v>1993.0559999999996</v>
      </c>
      <c r="V152" s="8">
        <f t="shared" si="31"/>
        <v>1557.0749999999996</v>
      </c>
      <c r="W152" s="10">
        <f t="shared" si="32"/>
        <v>0.48246986645183265</v>
      </c>
    </row>
    <row r="153" spans="1:23" x14ac:dyDescent="0.3">
      <c r="A153" s="5" t="s">
        <v>27</v>
      </c>
      <c r="B153" s="5" t="s">
        <v>52</v>
      </c>
      <c r="C153" s="5"/>
      <c r="D153" s="5" t="s">
        <v>141</v>
      </c>
      <c r="E153" s="5" t="s">
        <v>270</v>
      </c>
      <c r="F153" s="5">
        <v>1</v>
      </c>
      <c r="G153" s="6">
        <v>3254.38</v>
      </c>
      <c r="H153" s="5">
        <f t="shared" si="23"/>
        <v>3254.38</v>
      </c>
      <c r="I153" s="7">
        <v>0.28000000000000003</v>
      </c>
      <c r="J153" s="5">
        <f t="shared" si="24"/>
        <v>4165.6064000000006</v>
      </c>
      <c r="K153" s="5">
        <v>4100.78</v>
      </c>
      <c r="L153" s="5">
        <f t="shared" si="25"/>
        <v>4100.78</v>
      </c>
      <c r="M153" s="5">
        <f t="shared" si="33"/>
        <v>5248.9983999999995</v>
      </c>
      <c r="N153" s="5">
        <v>100</v>
      </c>
      <c r="O153" s="7">
        <v>0.18</v>
      </c>
      <c r="P153" s="5">
        <f t="shared" si="26"/>
        <v>118</v>
      </c>
      <c r="Q153" s="5">
        <v>20</v>
      </c>
      <c r="R153" s="8">
        <f t="shared" si="27"/>
        <v>5366.9983999999995</v>
      </c>
      <c r="S153" s="9">
        <f t="shared" si="28"/>
        <v>5349</v>
      </c>
      <c r="T153" s="8">
        <f t="shared" si="29"/>
        <v>-17.998399999999492</v>
      </c>
      <c r="U153" s="8">
        <f t="shared" si="30"/>
        <v>1163.3935999999994</v>
      </c>
      <c r="V153" s="8">
        <f t="shared" si="31"/>
        <v>908.90124999999955</v>
      </c>
      <c r="W153" s="10">
        <f t="shared" si="32"/>
        <v>0.2792855321136436</v>
      </c>
    </row>
    <row r="154" spans="1:23" x14ac:dyDescent="0.3">
      <c r="A154" s="5" t="s">
        <v>27</v>
      </c>
      <c r="B154" s="5" t="s">
        <v>52</v>
      </c>
      <c r="C154" s="5"/>
      <c r="D154" s="5" t="s">
        <v>125</v>
      </c>
      <c r="E154" s="5" t="s">
        <v>271</v>
      </c>
      <c r="F154" s="5">
        <v>1</v>
      </c>
      <c r="G154" s="6">
        <v>1246.44</v>
      </c>
      <c r="H154" s="5">
        <f t="shared" si="23"/>
        <v>1246.44</v>
      </c>
      <c r="I154" s="7">
        <v>0.12</v>
      </c>
      <c r="J154" s="5">
        <f t="shared" si="24"/>
        <v>1396.0128000000002</v>
      </c>
      <c r="K154" s="5">
        <v>1636.61</v>
      </c>
      <c r="L154" s="5">
        <f t="shared" si="25"/>
        <v>1636.61</v>
      </c>
      <c r="M154" s="5">
        <f t="shared" si="33"/>
        <v>1833.0032000000001</v>
      </c>
      <c r="N154" s="5">
        <v>0</v>
      </c>
      <c r="O154" s="7">
        <v>0.18</v>
      </c>
      <c r="P154" s="5">
        <f t="shared" si="26"/>
        <v>0</v>
      </c>
      <c r="Q154" s="5">
        <v>0</v>
      </c>
      <c r="R154" s="8">
        <f t="shared" si="27"/>
        <v>1833.0032000000001</v>
      </c>
      <c r="S154" s="9">
        <f t="shared" si="28"/>
        <v>1849</v>
      </c>
      <c r="T154" s="8">
        <f t="shared" si="29"/>
        <v>15.996799999999894</v>
      </c>
      <c r="U154" s="8">
        <f t="shared" si="30"/>
        <v>452.9871999999998</v>
      </c>
      <c r="V154" s="8">
        <f t="shared" si="31"/>
        <v>404.45285714285694</v>
      </c>
      <c r="W154" s="10">
        <f t="shared" si="32"/>
        <v>0.32448642304712377</v>
      </c>
    </row>
    <row r="155" spans="1:23" x14ac:dyDescent="0.3">
      <c r="A155" s="5" t="s">
        <v>27</v>
      </c>
      <c r="B155" s="5" t="s">
        <v>52</v>
      </c>
      <c r="C155" s="5"/>
      <c r="D155" s="5" t="s">
        <v>272</v>
      </c>
      <c r="E155" s="5" t="s">
        <v>273</v>
      </c>
      <c r="F155" s="5">
        <v>4</v>
      </c>
      <c r="G155" s="6">
        <v>9900.7800000000007</v>
      </c>
      <c r="H155" s="5">
        <f t="shared" si="23"/>
        <v>39603.120000000003</v>
      </c>
      <c r="I155" s="7">
        <v>0.28000000000000003</v>
      </c>
      <c r="J155" s="5">
        <f t="shared" si="24"/>
        <v>50691.993600000002</v>
      </c>
      <c r="K155" s="5">
        <v>12475.78</v>
      </c>
      <c r="L155" s="5">
        <f t="shared" si="25"/>
        <v>49903.12</v>
      </c>
      <c r="M155" s="5">
        <f t="shared" si="33"/>
        <v>63875.993600000002</v>
      </c>
      <c r="N155" s="5">
        <v>2600</v>
      </c>
      <c r="O155" s="7">
        <v>0.18</v>
      </c>
      <c r="P155" s="5">
        <f t="shared" si="26"/>
        <v>3068</v>
      </c>
      <c r="Q155" s="5">
        <v>300</v>
      </c>
      <c r="R155" s="8">
        <f t="shared" si="27"/>
        <v>66943.993600000002</v>
      </c>
      <c r="S155" s="9">
        <f t="shared" si="28"/>
        <v>66949</v>
      </c>
      <c r="T155" s="8">
        <f t="shared" si="29"/>
        <v>5.0063999999983935</v>
      </c>
      <c r="U155" s="8">
        <f t="shared" si="30"/>
        <v>15957.006399999998</v>
      </c>
      <c r="V155" s="8">
        <f t="shared" si="31"/>
        <v>12466.411249999999</v>
      </c>
      <c r="W155" s="10">
        <f t="shared" si="32"/>
        <v>0.31478356376972316</v>
      </c>
    </row>
    <row r="156" spans="1:23" x14ac:dyDescent="0.3">
      <c r="A156" s="5" t="s">
        <v>27</v>
      </c>
      <c r="B156" s="5" t="s">
        <v>52</v>
      </c>
      <c r="C156" s="5"/>
      <c r="D156" s="5" t="s">
        <v>274</v>
      </c>
      <c r="E156" s="5" t="s">
        <v>275</v>
      </c>
      <c r="F156" s="5">
        <v>4</v>
      </c>
      <c r="G156" s="6">
        <v>10430.879999999999</v>
      </c>
      <c r="H156" s="5">
        <f t="shared" si="23"/>
        <v>41723.519999999997</v>
      </c>
      <c r="I156" s="7">
        <v>0.28000000000000003</v>
      </c>
      <c r="J156" s="5">
        <f t="shared" si="24"/>
        <v>53406.105599999995</v>
      </c>
      <c r="K156" s="5">
        <v>13143.75</v>
      </c>
      <c r="L156" s="5">
        <f t="shared" si="25"/>
        <v>52575</v>
      </c>
      <c r="M156" s="5">
        <f t="shared" si="33"/>
        <v>67296</v>
      </c>
      <c r="N156" s="5">
        <v>2600</v>
      </c>
      <c r="O156" s="7">
        <v>0.18</v>
      </c>
      <c r="P156" s="5">
        <f t="shared" si="26"/>
        <v>3068</v>
      </c>
      <c r="Q156" s="5">
        <v>300</v>
      </c>
      <c r="R156" s="8">
        <f t="shared" si="27"/>
        <v>70364</v>
      </c>
      <c r="S156" s="9">
        <f t="shared" si="28"/>
        <v>70349</v>
      </c>
      <c r="T156" s="8">
        <f t="shared" si="29"/>
        <v>-15</v>
      </c>
      <c r="U156" s="8">
        <f t="shared" si="30"/>
        <v>16642.894400000005</v>
      </c>
      <c r="V156" s="8">
        <f t="shared" si="31"/>
        <v>13002.261250000003</v>
      </c>
      <c r="W156" s="10">
        <f t="shared" si="32"/>
        <v>0.31162905838241844</v>
      </c>
    </row>
    <row r="157" spans="1:23" x14ac:dyDescent="0.3">
      <c r="A157" s="5" t="s">
        <v>27</v>
      </c>
      <c r="B157" s="5" t="s">
        <v>276</v>
      </c>
      <c r="C157" s="5"/>
      <c r="D157" s="5" t="s">
        <v>277</v>
      </c>
      <c r="E157" s="5" t="s">
        <v>278</v>
      </c>
      <c r="F157" s="5">
        <v>1</v>
      </c>
      <c r="G157" s="6">
        <v>6509.38</v>
      </c>
      <c r="H157" s="5">
        <f t="shared" si="23"/>
        <v>6509.38</v>
      </c>
      <c r="I157" s="7">
        <v>0.28000000000000003</v>
      </c>
      <c r="J157" s="5">
        <f t="shared" si="24"/>
        <v>8332.0064000000002</v>
      </c>
      <c r="K157" s="5">
        <v>8202.34</v>
      </c>
      <c r="L157" s="5">
        <f t="shared" si="25"/>
        <v>8202.34</v>
      </c>
      <c r="M157" s="5">
        <f t="shared" si="33"/>
        <v>10498.995200000001</v>
      </c>
      <c r="N157" s="5">
        <v>1000</v>
      </c>
      <c r="O157" s="7">
        <v>0.18</v>
      </c>
      <c r="P157" s="5">
        <f t="shared" si="26"/>
        <v>1180</v>
      </c>
      <c r="Q157" s="5">
        <v>200</v>
      </c>
      <c r="R157" s="8">
        <f t="shared" si="27"/>
        <v>11678.995200000001</v>
      </c>
      <c r="S157" s="9">
        <f t="shared" si="28"/>
        <v>11699</v>
      </c>
      <c r="T157" s="8">
        <f t="shared" si="29"/>
        <v>20.004799999998795</v>
      </c>
      <c r="U157" s="8">
        <f t="shared" si="30"/>
        <v>3166.9935999999998</v>
      </c>
      <c r="V157" s="8">
        <f t="shared" si="31"/>
        <v>2474.2137499999999</v>
      </c>
      <c r="W157" s="10">
        <f t="shared" si="32"/>
        <v>0.38009975604435442</v>
      </c>
    </row>
    <row r="158" spans="1:23" x14ac:dyDescent="0.3">
      <c r="A158" s="5" t="s">
        <v>27</v>
      </c>
      <c r="B158" s="5" t="s">
        <v>276</v>
      </c>
      <c r="C158" s="5"/>
      <c r="D158" s="5" t="s">
        <v>279</v>
      </c>
      <c r="E158" s="5" t="s">
        <v>280</v>
      </c>
      <c r="F158" s="5">
        <v>1</v>
      </c>
      <c r="G158" s="6">
        <v>6199.38</v>
      </c>
      <c r="H158" s="5">
        <f t="shared" si="23"/>
        <v>6199.38</v>
      </c>
      <c r="I158" s="7">
        <v>0.28000000000000003</v>
      </c>
      <c r="J158" s="5">
        <f t="shared" si="24"/>
        <v>7935.2064</v>
      </c>
      <c r="K158" s="5">
        <v>7811.72</v>
      </c>
      <c r="L158" s="5">
        <f t="shared" si="25"/>
        <v>7811.72</v>
      </c>
      <c r="M158" s="5">
        <f t="shared" si="33"/>
        <v>9999.0016000000014</v>
      </c>
      <c r="N158" s="5">
        <v>1000</v>
      </c>
      <c r="O158" s="7">
        <v>0.18</v>
      </c>
      <c r="P158" s="5">
        <f t="shared" si="26"/>
        <v>1180</v>
      </c>
      <c r="Q158" s="5">
        <v>200</v>
      </c>
      <c r="R158" s="8">
        <f t="shared" si="27"/>
        <v>11179.001600000001</v>
      </c>
      <c r="S158" s="9">
        <f t="shared" si="28"/>
        <v>11199</v>
      </c>
      <c r="T158" s="8">
        <f t="shared" si="29"/>
        <v>19.998399999998583</v>
      </c>
      <c r="U158" s="8">
        <f t="shared" si="30"/>
        <v>3063.7936</v>
      </c>
      <c r="V158" s="8">
        <f t="shared" si="31"/>
        <v>2393.5887499999999</v>
      </c>
      <c r="W158" s="10">
        <f t="shared" si="32"/>
        <v>0.38610131174407764</v>
      </c>
    </row>
    <row r="159" spans="1:23" x14ac:dyDescent="0.3">
      <c r="A159" s="5" t="s">
        <v>27</v>
      </c>
      <c r="B159" s="5" t="s">
        <v>276</v>
      </c>
      <c r="C159" s="5"/>
      <c r="D159" s="5" t="s">
        <v>281</v>
      </c>
      <c r="E159" s="5" t="s">
        <v>282</v>
      </c>
      <c r="F159" s="5">
        <v>1</v>
      </c>
      <c r="G159" s="6">
        <v>3538.82</v>
      </c>
      <c r="H159" s="5">
        <f t="shared" si="23"/>
        <v>3538.82</v>
      </c>
      <c r="I159" s="7">
        <v>0.28000000000000003</v>
      </c>
      <c r="J159" s="5">
        <f t="shared" si="24"/>
        <v>4529.6896000000006</v>
      </c>
      <c r="K159" s="5">
        <v>4685.9399999999996</v>
      </c>
      <c r="L159" s="5">
        <f t="shared" si="25"/>
        <v>4685.9399999999996</v>
      </c>
      <c r="M159" s="5">
        <f t="shared" si="33"/>
        <v>5998.0031999999992</v>
      </c>
      <c r="N159" s="5">
        <v>600</v>
      </c>
      <c r="O159" s="7">
        <v>0.18</v>
      </c>
      <c r="P159" s="5">
        <f t="shared" si="26"/>
        <v>708</v>
      </c>
      <c r="Q159" s="5">
        <v>75</v>
      </c>
      <c r="R159" s="8">
        <f t="shared" si="27"/>
        <v>6706.0031999999992</v>
      </c>
      <c r="S159" s="9">
        <f t="shared" si="28"/>
        <v>6699</v>
      </c>
      <c r="T159" s="8">
        <f t="shared" si="29"/>
        <v>-7.0031999999991967</v>
      </c>
      <c r="U159" s="8">
        <f t="shared" si="30"/>
        <v>2094.3103999999994</v>
      </c>
      <c r="V159" s="8">
        <f t="shared" si="31"/>
        <v>1636.1799999999994</v>
      </c>
      <c r="W159" s="10">
        <f t="shared" si="32"/>
        <v>0.46235185739879375</v>
      </c>
    </row>
    <row r="160" spans="1:23" x14ac:dyDescent="0.3">
      <c r="A160" s="5" t="s">
        <v>27</v>
      </c>
      <c r="B160" s="5" t="s">
        <v>276</v>
      </c>
      <c r="C160" s="5"/>
      <c r="D160" s="5" t="s">
        <v>283</v>
      </c>
      <c r="E160" s="5" t="s">
        <v>284</v>
      </c>
      <c r="F160" s="5">
        <v>1</v>
      </c>
      <c r="G160" s="6">
        <v>3534.1</v>
      </c>
      <c r="H160" s="5">
        <f t="shared" si="23"/>
        <v>3534.1</v>
      </c>
      <c r="I160" s="7">
        <v>0.28000000000000003</v>
      </c>
      <c r="J160" s="5">
        <f t="shared" si="24"/>
        <v>4523.6480000000001</v>
      </c>
      <c r="K160" s="5">
        <v>4679.6899999999996</v>
      </c>
      <c r="L160" s="5">
        <f t="shared" si="25"/>
        <v>4679.6899999999996</v>
      </c>
      <c r="M160" s="5">
        <f t="shared" si="33"/>
        <v>5990.0031999999992</v>
      </c>
      <c r="N160" s="5">
        <v>600</v>
      </c>
      <c r="O160" s="7">
        <v>0.18</v>
      </c>
      <c r="P160" s="5">
        <f t="shared" si="26"/>
        <v>708</v>
      </c>
      <c r="Q160" s="5">
        <v>75</v>
      </c>
      <c r="R160" s="8">
        <f t="shared" si="27"/>
        <v>6698.0031999999992</v>
      </c>
      <c r="S160" s="9">
        <f t="shared" si="28"/>
        <v>6699</v>
      </c>
      <c r="T160" s="8">
        <f t="shared" si="29"/>
        <v>0.99680000000080327</v>
      </c>
      <c r="U160" s="8">
        <f t="shared" si="30"/>
        <v>2100.3519999999999</v>
      </c>
      <c r="V160" s="8">
        <f t="shared" si="31"/>
        <v>1640.8999999999999</v>
      </c>
      <c r="W160" s="10">
        <f t="shared" si="32"/>
        <v>0.46430491497127979</v>
      </c>
    </row>
    <row r="161" spans="1:23" x14ac:dyDescent="0.3">
      <c r="A161" s="5" t="s">
        <v>27</v>
      </c>
      <c r="B161" s="5" t="s">
        <v>276</v>
      </c>
      <c r="C161" s="5"/>
      <c r="D161" s="5" t="s">
        <v>285</v>
      </c>
      <c r="E161" s="5" t="s">
        <v>286</v>
      </c>
      <c r="F161" s="5">
        <v>1</v>
      </c>
      <c r="G161" s="6">
        <v>1516.3</v>
      </c>
      <c r="H161" s="5">
        <f t="shared" si="23"/>
        <v>1516.3</v>
      </c>
      <c r="I161" s="7">
        <v>0.28000000000000003</v>
      </c>
      <c r="J161" s="5">
        <f t="shared" si="24"/>
        <v>1940.864</v>
      </c>
      <c r="K161" s="5">
        <v>2007.81</v>
      </c>
      <c r="L161" s="5">
        <f t="shared" si="25"/>
        <v>2007.81</v>
      </c>
      <c r="M161" s="5">
        <f t="shared" si="33"/>
        <v>2569.9967999999999</v>
      </c>
      <c r="N161" s="5">
        <v>100</v>
      </c>
      <c r="O161" s="7">
        <v>0.18</v>
      </c>
      <c r="P161" s="5">
        <f t="shared" si="26"/>
        <v>118</v>
      </c>
      <c r="Q161" s="5">
        <v>20</v>
      </c>
      <c r="R161" s="8">
        <f t="shared" si="27"/>
        <v>2687.9967999999999</v>
      </c>
      <c r="S161" s="9">
        <f t="shared" si="28"/>
        <v>2699</v>
      </c>
      <c r="T161" s="8">
        <f t="shared" si="29"/>
        <v>11.003200000000106</v>
      </c>
      <c r="U161" s="8">
        <f t="shared" si="30"/>
        <v>738.13599999999997</v>
      </c>
      <c r="V161" s="8">
        <f t="shared" si="31"/>
        <v>576.66874999999993</v>
      </c>
      <c r="W161" s="10">
        <f t="shared" si="32"/>
        <v>0.38031309767196464</v>
      </c>
    </row>
    <row r="162" spans="1:23" x14ac:dyDescent="0.3">
      <c r="A162" s="5" t="s">
        <v>27</v>
      </c>
      <c r="B162" s="5" t="s">
        <v>276</v>
      </c>
      <c r="C162" s="5"/>
      <c r="D162" s="5" t="s">
        <v>287</v>
      </c>
      <c r="E162" s="5" t="s">
        <v>288</v>
      </c>
      <c r="F162" s="5">
        <v>1</v>
      </c>
      <c r="G162" s="6">
        <v>1773.2</v>
      </c>
      <c r="H162" s="5">
        <f t="shared" si="23"/>
        <v>1773.2</v>
      </c>
      <c r="I162" s="7">
        <v>0.28000000000000003</v>
      </c>
      <c r="J162" s="5">
        <f t="shared" si="24"/>
        <v>2269.6959999999999</v>
      </c>
      <c r="K162" s="5">
        <v>2234.38</v>
      </c>
      <c r="L162" s="5">
        <f t="shared" si="25"/>
        <v>2234.38</v>
      </c>
      <c r="M162" s="5">
        <f t="shared" si="33"/>
        <v>2860.0064000000002</v>
      </c>
      <c r="N162" s="5">
        <v>150</v>
      </c>
      <c r="O162" s="7">
        <v>0.18</v>
      </c>
      <c r="P162" s="5">
        <f t="shared" si="26"/>
        <v>177</v>
      </c>
      <c r="Q162" s="5">
        <v>0</v>
      </c>
      <c r="R162" s="8">
        <f t="shared" si="27"/>
        <v>3037.0064000000002</v>
      </c>
      <c r="S162" s="9">
        <f t="shared" si="28"/>
        <v>3049</v>
      </c>
      <c r="T162" s="8">
        <f t="shared" si="29"/>
        <v>11.993599999999788</v>
      </c>
      <c r="U162" s="8">
        <f t="shared" si="30"/>
        <v>779.30400000000009</v>
      </c>
      <c r="V162" s="8">
        <f t="shared" si="31"/>
        <v>608.83125000000007</v>
      </c>
      <c r="W162" s="10">
        <f t="shared" si="32"/>
        <v>0.34335170877509591</v>
      </c>
    </row>
    <row r="163" spans="1:23" x14ac:dyDescent="0.3">
      <c r="A163" s="5" t="s">
        <v>27</v>
      </c>
      <c r="B163" s="5" t="s">
        <v>276</v>
      </c>
      <c r="C163" s="5"/>
      <c r="D163" s="5" t="s">
        <v>289</v>
      </c>
      <c r="E163" s="5" t="s">
        <v>290</v>
      </c>
      <c r="F163" s="5">
        <v>1</v>
      </c>
      <c r="G163" s="6">
        <v>2002.6</v>
      </c>
      <c r="H163" s="5">
        <f t="shared" si="23"/>
        <v>2002.6</v>
      </c>
      <c r="I163" s="7">
        <v>0.28000000000000003</v>
      </c>
      <c r="J163" s="5">
        <f t="shared" si="24"/>
        <v>2563.328</v>
      </c>
      <c r="K163" s="5">
        <v>2523.44</v>
      </c>
      <c r="L163" s="5">
        <f t="shared" si="25"/>
        <v>2523.44</v>
      </c>
      <c r="M163" s="5">
        <f t="shared" si="33"/>
        <v>3230.0032000000001</v>
      </c>
      <c r="N163" s="5">
        <v>0</v>
      </c>
      <c r="O163" s="7">
        <v>0.18</v>
      </c>
      <c r="P163" s="5">
        <f t="shared" si="26"/>
        <v>0</v>
      </c>
      <c r="Q163" s="5">
        <v>0</v>
      </c>
      <c r="R163" s="8">
        <f t="shared" si="27"/>
        <v>3230.0032000000001</v>
      </c>
      <c r="S163" s="9">
        <f t="shared" si="28"/>
        <v>3249</v>
      </c>
      <c r="T163" s="8">
        <f t="shared" si="29"/>
        <v>18.996799999999894</v>
      </c>
      <c r="U163" s="8">
        <f t="shared" si="30"/>
        <v>685.67200000000003</v>
      </c>
      <c r="V163" s="8">
        <f t="shared" si="31"/>
        <v>535.68124999999998</v>
      </c>
      <c r="W163" s="10">
        <f t="shared" si="32"/>
        <v>0.26749288425047441</v>
      </c>
    </row>
    <row r="164" spans="1:23" x14ac:dyDescent="0.3">
      <c r="A164" s="5" t="s">
        <v>27</v>
      </c>
      <c r="B164" s="5" t="s">
        <v>276</v>
      </c>
      <c r="C164" s="5"/>
      <c r="D164" s="5" t="s">
        <v>291</v>
      </c>
      <c r="E164" s="5" t="s">
        <v>292</v>
      </c>
      <c r="F164" s="5">
        <v>1</v>
      </c>
      <c r="G164" s="6">
        <v>1921.38</v>
      </c>
      <c r="H164" s="5">
        <f t="shared" si="23"/>
        <v>1921.38</v>
      </c>
      <c r="I164" s="7">
        <v>0.28000000000000003</v>
      </c>
      <c r="J164" s="5">
        <f t="shared" si="24"/>
        <v>2459.3664000000003</v>
      </c>
      <c r="K164" s="5">
        <v>2421.09</v>
      </c>
      <c r="L164" s="5">
        <f t="shared" si="25"/>
        <v>2421.09</v>
      </c>
      <c r="M164" s="5">
        <f t="shared" si="33"/>
        <v>3098.9952000000003</v>
      </c>
      <c r="N164" s="5">
        <v>0</v>
      </c>
      <c r="O164" s="7">
        <v>0.18</v>
      </c>
      <c r="P164" s="5">
        <f t="shared" si="26"/>
        <v>0</v>
      </c>
      <c r="Q164" s="5">
        <v>0</v>
      </c>
      <c r="R164" s="8">
        <f t="shared" si="27"/>
        <v>3098.9952000000003</v>
      </c>
      <c r="S164" s="9">
        <f t="shared" si="28"/>
        <v>3099</v>
      </c>
      <c r="T164" s="8">
        <f t="shared" si="29"/>
        <v>4.7999999997045961E-3</v>
      </c>
      <c r="U164" s="8">
        <f t="shared" si="30"/>
        <v>639.63359999999966</v>
      </c>
      <c r="V164" s="8">
        <f t="shared" si="31"/>
        <v>499.71374999999972</v>
      </c>
      <c r="W164" s="10">
        <f t="shared" si="32"/>
        <v>0.26008064516129015</v>
      </c>
    </row>
    <row r="165" spans="1:23" x14ac:dyDescent="0.3">
      <c r="A165" s="5" t="s">
        <v>27</v>
      </c>
      <c r="B165" s="5" t="s">
        <v>276</v>
      </c>
      <c r="C165" s="5"/>
      <c r="D165" s="5" t="s">
        <v>293</v>
      </c>
      <c r="E165" s="5" t="s">
        <v>294</v>
      </c>
      <c r="F165" s="5">
        <v>1</v>
      </c>
      <c r="G165" s="6">
        <v>1444.91</v>
      </c>
      <c r="H165" s="5">
        <f t="shared" si="23"/>
        <v>1444.91</v>
      </c>
      <c r="I165" s="7">
        <v>0.28000000000000003</v>
      </c>
      <c r="J165" s="5">
        <f t="shared" si="24"/>
        <v>1849.4848000000002</v>
      </c>
      <c r="K165" s="5">
        <v>1913.28</v>
      </c>
      <c r="L165" s="5">
        <f t="shared" si="25"/>
        <v>1913.28</v>
      </c>
      <c r="M165" s="5">
        <f t="shared" si="33"/>
        <v>2448.9983999999999</v>
      </c>
      <c r="N165" s="5">
        <v>0</v>
      </c>
      <c r="O165" s="7">
        <v>0.18</v>
      </c>
      <c r="P165" s="5">
        <f t="shared" si="26"/>
        <v>0</v>
      </c>
      <c r="Q165" s="5">
        <v>0</v>
      </c>
      <c r="R165" s="8">
        <f t="shared" si="27"/>
        <v>2448.9983999999999</v>
      </c>
      <c r="S165" s="9">
        <f t="shared" si="28"/>
        <v>2449</v>
      </c>
      <c r="T165" s="8">
        <f t="shared" si="29"/>
        <v>1.6000000000531145E-3</v>
      </c>
      <c r="U165" s="8">
        <f t="shared" si="30"/>
        <v>599.51519999999982</v>
      </c>
      <c r="V165" s="8">
        <f t="shared" si="31"/>
        <v>468.37124999999986</v>
      </c>
      <c r="W165" s="10">
        <f t="shared" si="32"/>
        <v>0.32415254237288121</v>
      </c>
    </row>
    <row r="166" spans="1:23" x14ac:dyDescent="0.3">
      <c r="A166" s="5" t="s">
        <v>27</v>
      </c>
      <c r="B166" s="5" t="s">
        <v>276</v>
      </c>
      <c r="C166" s="5"/>
      <c r="D166" s="5" t="s">
        <v>295</v>
      </c>
      <c r="E166" s="5" t="s">
        <v>296</v>
      </c>
      <c r="F166" s="5">
        <v>1</v>
      </c>
      <c r="G166" s="6">
        <v>1562.91</v>
      </c>
      <c r="H166" s="5">
        <f t="shared" si="23"/>
        <v>1562.91</v>
      </c>
      <c r="I166" s="7">
        <v>0.28000000000000003</v>
      </c>
      <c r="J166" s="5">
        <f t="shared" si="24"/>
        <v>2000.5248000000001</v>
      </c>
      <c r="K166" s="5">
        <v>2069.5300000000002</v>
      </c>
      <c r="L166" s="5">
        <f t="shared" si="25"/>
        <v>2069.5300000000002</v>
      </c>
      <c r="M166" s="5">
        <f t="shared" si="33"/>
        <v>2648.9984000000004</v>
      </c>
      <c r="N166" s="5">
        <v>1000</v>
      </c>
      <c r="O166" s="7">
        <v>0.18</v>
      </c>
      <c r="P166" s="5">
        <f t="shared" si="26"/>
        <v>1180</v>
      </c>
      <c r="Q166" s="5">
        <v>150</v>
      </c>
      <c r="R166" s="8">
        <f t="shared" si="27"/>
        <v>3828.9984000000004</v>
      </c>
      <c r="S166" s="9">
        <f t="shared" si="28"/>
        <v>3849</v>
      </c>
      <c r="T166" s="8">
        <f t="shared" si="29"/>
        <v>20.001599999999598</v>
      </c>
      <c r="U166" s="8">
        <f t="shared" si="30"/>
        <v>1698.4751999999999</v>
      </c>
      <c r="V166" s="8">
        <f t="shared" si="31"/>
        <v>1326.9337499999999</v>
      </c>
      <c r="W166" s="10">
        <f t="shared" si="32"/>
        <v>0.84901481851162242</v>
      </c>
    </row>
    <row r="167" spans="1:23" x14ac:dyDescent="0.3">
      <c r="A167" s="5" t="s">
        <v>27</v>
      </c>
      <c r="B167" s="5" t="s">
        <v>276</v>
      </c>
      <c r="C167" s="5"/>
      <c r="D167" s="5" t="s">
        <v>297</v>
      </c>
      <c r="E167" s="5" t="s">
        <v>298</v>
      </c>
      <c r="F167" s="5">
        <v>1</v>
      </c>
      <c r="G167" s="6">
        <v>407.1</v>
      </c>
      <c r="H167" s="5">
        <f t="shared" si="23"/>
        <v>407.1</v>
      </c>
      <c r="I167" s="7">
        <v>0.28000000000000003</v>
      </c>
      <c r="J167" s="5">
        <f t="shared" si="24"/>
        <v>521.08800000000008</v>
      </c>
      <c r="K167" s="5">
        <v>539.05999999999995</v>
      </c>
      <c r="L167" s="5">
        <f t="shared" si="25"/>
        <v>539.05999999999995</v>
      </c>
      <c r="M167" s="5">
        <f t="shared" si="33"/>
        <v>689.99679999999989</v>
      </c>
      <c r="N167" s="5">
        <v>300</v>
      </c>
      <c r="O167" s="7">
        <v>0.18</v>
      </c>
      <c r="P167" s="5">
        <f t="shared" si="26"/>
        <v>354</v>
      </c>
      <c r="Q167" s="5">
        <v>50</v>
      </c>
      <c r="R167" s="8">
        <f t="shared" si="27"/>
        <v>1043.9967999999999</v>
      </c>
      <c r="S167" s="9">
        <f t="shared" si="28"/>
        <v>1049</v>
      </c>
      <c r="T167" s="8">
        <f t="shared" si="29"/>
        <v>5.0032000000001062</v>
      </c>
      <c r="U167" s="8">
        <f t="shared" si="30"/>
        <v>477.91199999999992</v>
      </c>
      <c r="V167" s="8">
        <f t="shared" si="31"/>
        <v>373.36874999999992</v>
      </c>
      <c r="W167" s="10">
        <f t="shared" si="32"/>
        <v>0.91714259395725839</v>
      </c>
    </row>
    <row r="168" spans="1:23" x14ac:dyDescent="0.3">
      <c r="A168" s="5" t="s">
        <v>27</v>
      </c>
      <c r="B168" s="5" t="s">
        <v>276</v>
      </c>
      <c r="C168" s="5"/>
      <c r="D168" s="5" t="s">
        <v>299</v>
      </c>
      <c r="E168" s="5" t="s">
        <v>300</v>
      </c>
      <c r="F168" s="5">
        <v>1</v>
      </c>
      <c r="G168" s="6">
        <v>1133.24</v>
      </c>
      <c r="H168" s="5">
        <f t="shared" si="23"/>
        <v>1133.24</v>
      </c>
      <c r="I168" s="7">
        <v>0.28000000000000003</v>
      </c>
      <c r="J168" s="5">
        <f t="shared" si="24"/>
        <v>1450.5472</v>
      </c>
      <c r="K168" s="5">
        <v>1171.0899999999999</v>
      </c>
      <c r="L168" s="5">
        <f t="shared" si="25"/>
        <v>1171.0899999999999</v>
      </c>
      <c r="M168" s="5">
        <f t="shared" si="33"/>
        <v>1498.9951999999998</v>
      </c>
      <c r="N168" s="5">
        <v>0</v>
      </c>
      <c r="O168" s="7">
        <v>0.18</v>
      </c>
      <c r="P168" s="5">
        <f t="shared" si="26"/>
        <v>0</v>
      </c>
      <c r="Q168" s="5">
        <v>0</v>
      </c>
      <c r="R168" s="8">
        <f t="shared" si="27"/>
        <v>1498.9951999999998</v>
      </c>
      <c r="S168" s="9">
        <f t="shared" si="28"/>
        <v>1499</v>
      </c>
      <c r="T168" s="8">
        <f t="shared" si="29"/>
        <v>4.8000000001593435E-3</v>
      </c>
      <c r="U168" s="8">
        <f t="shared" si="30"/>
        <v>48.452800000000025</v>
      </c>
      <c r="V168" s="8">
        <f t="shared" si="31"/>
        <v>37.853750000000019</v>
      </c>
      <c r="W168" s="10">
        <f t="shared" si="32"/>
        <v>3.3403118492111132E-2</v>
      </c>
    </row>
    <row r="169" spans="1:23" x14ac:dyDescent="0.3">
      <c r="A169" s="5" t="s">
        <v>27</v>
      </c>
      <c r="B169" s="5" t="s">
        <v>276</v>
      </c>
      <c r="C169" s="5"/>
      <c r="D169" s="5" t="s">
        <v>301</v>
      </c>
      <c r="E169" s="5" t="s">
        <v>302</v>
      </c>
      <c r="F169" s="5">
        <v>1</v>
      </c>
      <c r="G169" s="6">
        <v>2570.4</v>
      </c>
      <c r="H169" s="5">
        <f t="shared" si="23"/>
        <v>2570.4</v>
      </c>
      <c r="I169" s="7">
        <v>0.28000000000000003</v>
      </c>
      <c r="J169" s="5">
        <f t="shared" si="24"/>
        <v>3290.1120000000001</v>
      </c>
      <c r="K169" s="5">
        <v>2656.25</v>
      </c>
      <c r="L169" s="5">
        <f t="shared" si="25"/>
        <v>2656.25</v>
      </c>
      <c r="M169" s="5">
        <f t="shared" si="33"/>
        <v>3400</v>
      </c>
      <c r="N169" s="5">
        <v>0</v>
      </c>
      <c r="O169" s="7">
        <v>0.18</v>
      </c>
      <c r="P169" s="5">
        <f t="shared" si="26"/>
        <v>0</v>
      </c>
      <c r="Q169" s="5">
        <v>0</v>
      </c>
      <c r="R169" s="8">
        <f t="shared" si="27"/>
        <v>3400</v>
      </c>
      <c r="S169" s="9">
        <f t="shared" si="28"/>
        <v>3399</v>
      </c>
      <c r="T169" s="8">
        <f t="shared" si="29"/>
        <v>-1</v>
      </c>
      <c r="U169" s="8">
        <f t="shared" si="30"/>
        <v>108.88799999999992</v>
      </c>
      <c r="V169" s="8">
        <f t="shared" si="31"/>
        <v>85.068749999999937</v>
      </c>
      <c r="W169" s="10">
        <f t="shared" si="32"/>
        <v>3.3095529878618087E-2</v>
      </c>
    </row>
    <row r="170" spans="1:23" x14ac:dyDescent="0.3">
      <c r="A170" s="5" t="s">
        <v>27</v>
      </c>
      <c r="B170" s="5" t="s">
        <v>276</v>
      </c>
      <c r="C170" s="5"/>
      <c r="D170" s="5" t="s">
        <v>303</v>
      </c>
      <c r="E170" s="5" t="s">
        <v>304</v>
      </c>
      <c r="F170" s="5">
        <v>1</v>
      </c>
      <c r="G170" s="6">
        <v>1549.8</v>
      </c>
      <c r="H170" s="5">
        <f t="shared" si="23"/>
        <v>1549.8</v>
      </c>
      <c r="I170" s="7">
        <v>0.28000000000000003</v>
      </c>
      <c r="J170" s="5">
        <f t="shared" si="24"/>
        <v>1983.7439999999999</v>
      </c>
      <c r="K170" s="5">
        <v>1601.56</v>
      </c>
      <c r="L170" s="5">
        <f t="shared" si="25"/>
        <v>1601.56</v>
      </c>
      <c r="M170" s="5">
        <f t="shared" si="33"/>
        <v>2049.9967999999999</v>
      </c>
      <c r="N170" s="5">
        <v>0</v>
      </c>
      <c r="O170" s="7">
        <v>0.18</v>
      </c>
      <c r="P170" s="5">
        <f t="shared" si="26"/>
        <v>0</v>
      </c>
      <c r="Q170" s="5">
        <v>0</v>
      </c>
      <c r="R170" s="8">
        <f t="shared" si="27"/>
        <v>2049.9967999999999</v>
      </c>
      <c r="S170" s="9">
        <f t="shared" si="28"/>
        <v>2049</v>
      </c>
      <c r="T170" s="8">
        <f t="shared" si="29"/>
        <v>-0.99679999999989377</v>
      </c>
      <c r="U170" s="8">
        <f t="shared" si="30"/>
        <v>65.256000000000085</v>
      </c>
      <c r="V170" s="8">
        <f t="shared" si="31"/>
        <v>50.981250000000067</v>
      </c>
      <c r="W170" s="10">
        <f t="shared" si="32"/>
        <v>3.2895373596593155E-2</v>
      </c>
    </row>
    <row r="171" spans="1:23" x14ac:dyDescent="0.3">
      <c r="A171" s="5" t="s">
        <v>27</v>
      </c>
      <c r="B171" s="5" t="s">
        <v>276</v>
      </c>
      <c r="C171" s="5"/>
      <c r="D171" s="5" t="s">
        <v>305</v>
      </c>
      <c r="E171" s="5" t="s">
        <v>306</v>
      </c>
      <c r="F171" s="5">
        <v>1</v>
      </c>
      <c r="G171" s="6">
        <v>471.41</v>
      </c>
      <c r="H171" s="5">
        <f t="shared" si="23"/>
        <v>471.41</v>
      </c>
      <c r="I171" s="7">
        <v>0.28000000000000003</v>
      </c>
      <c r="J171" s="5">
        <f t="shared" si="24"/>
        <v>603.40480000000002</v>
      </c>
      <c r="K171" s="5">
        <v>624.22</v>
      </c>
      <c r="L171" s="5">
        <f t="shared" si="25"/>
        <v>624.22</v>
      </c>
      <c r="M171" s="5">
        <f t="shared" si="33"/>
        <v>799.00160000000005</v>
      </c>
      <c r="N171" s="5">
        <v>300</v>
      </c>
      <c r="O171" s="7">
        <v>0.18</v>
      </c>
      <c r="P171" s="5">
        <f t="shared" si="26"/>
        <v>354</v>
      </c>
      <c r="Q171" s="5">
        <v>150</v>
      </c>
      <c r="R171" s="8">
        <f t="shared" si="27"/>
        <v>1153.0016000000001</v>
      </c>
      <c r="S171" s="9">
        <f t="shared" si="28"/>
        <v>1149</v>
      </c>
      <c r="T171" s="8">
        <f t="shared" si="29"/>
        <v>-4.0016000000000531</v>
      </c>
      <c r="U171" s="8">
        <f t="shared" si="30"/>
        <v>395.59519999999998</v>
      </c>
      <c r="V171" s="8">
        <f t="shared" si="31"/>
        <v>309.05874999999997</v>
      </c>
      <c r="W171" s="10">
        <f t="shared" si="32"/>
        <v>0.65560499353004809</v>
      </c>
    </row>
    <row r="172" spans="1:23" x14ac:dyDescent="0.3">
      <c r="A172" s="5" t="s">
        <v>27</v>
      </c>
      <c r="B172" s="5" t="s">
        <v>276</v>
      </c>
      <c r="C172" s="5"/>
      <c r="D172" s="5" t="s">
        <v>141</v>
      </c>
      <c r="E172" s="5" t="s">
        <v>307</v>
      </c>
      <c r="F172" s="5">
        <v>1</v>
      </c>
      <c r="G172" s="6">
        <v>1245.58</v>
      </c>
      <c r="H172" s="5">
        <f t="shared" si="23"/>
        <v>1245.58</v>
      </c>
      <c r="I172" s="7">
        <v>0.28000000000000003</v>
      </c>
      <c r="J172" s="5">
        <f t="shared" si="24"/>
        <v>1594.3424</v>
      </c>
      <c r="K172" s="5">
        <v>1569.53</v>
      </c>
      <c r="L172" s="5">
        <f t="shared" si="25"/>
        <v>1569.53</v>
      </c>
      <c r="M172" s="5">
        <f t="shared" si="33"/>
        <v>2008.9983999999999</v>
      </c>
      <c r="N172" s="5">
        <v>100</v>
      </c>
      <c r="O172" s="7">
        <v>0.18</v>
      </c>
      <c r="P172" s="5">
        <f t="shared" si="26"/>
        <v>118</v>
      </c>
      <c r="Q172" s="5">
        <v>20</v>
      </c>
      <c r="R172" s="8">
        <f t="shared" si="27"/>
        <v>2126.9983999999999</v>
      </c>
      <c r="S172" s="9">
        <f t="shared" si="28"/>
        <v>2149</v>
      </c>
      <c r="T172" s="8">
        <f t="shared" si="29"/>
        <v>22.001600000000053</v>
      </c>
      <c r="U172" s="8">
        <f t="shared" si="30"/>
        <v>534.6576</v>
      </c>
      <c r="V172" s="8">
        <f t="shared" si="31"/>
        <v>417.70125000000002</v>
      </c>
      <c r="W172" s="10">
        <f t="shared" si="32"/>
        <v>0.33534678623613101</v>
      </c>
    </row>
    <row r="173" spans="1:23" x14ac:dyDescent="0.3">
      <c r="A173" s="5" t="s">
        <v>27</v>
      </c>
      <c r="B173" s="5" t="s">
        <v>308</v>
      </c>
      <c r="C173" s="5"/>
      <c r="D173" s="5" t="s">
        <v>38</v>
      </c>
      <c r="E173" s="5" t="s">
        <v>309</v>
      </c>
      <c r="F173" s="5">
        <v>4</v>
      </c>
      <c r="G173" s="6">
        <v>7401.56</v>
      </c>
      <c r="H173" s="5">
        <f t="shared" si="23"/>
        <v>29606.240000000002</v>
      </c>
      <c r="I173" s="7">
        <v>0.28000000000000003</v>
      </c>
      <c r="J173" s="5">
        <f t="shared" si="24"/>
        <v>37895.987200000003</v>
      </c>
      <c r="K173" s="5">
        <v>9326.56</v>
      </c>
      <c r="L173" s="5">
        <f t="shared" si="25"/>
        <v>37306.239999999998</v>
      </c>
      <c r="M173" s="5">
        <f t="shared" si="33"/>
        <v>47751.987199999996</v>
      </c>
      <c r="N173" s="5">
        <v>2500</v>
      </c>
      <c r="O173" s="7">
        <v>0.18</v>
      </c>
      <c r="P173" s="5">
        <f t="shared" si="26"/>
        <v>2950</v>
      </c>
      <c r="Q173" s="5">
        <v>350</v>
      </c>
      <c r="R173" s="8">
        <f t="shared" si="27"/>
        <v>50701.987199999996</v>
      </c>
      <c r="S173" s="9">
        <f t="shared" si="28"/>
        <v>50699</v>
      </c>
      <c r="T173" s="8">
        <f t="shared" si="29"/>
        <v>-2.9871999999959371</v>
      </c>
      <c r="U173" s="8">
        <f t="shared" si="30"/>
        <v>12453.012799999997</v>
      </c>
      <c r="V173" s="8">
        <f t="shared" si="31"/>
        <v>9728.9162499999966</v>
      </c>
      <c r="W173" s="10">
        <f t="shared" si="32"/>
        <v>0.3286103284307631</v>
      </c>
    </row>
    <row r="174" spans="1:23" x14ac:dyDescent="0.3">
      <c r="A174" s="5" t="s">
        <v>27</v>
      </c>
      <c r="B174" s="5" t="s">
        <v>276</v>
      </c>
      <c r="C174" s="5"/>
      <c r="D174" s="5" t="s">
        <v>102</v>
      </c>
      <c r="E174" s="5" t="s">
        <v>310</v>
      </c>
      <c r="F174" s="5">
        <v>1</v>
      </c>
      <c r="G174" s="6">
        <v>2949.41</v>
      </c>
      <c r="H174" s="5">
        <f t="shared" si="23"/>
        <v>2949.41</v>
      </c>
      <c r="I174" s="7">
        <v>0.28000000000000003</v>
      </c>
      <c r="J174" s="5">
        <f t="shared" si="24"/>
        <v>3775.2447999999999</v>
      </c>
      <c r="K174" s="5">
        <v>3905.47</v>
      </c>
      <c r="L174" s="5">
        <f t="shared" si="25"/>
        <v>3905.47</v>
      </c>
      <c r="M174" s="5">
        <f t="shared" si="33"/>
        <v>4999.0015999999996</v>
      </c>
      <c r="N174" s="5">
        <v>4500</v>
      </c>
      <c r="O174" s="7">
        <v>0.18</v>
      </c>
      <c r="P174" s="5">
        <f t="shared" si="26"/>
        <v>5310</v>
      </c>
      <c r="Q174" s="5">
        <v>150</v>
      </c>
      <c r="R174" s="8">
        <f t="shared" si="27"/>
        <v>10309.0016</v>
      </c>
      <c r="S174" s="9">
        <f t="shared" si="28"/>
        <v>10299</v>
      </c>
      <c r="T174" s="8">
        <f t="shared" si="29"/>
        <v>-10.001599999999598</v>
      </c>
      <c r="U174" s="8">
        <f t="shared" si="30"/>
        <v>6373.7551999999996</v>
      </c>
      <c r="V174" s="8">
        <f t="shared" si="31"/>
        <v>4979.4962499999992</v>
      </c>
      <c r="W174" s="10">
        <f t="shared" si="32"/>
        <v>1.6883024910066757</v>
      </c>
    </row>
    <row r="175" spans="1:23" x14ac:dyDescent="0.3">
      <c r="A175" s="5" t="s">
        <v>27</v>
      </c>
      <c r="B175" s="5" t="s">
        <v>276</v>
      </c>
      <c r="C175" s="5"/>
      <c r="D175" s="5" t="s">
        <v>311</v>
      </c>
      <c r="E175" s="5" t="s">
        <v>312</v>
      </c>
      <c r="F175" s="5">
        <v>1</v>
      </c>
      <c r="G175" s="6">
        <v>2649.1</v>
      </c>
      <c r="H175" s="5">
        <f t="shared" si="23"/>
        <v>2649.1</v>
      </c>
      <c r="I175" s="7">
        <v>0.28000000000000003</v>
      </c>
      <c r="J175" s="5">
        <f t="shared" si="24"/>
        <v>3390.848</v>
      </c>
      <c r="K175" s="5">
        <v>3507.81</v>
      </c>
      <c r="L175" s="5">
        <f t="shared" si="25"/>
        <v>3507.81</v>
      </c>
      <c r="M175" s="5">
        <f t="shared" si="33"/>
        <v>4489.9967999999999</v>
      </c>
      <c r="N175" s="5">
        <v>300</v>
      </c>
      <c r="O175" s="7">
        <v>0.18</v>
      </c>
      <c r="P175" s="5">
        <f t="shared" si="26"/>
        <v>354</v>
      </c>
      <c r="Q175" s="5">
        <v>50</v>
      </c>
      <c r="R175" s="8">
        <f t="shared" si="27"/>
        <v>4843.9967999999999</v>
      </c>
      <c r="S175" s="9">
        <f t="shared" si="28"/>
        <v>4849</v>
      </c>
      <c r="T175" s="8">
        <f t="shared" si="29"/>
        <v>5.0032000000001062</v>
      </c>
      <c r="U175" s="8">
        <f t="shared" si="30"/>
        <v>1408.152</v>
      </c>
      <c r="V175" s="8">
        <f t="shared" si="31"/>
        <v>1100.1187500000001</v>
      </c>
      <c r="W175" s="10">
        <f t="shared" si="32"/>
        <v>0.41528018949832024</v>
      </c>
    </row>
    <row r="176" spans="1:23" x14ac:dyDescent="0.3">
      <c r="A176" s="5" t="s">
        <v>27</v>
      </c>
      <c r="B176" s="5" t="s">
        <v>276</v>
      </c>
      <c r="C176" s="5"/>
      <c r="D176" s="5" t="s">
        <v>313</v>
      </c>
      <c r="E176" s="5" t="s">
        <v>314</v>
      </c>
      <c r="F176" s="5">
        <v>1</v>
      </c>
      <c r="G176" s="6">
        <v>525.1</v>
      </c>
      <c r="H176" s="5">
        <f t="shared" si="23"/>
        <v>525.1</v>
      </c>
      <c r="I176" s="7">
        <v>0.28000000000000003</v>
      </c>
      <c r="J176" s="5">
        <f t="shared" si="24"/>
        <v>672.12800000000004</v>
      </c>
      <c r="K176" s="5">
        <v>695.31</v>
      </c>
      <c r="L176" s="5">
        <f t="shared" si="25"/>
        <v>695.31</v>
      </c>
      <c r="M176" s="5">
        <f t="shared" si="33"/>
        <v>889.99679999999989</v>
      </c>
      <c r="N176" s="5">
        <v>100</v>
      </c>
      <c r="O176" s="7">
        <v>0.18</v>
      </c>
      <c r="P176" s="5">
        <f t="shared" si="26"/>
        <v>118</v>
      </c>
      <c r="Q176" s="5">
        <v>10</v>
      </c>
      <c r="R176" s="8">
        <f t="shared" si="27"/>
        <v>1007.9967999999999</v>
      </c>
      <c r="S176" s="9">
        <f t="shared" si="28"/>
        <v>999</v>
      </c>
      <c r="T176" s="8">
        <f t="shared" si="29"/>
        <v>-8.9967999999998938</v>
      </c>
      <c r="U176" s="8">
        <f t="shared" si="30"/>
        <v>316.87199999999996</v>
      </c>
      <c r="V176" s="8">
        <f t="shared" si="31"/>
        <v>247.55624999999995</v>
      </c>
      <c r="W176" s="10">
        <f t="shared" si="32"/>
        <v>0.47144591506379724</v>
      </c>
    </row>
    <row r="177" spans="1:23" x14ac:dyDescent="0.3">
      <c r="A177" s="5" t="s">
        <v>27</v>
      </c>
      <c r="B177" s="5" t="s">
        <v>276</v>
      </c>
      <c r="C177" s="5"/>
      <c r="D177" s="5" t="s">
        <v>315</v>
      </c>
      <c r="E177" s="5" t="s">
        <v>316</v>
      </c>
      <c r="F177" s="5">
        <v>1</v>
      </c>
      <c r="G177" s="6">
        <v>2091.88</v>
      </c>
      <c r="H177" s="5">
        <f t="shared" si="23"/>
        <v>2091.88</v>
      </c>
      <c r="I177" s="7">
        <v>0.28000000000000003</v>
      </c>
      <c r="J177" s="5">
        <f t="shared" si="24"/>
        <v>2677.6064000000001</v>
      </c>
      <c r="K177" s="5">
        <v>2635.94</v>
      </c>
      <c r="L177" s="5">
        <f t="shared" si="25"/>
        <v>2635.94</v>
      </c>
      <c r="M177" s="5">
        <f t="shared" si="33"/>
        <v>3374.0032000000001</v>
      </c>
      <c r="N177" s="5">
        <v>600</v>
      </c>
      <c r="O177" s="7">
        <v>0.18</v>
      </c>
      <c r="P177" s="5">
        <f t="shared" si="26"/>
        <v>708</v>
      </c>
      <c r="Q177" s="5">
        <v>50</v>
      </c>
      <c r="R177" s="8">
        <f t="shared" si="27"/>
        <v>4082.0032000000001</v>
      </c>
      <c r="S177" s="9">
        <f t="shared" si="28"/>
        <v>4099</v>
      </c>
      <c r="T177" s="8">
        <f t="shared" si="29"/>
        <v>16.996799999999894</v>
      </c>
      <c r="U177" s="8">
        <f t="shared" si="30"/>
        <v>1371.3935999999999</v>
      </c>
      <c r="V177" s="8">
        <f t="shared" si="31"/>
        <v>1071.4012499999999</v>
      </c>
      <c r="W177" s="10">
        <f t="shared" si="32"/>
        <v>0.51217146777061773</v>
      </c>
    </row>
    <row r="178" spans="1:23" x14ac:dyDescent="0.3">
      <c r="A178" s="5" t="s">
        <v>27</v>
      </c>
      <c r="B178" s="5" t="s">
        <v>308</v>
      </c>
      <c r="C178" s="5"/>
      <c r="D178" s="5" t="s">
        <v>317</v>
      </c>
      <c r="E178" s="5" t="s">
        <v>318</v>
      </c>
      <c r="F178" s="5">
        <v>1</v>
      </c>
      <c r="G178" s="6">
        <v>1062</v>
      </c>
      <c r="H178" s="5">
        <f t="shared" si="23"/>
        <v>1062</v>
      </c>
      <c r="I178" s="7">
        <v>0.28000000000000003</v>
      </c>
      <c r="J178" s="5">
        <f t="shared" si="24"/>
        <v>1359.3600000000001</v>
      </c>
      <c r="K178" s="5">
        <v>1152.3399999999999</v>
      </c>
      <c r="L178" s="5">
        <f t="shared" si="25"/>
        <v>1152.3399999999999</v>
      </c>
      <c r="M178" s="5">
        <f t="shared" si="33"/>
        <v>1474.9951999999998</v>
      </c>
      <c r="N178" s="5">
        <v>0</v>
      </c>
      <c r="O178" s="7">
        <v>0.18</v>
      </c>
      <c r="P178" s="5">
        <f t="shared" si="26"/>
        <v>0</v>
      </c>
      <c r="Q178" s="5">
        <v>0</v>
      </c>
      <c r="R178" s="8">
        <f t="shared" si="27"/>
        <v>1474.9951999999998</v>
      </c>
      <c r="S178" s="9">
        <f t="shared" si="28"/>
        <v>1449</v>
      </c>
      <c r="T178" s="8">
        <f t="shared" si="29"/>
        <v>-25.995199999999841</v>
      </c>
      <c r="U178" s="8">
        <f t="shared" si="30"/>
        <v>89.639999999999873</v>
      </c>
      <c r="V178" s="8">
        <f t="shared" si="31"/>
        <v>70.031249999999901</v>
      </c>
      <c r="W178" s="10">
        <f t="shared" si="32"/>
        <v>6.5942796610169399E-2</v>
      </c>
    </row>
    <row r="179" spans="1:23" x14ac:dyDescent="0.3">
      <c r="A179" s="5" t="s">
        <v>27</v>
      </c>
      <c r="B179" s="5" t="s">
        <v>276</v>
      </c>
      <c r="C179" s="5"/>
      <c r="D179" s="5" t="s">
        <v>319</v>
      </c>
      <c r="E179" s="5" t="s">
        <v>320</v>
      </c>
      <c r="F179" s="5">
        <v>1</v>
      </c>
      <c r="G179" s="6">
        <v>421.03</v>
      </c>
      <c r="H179" s="5">
        <f t="shared" si="23"/>
        <v>421.03</v>
      </c>
      <c r="I179" s="7">
        <v>0.12</v>
      </c>
      <c r="J179" s="5">
        <f t="shared" si="24"/>
        <v>471.55360000000002</v>
      </c>
      <c r="K179" s="5">
        <v>529.46</v>
      </c>
      <c r="L179" s="5">
        <f t="shared" si="25"/>
        <v>529.46</v>
      </c>
      <c r="M179" s="5">
        <f t="shared" si="33"/>
        <v>592.99520000000007</v>
      </c>
      <c r="N179" s="5">
        <v>0</v>
      </c>
      <c r="O179" s="7">
        <v>0.18</v>
      </c>
      <c r="P179" s="5">
        <f t="shared" si="26"/>
        <v>0</v>
      </c>
      <c r="Q179" s="5">
        <v>0</v>
      </c>
      <c r="R179" s="8">
        <f t="shared" si="27"/>
        <v>592.99520000000007</v>
      </c>
      <c r="S179" s="9">
        <f t="shared" si="28"/>
        <v>599</v>
      </c>
      <c r="T179" s="8">
        <f t="shared" si="29"/>
        <v>6.004799999999932</v>
      </c>
      <c r="U179" s="8">
        <f t="shared" si="30"/>
        <v>127.44639999999998</v>
      </c>
      <c r="V179" s="8">
        <f t="shared" si="31"/>
        <v>113.79142857142854</v>
      </c>
      <c r="W179" s="10">
        <f t="shared" si="32"/>
        <v>0.27026916982502092</v>
      </c>
    </row>
    <row r="180" spans="1:23" x14ac:dyDescent="0.3">
      <c r="A180" s="5" t="s">
        <v>27</v>
      </c>
      <c r="B180" s="5" t="s">
        <v>276</v>
      </c>
      <c r="C180" s="5"/>
      <c r="D180" s="5" t="s">
        <v>321</v>
      </c>
      <c r="E180" s="5" t="s">
        <v>322</v>
      </c>
      <c r="F180" s="5">
        <v>1</v>
      </c>
      <c r="G180" s="6">
        <v>5425</v>
      </c>
      <c r="H180" s="5">
        <f t="shared" si="23"/>
        <v>5425</v>
      </c>
      <c r="I180" s="7">
        <v>0.28000000000000003</v>
      </c>
      <c r="J180" s="5">
        <f t="shared" si="24"/>
        <v>6944</v>
      </c>
      <c r="K180" s="5">
        <v>6835.94</v>
      </c>
      <c r="L180" s="5">
        <f t="shared" si="25"/>
        <v>6835.94</v>
      </c>
      <c r="M180" s="5">
        <f t="shared" si="33"/>
        <v>8750.0031999999992</v>
      </c>
      <c r="N180" s="5">
        <v>0</v>
      </c>
      <c r="O180" s="7">
        <v>0.18</v>
      </c>
      <c r="P180" s="5">
        <f t="shared" si="26"/>
        <v>0</v>
      </c>
      <c r="Q180" s="5">
        <v>10</v>
      </c>
      <c r="R180" s="8">
        <f t="shared" si="27"/>
        <v>8750.0031999999992</v>
      </c>
      <c r="S180" s="9">
        <f t="shared" si="28"/>
        <v>8749</v>
      </c>
      <c r="T180" s="8">
        <f t="shared" si="29"/>
        <v>-1.0031999999991967</v>
      </c>
      <c r="U180" s="8">
        <f t="shared" si="30"/>
        <v>1795</v>
      </c>
      <c r="V180" s="8">
        <f t="shared" si="31"/>
        <v>1402.34375</v>
      </c>
      <c r="W180" s="10">
        <f t="shared" si="32"/>
        <v>0.25849654377880182</v>
      </c>
    </row>
    <row r="181" spans="1:23" x14ac:dyDescent="0.3">
      <c r="A181" s="5" t="s">
        <v>27</v>
      </c>
      <c r="B181" s="5" t="s">
        <v>276</v>
      </c>
      <c r="C181" s="5"/>
      <c r="D181" s="5" t="s">
        <v>323</v>
      </c>
      <c r="E181" s="5" t="s">
        <v>324</v>
      </c>
      <c r="F181" s="5">
        <v>1</v>
      </c>
      <c r="G181" s="6">
        <v>5425</v>
      </c>
      <c r="H181" s="5">
        <f t="shared" si="23"/>
        <v>5425</v>
      </c>
      <c r="I181" s="7">
        <v>0.28000000000000003</v>
      </c>
      <c r="J181" s="5">
        <f t="shared" si="24"/>
        <v>6944</v>
      </c>
      <c r="K181" s="5">
        <v>6835.94</v>
      </c>
      <c r="L181" s="5">
        <f t="shared" si="25"/>
        <v>6835.94</v>
      </c>
      <c r="M181" s="5">
        <f t="shared" si="33"/>
        <v>8750.0031999999992</v>
      </c>
      <c r="N181" s="5">
        <v>0</v>
      </c>
      <c r="O181" s="7">
        <v>0.18</v>
      </c>
      <c r="P181" s="5">
        <f t="shared" si="26"/>
        <v>0</v>
      </c>
      <c r="Q181" s="5">
        <v>10</v>
      </c>
      <c r="R181" s="8">
        <f t="shared" si="27"/>
        <v>8750.0031999999992</v>
      </c>
      <c r="S181" s="9">
        <f t="shared" si="28"/>
        <v>8749</v>
      </c>
      <c r="T181" s="8">
        <f t="shared" si="29"/>
        <v>-1.0031999999991967</v>
      </c>
      <c r="U181" s="8">
        <f t="shared" si="30"/>
        <v>1795</v>
      </c>
      <c r="V181" s="8">
        <f t="shared" si="31"/>
        <v>1402.34375</v>
      </c>
      <c r="W181" s="10">
        <f t="shared" si="32"/>
        <v>0.25849654377880182</v>
      </c>
    </row>
    <row r="182" spans="1:23" x14ac:dyDescent="0.3">
      <c r="A182" s="5" t="s">
        <v>27</v>
      </c>
      <c r="B182" s="5" t="s">
        <v>276</v>
      </c>
      <c r="C182" s="5"/>
      <c r="D182" s="5" t="s">
        <v>64</v>
      </c>
      <c r="E182" s="5" t="s">
        <v>325</v>
      </c>
      <c r="F182" s="5">
        <v>1</v>
      </c>
      <c r="G182" s="6">
        <v>6509.38</v>
      </c>
      <c r="H182" s="5">
        <f t="shared" si="23"/>
        <v>6509.38</v>
      </c>
      <c r="I182" s="7">
        <v>0.28000000000000003</v>
      </c>
      <c r="J182" s="5">
        <f t="shared" si="24"/>
        <v>8332.0064000000002</v>
      </c>
      <c r="K182" s="5">
        <v>8202.34</v>
      </c>
      <c r="L182" s="5">
        <f t="shared" si="25"/>
        <v>8202.34</v>
      </c>
      <c r="M182" s="5">
        <f t="shared" si="33"/>
        <v>10498.995200000001</v>
      </c>
      <c r="N182" s="5">
        <v>1500</v>
      </c>
      <c r="O182" s="7">
        <v>0.18</v>
      </c>
      <c r="P182" s="5">
        <f t="shared" si="26"/>
        <v>1770</v>
      </c>
      <c r="Q182" s="5">
        <v>150</v>
      </c>
      <c r="R182" s="8">
        <f t="shared" si="27"/>
        <v>12268.995200000001</v>
      </c>
      <c r="S182" s="9">
        <f t="shared" si="28"/>
        <v>12249</v>
      </c>
      <c r="T182" s="8">
        <f t="shared" si="29"/>
        <v>-19.995200000001205</v>
      </c>
      <c r="U182" s="8">
        <f t="shared" si="30"/>
        <v>3766.9935999999998</v>
      </c>
      <c r="V182" s="8">
        <f t="shared" si="31"/>
        <v>2942.9637499999999</v>
      </c>
      <c r="W182" s="10">
        <f t="shared" si="32"/>
        <v>0.45211122257419289</v>
      </c>
    </row>
    <row r="183" spans="1:23" x14ac:dyDescent="0.3">
      <c r="A183" s="5" t="s">
        <v>27</v>
      </c>
      <c r="B183" s="5" t="s">
        <v>276</v>
      </c>
      <c r="C183" s="5"/>
      <c r="D183" s="5" t="s">
        <v>81</v>
      </c>
      <c r="E183" s="5" t="s">
        <v>326</v>
      </c>
      <c r="F183" s="5">
        <v>1</v>
      </c>
      <c r="G183" s="6">
        <f>2699.6+G184+G185</f>
        <v>4255.16</v>
      </c>
      <c r="H183" s="5">
        <f t="shared" si="23"/>
        <v>4255.16</v>
      </c>
      <c r="I183" s="7">
        <v>0.18</v>
      </c>
      <c r="J183" s="5">
        <f t="shared" si="24"/>
        <v>5021.0887999999995</v>
      </c>
      <c r="K183" s="5">
        <f>3364.41+K184+K185</f>
        <v>5434.73</v>
      </c>
      <c r="L183" s="5">
        <f t="shared" si="25"/>
        <v>5434.73</v>
      </c>
      <c r="M183" s="5">
        <f t="shared" si="33"/>
        <v>6412.9813999999988</v>
      </c>
      <c r="N183" s="5">
        <v>1500</v>
      </c>
      <c r="O183" s="7">
        <v>0.18</v>
      </c>
      <c r="P183" s="5">
        <f t="shared" si="26"/>
        <v>1770</v>
      </c>
      <c r="Q183" s="5">
        <v>350</v>
      </c>
      <c r="R183" s="8">
        <f t="shared" si="27"/>
        <v>8182.9813999999988</v>
      </c>
      <c r="S183" s="9">
        <f t="shared" si="28"/>
        <v>8199</v>
      </c>
      <c r="T183" s="8">
        <f t="shared" si="29"/>
        <v>16.018600000001243</v>
      </c>
      <c r="U183" s="8">
        <f t="shared" si="30"/>
        <v>2827.9112000000005</v>
      </c>
      <c r="V183" s="8">
        <f t="shared" si="31"/>
        <v>2396.5349152542376</v>
      </c>
      <c r="W183" s="10">
        <f t="shared" si="32"/>
        <v>0.56320676901790712</v>
      </c>
    </row>
    <row r="184" spans="1:23" x14ac:dyDescent="0.3">
      <c r="A184" s="5" t="s">
        <v>27</v>
      </c>
      <c r="B184" s="5" t="s">
        <v>276</v>
      </c>
      <c r="C184" s="5"/>
      <c r="D184" s="5" t="s">
        <v>327</v>
      </c>
      <c r="E184" s="5" t="s">
        <v>328</v>
      </c>
      <c r="F184" s="5">
        <v>1</v>
      </c>
      <c r="G184" s="6">
        <v>777.78</v>
      </c>
      <c r="H184" s="5">
        <f t="shared" si="23"/>
        <v>777.78</v>
      </c>
      <c r="I184" s="7">
        <v>0.28000000000000003</v>
      </c>
      <c r="J184" s="5">
        <f t="shared" si="24"/>
        <v>995.55840000000001</v>
      </c>
      <c r="K184" s="5">
        <v>1035.1600000000001</v>
      </c>
      <c r="L184" s="5">
        <f t="shared" si="25"/>
        <v>1035.1600000000001</v>
      </c>
      <c r="M184" s="5">
        <f t="shared" si="33"/>
        <v>1325.0048000000002</v>
      </c>
      <c r="N184" s="5">
        <v>0</v>
      </c>
      <c r="O184" s="7">
        <v>0.18</v>
      </c>
      <c r="P184" s="5">
        <f t="shared" si="26"/>
        <v>0</v>
      </c>
      <c r="Q184" s="5">
        <v>0</v>
      </c>
      <c r="R184" s="8">
        <f t="shared" si="27"/>
        <v>1325.0048000000002</v>
      </c>
      <c r="S184" s="9">
        <f t="shared" si="28"/>
        <v>1349</v>
      </c>
      <c r="T184" s="8">
        <f t="shared" si="29"/>
        <v>23.995199999999841</v>
      </c>
      <c r="U184" s="8">
        <f t="shared" si="30"/>
        <v>353.44159999999999</v>
      </c>
      <c r="V184" s="8">
        <f t="shared" si="31"/>
        <v>276.12624999999997</v>
      </c>
      <c r="W184" s="10">
        <f t="shared" si="32"/>
        <v>0.35501844994728582</v>
      </c>
    </row>
    <row r="185" spans="1:23" x14ac:dyDescent="0.3">
      <c r="A185" s="5" t="s">
        <v>27</v>
      </c>
      <c r="B185" s="5" t="s">
        <v>276</v>
      </c>
      <c r="C185" s="5"/>
      <c r="D185" s="5" t="s">
        <v>329</v>
      </c>
      <c r="E185" s="5" t="s">
        <v>330</v>
      </c>
      <c r="F185" s="5">
        <v>1</v>
      </c>
      <c r="G185" s="6">
        <v>777.78</v>
      </c>
      <c r="H185" s="5">
        <f t="shared" si="23"/>
        <v>777.78</v>
      </c>
      <c r="I185" s="7">
        <v>0.28000000000000003</v>
      </c>
      <c r="J185" s="5">
        <f t="shared" si="24"/>
        <v>995.55840000000001</v>
      </c>
      <c r="K185" s="5">
        <v>1035.1600000000001</v>
      </c>
      <c r="L185" s="5">
        <f t="shared" si="25"/>
        <v>1035.1600000000001</v>
      </c>
      <c r="M185" s="5">
        <f t="shared" si="33"/>
        <v>1325.0048000000002</v>
      </c>
      <c r="N185" s="5">
        <v>0</v>
      </c>
      <c r="O185" s="7">
        <v>0.18</v>
      </c>
      <c r="P185" s="5">
        <f t="shared" si="26"/>
        <v>0</v>
      </c>
      <c r="Q185" s="5">
        <v>0</v>
      </c>
      <c r="R185" s="8">
        <f t="shared" si="27"/>
        <v>1325.0048000000002</v>
      </c>
      <c r="S185" s="9">
        <f t="shared" si="28"/>
        <v>1349</v>
      </c>
      <c r="T185" s="8">
        <f t="shared" si="29"/>
        <v>23.995199999999841</v>
      </c>
      <c r="U185" s="8">
        <f t="shared" si="30"/>
        <v>353.44159999999999</v>
      </c>
      <c r="V185" s="8">
        <f t="shared" si="31"/>
        <v>276.12624999999997</v>
      </c>
      <c r="W185" s="10">
        <f t="shared" si="32"/>
        <v>0.35501844994728582</v>
      </c>
    </row>
    <row r="186" spans="1:23" x14ac:dyDescent="0.3">
      <c r="A186" s="5" t="s">
        <v>27</v>
      </c>
      <c r="B186" s="5" t="s">
        <v>276</v>
      </c>
      <c r="C186" s="5"/>
      <c r="D186" s="5" t="s">
        <v>331</v>
      </c>
      <c r="E186" s="5" t="s">
        <v>332</v>
      </c>
      <c r="F186" s="5">
        <v>1</v>
      </c>
      <c r="G186" s="6">
        <v>500.91</v>
      </c>
      <c r="H186" s="5">
        <f t="shared" si="23"/>
        <v>500.91</v>
      </c>
      <c r="I186" s="7">
        <v>0.28000000000000003</v>
      </c>
      <c r="J186" s="5">
        <f t="shared" si="24"/>
        <v>641.16480000000001</v>
      </c>
      <c r="K186" s="5">
        <v>663.28</v>
      </c>
      <c r="L186" s="5">
        <f t="shared" si="25"/>
        <v>663.28</v>
      </c>
      <c r="M186" s="5">
        <f t="shared" si="33"/>
        <v>848.99839999999995</v>
      </c>
      <c r="N186" s="5">
        <v>100</v>
      </c>
      <c r="O186" s="7">
        <v>0.18</v>
      </c>
      <c r="P186" s="5">
        <f t="shared" si="26"/>
        <v>118</v>
      </c>
      <c r="Q186" s="5">
        <v>20</v>
      </c>
      <c r="R186" s="8">
        <f t="shared" si="27"/>
        <v>966.99839999999995</v>
      </c>
      <c r="S186" s="9">
        <f t="shared" si="28"/>
        <v>949</v>
      </c>
      <c r="T186" s="8">
        <f t="shared" si="29"/>
        <v>-17.998399999999947</v>
      </c>
      <c r="U186" s="8">
        <f t="shared" si="30"/>
        <v>287.83519999999999</v>
      </c>
      <c r="V186" s="8">
        <f t="shared" si="31"/>
        <v>224.87124999999997</v>
      </c>
      <c r="W186" s="10">
        <f t="shared" si="32"/>
        <v>0.44892545567067932</v>
      </c>
    </row>
    <row r="187" spans="1:23" x14ac:dyDescent="0.3">
      <c r="A187" s="5" t="s">
        <v>27</v>
      </c>
      <c r="B187" s="5" t="s">
        <v>276</v>
      </c>
      <c r="C187" s="5"/>
      <c r="D187" s="5" t="s">
        <v>333</v>
      </c>
      <c r="E187" s="5" t="s">
        <v>334</v>
      </c>
      <c r="F187" s="5">
        <v>1</v>
      </c>
      <c r="G187" s="6">
        <v>796.5</v>
      </c>
      <c r="H187" s="5">
        <f t="shared" si="23"/>
        <v>796.5</v>
      </c>
      <c r="I187" s="7">
        <v>0.28000000000000003</v>
      </c>
      <c r="J187" s="5">
        <f t="shared" si="24"/>
        <v>1019.52</v>
      </c>
      <c r="K187" s="5">
        <v>1054.69</v>
      </c>
      <c r="L187" s="5">
        <f t="shared" si="25"/>
        <v>1054.69</v>
      </c>
      <c r="M187" s="5">
        <f t="shared" si="33"/>
        <v>1350.0032000000001</v>
      </c>
      <c r="N187" s="5">
        <v>100</v>
      </c>
      <c r="O187" s="7">
        <v>0.18</v>
      </c>
      <c r="P187" s="5">
        <f t="shared" si="26"/>
        <v>118</v>
      </c>
      <c r="Q187" s="5">
        <v>20</v>
      </c>
      <c r="R187" s="8">
        <f t="shared" si="27"/>
        <v>1468.0032000000001</v>
      </c>
      <c r="S187" s="9">
        <f t="shared" si="28"/>
        <v>1449</v>
      </c>
      <c r="T187" s="8">
        <f t="shared" si="29"/>
        <v>-19.003200000000106</v>
      </c>
      <c r="U187" s="8">
        <f t="shared" si="30"/>
        <v>409.48</v>
      </c>
      <c r="V187" s="8">
        <f t="shared" si="31"/>
        <v>319.90625</v>
      </c>
      <c r="W187" s="10">
        <f t="shared" si="32"/>
        <v>0.40163998744507218</v>
      </c>
    </row>
    <row r="188" spans="1:23" x14ac:dyDescent="0.3">
      <c r="A188" s="5" t="s">
        <v>27</v>
      </c>
      <c r="B188" s="5" t="s">
        <v>276</v>
      </c>
      <c r="C188" s="5"/>
      <c r="D188" s="5" t="s">
        <v>335</v>
      </c>
      <c r="E188" s="5" t="s">
        <v>336</v>
      </c>
      <c r="F188" s="5">
        <v>1</v>
      </c>
      <c r="G188" s="6">
        <v>560.5</v>
      </c>
      <c r="H188" s="5">
        <f t="shared" si="23"/>
        <v>560.5</v>
      </c>
      <c r="I188" s="7">
        <v>0.28000000000000003</v>
      </c>
      <c r="J188" s="5">
        <f t="shared" si="24"/>
        <v>717.44</v>
      </c>
      <c r="K188" s="5">
        <v>742.19</v>
      </c>
      <c r="L188" s="5">
        <f t="shared" si="25"/>
        <v>742.19</v>
      </c>
      <c r="M188" s="5">
        <f t="shared" si="33"/>
        <v>950.00320000000011</v>
      </c>
      <c r="N188" s="5">
        <v>100</v>
      </c>
      <c r="O188" s="7">
        <v>0.18</v>
      </c>
      <c r="P188" s="5">
        <f t="shared" si="26"/>
        <v>118</v>
      </c>
      <c r="Q188" s="5">
        <v>20</v>
      </c>
      <c r="R188" s="8">
        <f t="shared" si="27"/>
        <v>1068.0032000000001</v>
      </c>
      <c r="S188" s="9">
        <f t="shared" si="28"/>
        <v>1049</v>
      </c>
      <c r="T188" s="8">
        <f t="shared" si="29"/>
        <v>-19.003200000000106</v>
      </c>
      <c r="U188" s="8">
        <f t="shared" si="30"/>
        <v>311.55999999999995</v>
      </c>
      <c r="V188" s="8">
        <f t="shared" si="31"/>
        <v>243.40624999999994</v>
      </c>
      <c r="W188" s="10">
        <f t="shared" si="32"/>
        <v>0.43426628010704715</v>
      </c>
    </row>
    <row r="189" spans="1:23" x14ac:dyDescent="0.3">
      <c r="A189" s="5" t="s">
        <v>27</v>
      </c>
      <c r="B189" s="5" t="s">
        <v>276</v>
      </c>
      <c r="C189" s="5"/>
      <c r="D189" s="5" t="s">
        <v>337</v>
      </c>
      <c r="E189" s="5" t="s">
        <v>338</v>
      </c>
      <c r="F189" s="5">
        <v>1</v>
      </c>
      <c r="G189" s="6">
        <v>1469.1</v>
      </c>
      <c r="H189" s="5">
        <f t="shared" si="23"/>
        <v>1469.1</v>
      </c>
      <c r="I189" s="7">
        <v>0.28000000000000003</v>
      </c>
      <c r="J189" s="5">
        <f t="shared" si="24"/>
        <v>1880.4479999999999</v>
      </c>
      <c r="K189" s="5">
        <v>1945.31</v>
      </c>
      <c r="L189" s="5">
        <f t="shared" si="25"/>
        <v>1945.31</v>
      </c>
      <c r="M189" s="5">
        <f t="shared" si="33"/>
        <v>2489.9967999999999</v>
      </c>
      <c r="N189" s="5">
        <v>100</v>
      </c>
      <c r="O189" s="7">
        <v>0.18</v>
      </c>
      <c r="P189" s="5">
        <f t="shared" si="26"/>
        <v>118</v>
      </c>
      <c r="Q189" s="5">
        <v>20</v>
      </c>
      <c r="R189" s="8">
        <f t="shared" si="27"/>
        <v>2607.9967999999999</v>
      </c>
      <c r="S189" s="9">
        <f t="shared" si="28"/>
        <v>2599</v>
      </c>
      <c r="T189" s="8">
        <f t="shared" si="29"/>
        <v>-8.9967999999998938</v>
      </c>
      <c r="U189" s="8">
        <f t="shared" si="30"/>
        <v>698.55200000000013</v>
      </c>
      <c r="V189" s="8">
        <f t="shared" si="31"/>
        <v>545.74375000000009</v>
      </c>
      <c r="W189" s="10">
        <f t="shared" si="32"/>
        <v>0.37148168946974347</v>
      </c>
    </row>
    <row r="190" spans="1:23" x14ac:dyDescent="0.3">
      <c r="A190" s="5" t="s">
        <v>27</v>
      </c>
      <c r="B190" s="5" t="s">
        <v>276</v>
      </c>
      <c r="C190" s="5"/>
      <c r="D190" s="5" t="s">
        <v>339</v>
      </c>
      <c r="E190" s="5" t="s">
        <v>340</v>
      </c>
      <c r="F190" s="5">
        <v>1</v>
      </c>
      <c r="G190" s="6">
        <v>560.5</v>
      </c>
      <c r="H190" s="5">
        <f t="shared" si="23"/>
        <v>560.5</v>
      </c>
      <c r="I190" s="7">
        <v>0.28000000000000003</v>
      </c>
      <c r="J190" s="5">
        <f t="shared" si="24"/>
        <v>717.44</v>
      </c>
      <c r="K190" s="5">
        <v>742.19</v>
      </c>
      <c r="L190" s="5">
        <f t="shared" si="25"/>
        <v>742.19</v>
      </c>
      <c r="M190" s="5">
        <f t="shared" si="33"/>
        <v>950.00320000000011</v>
      </c>
      <c r="N190" s="5">
        <v>100</v>
      </c>
      <c r="O190" s="7">
        <v>0.18</v>
      </c>
      <c r="P190" s="5">
        <f t="shared" si="26"/>
        <v>118</v>
      </c>
      <c r="Q190" s="5">
        <v>20</v>
      </c>
      <c r="R190" s="8">
        <f t="shared" si="27"/>
        <v>1068.0032000000001</v>
      </c>
      <c r="S190" s="9">
        <f t="shared" si="28"/>
        <v>1049</v>
      </c>
      <c r="T190" s="8">
        <f t="shared" si="29"/>
        <v>-19.003200000000106</v>
      </c>
      <c r="U190" s="8">
        <f t="shared" si="30"/>
        <v>311.55999999999995</v>
      </c>
      <c r="V190" s="8">
        <f t="shared" si="31"/>
        <v>243.40624999999994</v>
      </c>
      <c r="W190" s="10">
        <f t="shared" si="32"/>
        <v>0.43426628010704715</v>
      </c>
    </row>
    <row r="191" spans="1:23" x14ac:dyDescent="0.3">
      <c r="A191" s="5" t="s">
        <v>27</v>
      </c>
      <c r="B191" s="5" t="s">
        <v>276</v>
      </c>
      <c r="C191" s="5"/>
      <c r="D191" s="5" t="s">
        <v>341</v>
      </c>
      <c r="E191" s="5" t="s">
        <v>342</v>
      </c>
      <c r="F191" s="5">
        <v>1</v>
      </c>
      <c r="G191" s="6">
        <v>471.41</v>
      </c>
      <c r="H191" s="5">
        <f t="shared" si="23"/>
        <v>471.41</v>
      </c>
      <c r="I191" s="7">
        <v>0.28000000000000003</v>
      </c>
      <c r="J191" s="5">
        <f t="shared" si="24"/>
        <v>603.40480000000002</v>
      </c>
      <c r="K191" s="5">
        <v>624.22</v>
      </c>
      <c r="L191" s="5">
        <f t="shared" si="25"/>
        <v>624.22</v>
      </c>
      <c r="M191" s="5">
        <f t="shared" si="33"/>
        <v>799.00160000000005</v>
      </c>
      <c r="N191" s="5">
        <v>100</v>
      </c>
      <c r="O191" s="7">
        <v>0.18</v>
      </c>
      <c r="P191" s="5">
        <f t="shared" si="26"/>
        <v>118</v>
      </c>
      <c r="Q191" s="5">
        <v>20</v>
      </c>
      <c r="R191" s="8">
        <f t="shared" si="27"/>
        <v>917.00160000000005</v>
      </c>
      <c r="S191" s="9">
        <f t="shared" si="28"/>
        <v>899</v>
      </c>
      <c r="T191" s="8">
        <f t="shared" si="29"/>
        <v>-18.001600000000053</v>
      </c>
      <c r="U191" s="8">
        <f t="shared" si="30"/>
        <v>275.59519999999998</v>
      </c>
      <c r="V191" s="8">
        <f t="shared" si="31"/>
        <v>215.30874999999997</v>
      </c>
      <c r="W191" s="10">
        <f t="shared" si="32"/>
        <v>0.45673352283574797</v>
      </c>
    </row>
    <row r="192" spans="1:23" x14ac:dyDescent="0.3">
      <c r="A192" s="5" t="s">
        <v>27</v>
      </c>
      <c r="B192" s="5" t="s">
        <v>276</v>
      </c>
      <c r="C192" s="5"/>
      <c r="D192" s="5" t="s">
        <v>343</v>
      </c>
      <c r="E192" s="5" t="s">
        <v>344</v>
      </c>
      <c r="F192" s="5">
        <v>1</v>
      </c>
      <c r="G192" s="6">
        <v>890.9</v>
      </c>
      <c r="H192" s="5">
        <f t="shared" si="23"/>
        <v>890.9</v>
      </c>
      <c r="I192" s="7">
        <v>0.28000000000000003</v>
      </c>
      <c r="J192" s="5">
        <f t="shared" si="24"/>
        <v>1140.3520000000001</v>
      </c>
      <c r="K192" s="5">
        <v>1179.69</v>
      </c>
      <c r="L192" s="5">
        <f t="shared" si="25"/>
        <v>1179.69</v>
      </c>
      <c r="M192" s="5">
        <f t="shared" si="33"/>
        <v>1510.0032000000001</v>
      </c>
      <c r="N192" s="5">
        <v>100</v>
      </c>
      <c r="O192" s="7">
        <v>0.18</v>
      </c>
      <c r="P192" s="5">
        <f t="shared" si="26"/>
        <v>118</v>
      </c>
      <c r="Q192" s="5">
        <v>20</v>
      </c>
      <c r="R192" s="8">
        <f t="shared" si="27"/>
        <v>1628.0032000000001</v>
      </c>
      <c r="S192" s="9">
        <f t="shared" si="28"/>
        <v>1649</v>
      </c>
      <c r="T192" s="8">
        <f t="shared" si="29"/>
        <v>20.996799999999894</v>
      </c>
      <c r="U192" s="8">
        <f t="shared" si="30"/>
        <v>488.64799999999991</v>
      </c>
      <c r="V192" s="8">
        <f t="shared" si="31"/>
        <v>381.75624999999991</v>
      </c>
      <c r="W192" s="10">
        <f t="shared" si="32"/>
        <v>0.4285062857784262</v>
      </c>
    </row>
    <row r="193" spans="1:23" x14ac:dyDescent="0.3">
      <c r="A193" s="5" t="s">
        <v>27</v>
      </c>
      <c r="B193" s="5" t="s">
        <v>276</v>
      </c>
      <c r="C193" s="5"/>
      <c r="D193" s="5" t="s">
        <v>345</v>
      </c>
      <c r="E193" s="5" t="s">
        <v>346</v>
      </c>
      <c r="F193" s="5">
        <v>1</v>
      </c>
      <c r="G193" s="6">
        <v>1773.2</v>
      </c>
      <c r="H193" s="5">
        <f t="shared" si="23"/>
        <v>1773.2</v>
      </c>
      <c r="I193" s="7">
        <v>0.28000000000000003</v>
      </c>
      <c r="J193" s="5">
        <f t="shared" si="24"/>
        <v>2269.6959999999999</v>
      </c>
      <c r="K193" s="5">
        <v>2234.38</v>
      </c>
      <c r="L193" s="5">
        <f t="shared" si="25"/>
        <v>2234.38</v>
      </c>
      <c r="M193" s="5">
        <f t="shared" si="33"/>
        <v>2860.0064000000002</v>
      </c>
      <c r="N193" s="5">
        <v>0</v>
      </c>
      <c r="O193" s="7">
        <v>0.18</v>
      </c>
      <c r="P193" s="5">
        <f t="shared" si="26"/>
        <v>0</v>
      </c>
      <c r="Q193" s="5">
        <v>0</v>
      </c>
      <c r="R193" s="8">
        <f t="shared" si="27"/>
        <v>2860.0064000000002</v>
      </c>
      <c r="S193" s="9">
        <f t="shared" si="28"/>
        <v>2849</v>
      </c>
      <c r="T193" s="8">
        <f t="shared" si="29"/>
        <v>-11.006400000000212</v>
      </c>
      <c r="U193" s="8">
        <f t="shared" si="30"/>
        <v>579.30400000000009</v>
      </c>
      <c r="V193" s="8">
        <f t="shared" si="31"/>
        <v>452.58125000000007</v>
      </c>
      <c r="W193" s="10">
        <f t="shared" si="32"/>
        <v>0.25523418114143925</v>
      </c>
    </row>
    <row r="194" spans="1:23" x14ac:dyDescent="0.3">
      <c r="A194" s="5" t="s">
        <v>27</v>
      </c>
      <c r="B194" s="5" t="s">
        <v>276</v>
      </c>
      <c r="C194" s="5"/>
      <c r="D194" s="5" t="s">
        <v>347</v>
      </c>
      <c r="E194" s="5" t="s">
        <v>348</v>
      </c>
      <c r="F194" s="5">
        <v>1</v>
      </c>
      <c r="G194" s="6">
        <f>16730+G195</f>
        <v>17732.400000000001</v>
      </c>
      <c r="H194" s="5">
        <f t="shared" ref="H194:H235" si="34">G194*F194</f>
        <v>17732.400000000001</v>
      </c>
      <c r="I194" s="7">
        <v>0.18</v>
      </c>
      <c r="J194" s="5">
        <f t="shared" ref="J194:J235" si="35">H194*(100%+I194)</f>
        <v>20924.232</v>
      </c>
      <c r="K194" s="5">
        <f>20254.24+K195</f>
        <v>21467.800000000003</v>
      </c>
      <c r="L194" s="5">
        <f t="shared" ref="L194:L235" si="36">K194*F194</f>
        <v>21467.800000000003</v>
      </c>
      <c r="M194" s="5">
        <f t="shared" si="33"/>
        <v>25332.004000000001</v>
      </c>
      <c r="N194" s="5">
        <v>1000</v>
      </c>
      <c r="O194" s="7">
        <v>0.18</v>
      </c>
      <c r="P194" s="5">
        <f t="shared" ref="P194:P235" si="37">N194*(100%+O194)</f>
        <v>1180</v>
      </c>
      <c r="Q194" s="5">
        <v>250</v>
      </c>
      <c r="R194" s="8">
        <f t="shared" ref="R194:R255" si="38">M194+P194</f>
        <v>26512.004000000001</v>
      </c>
      <c r="S194" s="9">
        <f t="shared" ref="S194:S235" si="39">IF(OR(D194="Welcome Kit - Personal",D194="Welcome Kit - Commercial"),0,MROUND(R194,50)-1)</f>
        <v>26499</v>
      </c>
      <c r="T194" s="8">
        <f t="shared" ref="T194:T235" si="40">S194-R194</f>
        <v>-13.004000000000815</v>
      </c>
      <c r="U194" s="8">
        <f t="shared" ref="U194:U255" si="41">S194-J194-Q194</f>
        <v>5324.768</v>
      </c>
      <c r="V194" s="8">
        <f t="shared" ref="V194:V235" si="42">U194/(100%+I194)</f>
        <v>4512.515254237288</v>
      </c>
      <c r="W194" s="10">
        <f t="shared" ref="W194:W235" si="43">IFERROR(V194/H194,0)</f>
        <v>0.25447853952297983</v>
      </c>
    </row>
    <row r="195" spans="1:23" x14ac:dyDescent="0.3">
      <c r="A195" s="5" t="s">
        <v>27</v>
      </c>
      <c r="B195" s="5" t="s">
        <v>276</v>
      </c>
      <c r="C195" s="5"/>
      <c r="D195" s="5" t="s">
        <v>349</v>
      </c>
      <c r="E195" s="5" t="s">
        <v>350</v>
      </c>
      <c r="F195" s="5">
        <v>1</v>
      </c>
      <c r="G195" s="6">
        <v>1002.4</v>
      </c>
      <c r="H195" s="5">
        <f t="shared" si="34"/>
        <v>1002.4</v>
      </c>
      <c r="I195" s="7">
        <v>0.18</v>
      </c>
      <c r="J195" s="5">
        <f t="shared" si="35"/>
        <v>1182.8319999999999</v>
      </c>
      <c r="K195" s="5">
        <v>1213.56</v>
      </c>
      <c r="L195" s="5">
        <f t="shared" si="36"/>
        <v>1213.56</v>
      </c>
      <c r="M195" s="5">
        <f t="shared" si="33"/>
        <v>1432.0007999999998</v>
      </c>
      <c r="N195" s="5">
        <v>0</v>
      </c>
      <c r="O195" s="7">
        <v>0.18</v>
      </c>
      <c r="P195" s="5">
        <f t="shared" si="37"/>
        <v>0</v>
      </c>
      <c r="Q195" s="5">
        <v>0</v>
      </c>
      <c r="R195" s="8">
        <f t="shared" si="38"/>
        <v>1432.0007999999998</v>
      </c>
      <c r="S195" s="9">
        <f t="shared" si="39"/>
        <v>1449</v>
      </c>
      <c r="T195" s="8">
        <f t="shared" si="40"/>
        <v>16.999200000000201</v>
      </c>
      <c r="U195" s="8">
        <f t="shared" si="41"/>
        <v>266.16800000000012</v>
      </c>
      <c r="V195" s="8">
        <f t="shared" si="42"/>
        <v>225.56610169491537</v>
      </c>
      <c r="W195" s="10">
        <f t="shared" si="43"/>
        <v>0.22502603920083339</v>
      </c>
    </row>
    <row r="196" spans="1:23" x14ac:dyDescent="0.3">
      <c r="A196" s="5" t="s">
        <v>27</v>
      </c>
      <c r="B196" s="5" t="s">
        <v>276</v>
      </c>
      <c r="C196" s="5"/>
      <c r="D196" s="5" t="s">
        <v>351</v>
      </c>
      <c r="E196" s="5" t="s">
        <v>352</v>
      </c>
      <c r="F196" s="5">
        <v>1</v>
      </c>
      <c r="G196" s="6">
        <v>2539.12</v>
      </c>
      <c r="H196" s="5">
        <f t="shared" si="34"/>
        <v>2539.12</v>
      </c>
      <c r="I196" s="7">
        <v>0.18</v>
      </c>
      <c r="J196" s="5">
        <f t="shared" si="35"/>
        <v>2996.1615999999999</v>
      </c>
      <c r="K196" s="5">
        <v>3164.41</v>
      </c>
      <c r="L196" s="5">
        <f t="shared" si="36"/>
        <v>3164.41</v>
      </c>
      <c r="M196" s="5">
        <f t="shared" si="33"/>
        <v>3734.0037999999995</v>
      </c>
      <c r="N196" s="5">
        <v>650</v>
      </c>
      <c r="O196" s="7">
        <v>0.18</v>
      </c>
      <c r="P196" s="5">
        <f t="shared" si="37"/>
        <v>767</v>
      </c>
      <c r="Q196" s="5">
        <v>150</v>
      </c>
      <c r="R196" s="8">
        <f t="shared" si="38"/>
        <v>4501.0037999999995</v>
      </c>
      <c r="S196" s="9">
        <f t="shared" si="39"/>
        <v>4499</v>
      </c>
      <c r="T196" s="8">
        <f t="shared" si="40"/>
        <v>-2.0037999999995009</v>
      </c>
      <c r="U196" s="8">
        <f t="shared" si="41"/>
        <v>1352.8384000000001</v>
      </c>
      <c r="V196" s="8">
        <f t="shared" si="42"/>
        <v>1146.4732203389831</v>
      </c>
      <c r="W196" s="10">
        <f t="shared" si="43"/>
        <v>0.45152384303970788</v>
      </c>
    </row>
    <row r="197" spans="1:23" x14ac:dyDescent="0.3">
      <c r="A197" s="5" t="s">
        <v>27</v>
      </c>
      <c r="B197" s="5" t="s">
        <v>353</v>
      </c>
      <c r="C197" s="5"/>
      <c r="D197" s="5" t="s">
        <v>354</v>
      </c>
      <c r="E197" s="5" t="s">
        <v>355</v>
      </c>
      <c r="F197" s="5">
        <v>1</v>
      </c>
      <c r="G197" s="6">
        <v>5579.38</v>
      </c>
      <c r="H197" s="5">
        <f t="shared" si="34"/>
        <v>5579.38</v>
      </c>
      <c r="I197" s="7">
        <v>0.28000000000000003</v>
      </c>
      <c r="J197" s="5">
        <f t="shared" si="35"/>
        <v>7141.6064000000006</v>
      </c>
      <c r="K197" s="5">
        <v>7030.47</v>
      </c>
      <c r="L197" s="5">
        <f t="shared" si="36"/>
        <v>7030.47</v>
      </c>
      <c r="M197" s="5">
        <f t="shared" si="33"/>
        <v>8999.0016000000014</v>
      </c>
      <c r="N197" s="5">
        <v>0</v>
      </c>
      <c r="O197" s="7">
        <v>0.18</v>
      </c>
      <c r="P197" s="5">
        <f t="shared" si="37"/>
        <v>0</v>
      </c>
      <c r="Q197" s="5">
        <v>10</v>
      </c>
      <c r="R197" s="8">
        <f t="shared" si="38"/>
        <v>8999.0016000000014</v>
      </c>
      <c r="S197" s="9">
        <f t="shared" si="39"/>
        <v>8999</v>
      </c>
      <c r="T197" s="8">
        <f t="shared" si="40"/>
        <v>-1.6000000014173565E-3</v>
      </c>
      <c r="U197" s="8">
        <f t="shared" si="41"/>
        <v>1847.3935999999994</v>
      </c>
      <c r="V197" s="8">
        <f t="shared" si="42"/>
        <v>1443.2762499999994</v>
      </c>
      <c r="W197" s="10">
        <f t="shared" si="43"/>
        <v>0.25868039997275671</v>
      </c>
    </row>
    <row r="198" spans="1:23" x14ac:dyDescent="0.3">
      <c r="A198" s="5" t="s">
        <v>27</v>
      </c>
      <c r="B198" s="5" t="s">
        <v>353</v>
      </c>
      <c r="C198" s="5"/>
      <c r="D198" s="5" t="s">
        <v>356</v>
      </c>
      <c r="E198" s="5" t="s">
        <v>357</v>
      </c>
      <c r="F198" s="5">
        <v>1</v>
      </c>
      <c r="G198" s="6">
        <v>527</v>
      </c>
      <c r="H198" s="5">
        <f t="shared" si="34"/>
        <v>527</v>
      </c>
      <c r="I198" s="7">
        <v>0.28000000000000003</v>
      </c>
      <c r="J198" s="5">
        <f t="shared" si="35"/>
        <v>674.56000000000006</v>
      </c>
      <c r="K198" s="5">
        <v>664.06</v>
      </c>
      <c r="L198" s="5">
        <f t="shared" si="36"/>
        <v>664.06</v>
      </c>
      <c r="M198" s="5">
        <f t="shared" si="33"/>
        <v>849.99679999999989</v>
      </c>
      <c r="N198" s="5">
        <v>100</v>
      </c>
      <c r="O198" s="7">
        <v>0.18</v>
      </c>
      <c r="P198" s="5">
        <f t="shared" si="37"/>
        <v>118</v>
      </c>
      <c r="Q198" s="5">
        <v>10</v>
      </c>
      <c r="R198" s="8">
        <f t="shared" si="38"/>
        <v>967.99679999999989</v>
      </c>
      <c r="S198" s="9">
        <f t="shared" si="39"/>
        <v>949</v>
      </c>
      <c r="T198" s="8">
        <f t="shared" si="40"/>
        <v>-18.996799999999894</v>
      </c>
      <c r="U198" s="8">
        <f t="shared" si="41"/>
        <v>264.43999999999994</v>
      </c>
      <c r="V198" s="8">
        <f t="shared" si="42"/>
        <v>206.59374999999994</v>
      </c>
      <c r="W198" s="10">
        <f t="shared" si="43"/>
        <v>0.3920185009487665</v>
      </c>
    </row>
    <row r="199" spans="1:23" x14ac:dyDescent="0.3">
      <c r="A199" s="5" t="s">
        <v>27</v>
      </c>
      <c r="B199" s="5" t="s">
        <v>353</v>
      </c>
      <c r="C199" s="5"/>
      <c r="D199" s="5" t="s">
        <v>358</v>
      </c>
      <c r="E199" s="5" t="s">
        <v>359</v>
      </c>
      <c r="F199" s="5">
        <v>1</v>
      </c>
      <c r="G199" s="6">
        <v>371.38</v>
      </c>
      <c r="H199" s="5">
        <f t="shared" si="34"/>
        <v>371.38</v>
      </c>
      <c r="I199" s="7">
        <v>0.28000000000000003</v>
      </c>
      <c r="J199" s="5">
        <f t="shared" si="35"/>
        <v>475.3664</v>
      </c>
      <c r="K199" s="5">
        <v>467.97</v>
      </c>
      <c r="L199" s="5">
        <f t="shared" si="36"/>
        <v>467.97</v>
      </c>
      <c r="M199" s="5">
        <f t="shared" si="33"/>
        <v>599.00160000000005</v>
      </c>
      <c r="N199" s="5">
        <v>50</v>
      </c>
      <c r="O199" s="7">
        <v>0.18</v>
      </c>
      <c r="P199" s="5">
        <f t="shared" si="37"/>
        <v>59</v>
      </c>
      <c r="Q199" s="5">
        <v>10</v>
      </c>
      <c r="R199" s="8">
        <f t="shared" si="38"/>
        <v>658.00160000000005</v>
      </c>
      <c r="S199" s="9">
        <f t="shared" si="39"/>
        <v>649</v>
      </c>
      <c r="T199" s="8">
        <f t="shared" si="40"/>
        <v>-9.0016000000000531</v>
      </c>
      <c r="U199" s="8">
        <f t="shared" si="41"/>
        <v>163.6336</v>
      </c>
      <c r="V199" s="8">
        <f t="shared" si="42"/>
        <v>127.83875</v>
      </c>
      <c r="W199" s="10">
        <f t="shared" si="43"/>
        <v>0.3442262642037805</v>
      </c>
    </row>
    <row r="200" spans="1:23" x14ac:dyDescent="0.3">
      <c r="A200" s="5" t="s">
        <v>27</v>
      </c>
      <c r="B200" s="5" t="s">
        <v>353</v>
      </c>
      <c r="C200" s="5"/>
      <c r="D200" s="5" t="s">
        <v>360</v>
      </c>
      <c r="E200" s="5" t="s">
        <v>361</v>
      </c>
      <c r="F200" s="5">
        <v>1</v>
      </c>
      <c r="G200" s="6">
        <v>589</v>
      </c>
      <c r="H200" s="5">
        <f t="shared" si="34"/>
        <v>589</v>
      </c>
      <c r="I200" s="7">
        <v>0.28000000000000003</v>
      </c>
      <c r="J200" s="5">
        <f t="shared" si="35"/>
        <v>753.92</v>
      </c>
      <c r="K200" s="5">
        <v>742.19</v>
      </c>
      <c r="L200" s="5">
        <f t="shared" si="36"/>
        <v>742.19</v>
      </c>
      <c r="M200" s="5">
        <f t="shared" si="33"/>
        <v>950.00320000000011</v>
      </c>
      <c r="N200" s="5">
        <v>50</v>
      </c>
      <c r="O200" s="7">
        <v>0.18</v>
      </c>
      <c r="P200" s="5">
        <f t="shared" si="37"/>
        <v>59</v>
      </c>
      <c r="Q200" s="5">
        <v>10</v>
      </c>
      <c r="R200" s="8">
        <f t="shared" si="38"/>
        <v>1009.0032000000001</v>
      </c>
      <c r="S200" s="9">
        <f t="shared" si="39"/>
        <v>999</v>
      </c>
      <c r="T200" s="8">
        <f t="shared" si="40"/>
        <v>-10.003200000000106</v>
      </c>
      <c r="U200" s="8">
        <f t="shared" si="41"/>
        <v>235.08000000000004</v>
      </c>
      <c r="V200" s="8">
        <f t="shared" si="42"/>
        <v>183.65625000000003</v>
      </c>
      <c r="W200" s="10">
        <f t="shared" si="43"/>
        <v>0.31181027164685915</v>
      </c>
    </row>
    <row r="201" spans="1:23" x14ac:dyDescent="0.3">
      <c r="A201" s="5" t="s">
        <v>27</v>
      </c>
      <c r="B201" s="5" t="s">
        <v>353</v>
      </c>
      <c r="C201" s="5"/>
      <c r="D201" s="5" t="s">
        <v>362</v>
      </c>
      <c r="E201" s="5" t="s">
        <v>363</v>
      </c>
      <c r="F201" s="5">
        <v>1</v>
      </c>
      <c r="G201" s="6">
        <v>1859.38</v>
      </c>
      <c r="H201" s="5">
        <f t="shared" si="34"/>
        <v>1859.38</v>
      </c>
      <c r="I201" s="7">
        <v>0.28000000000000003</v>
      </c>
      <c r="J201" s="5">
        <f t="shared" si="35"/>
        <v>2380.0064000000002</v>
      </c>
      <c r="K201" s="5">
        <v>2342.9699999999998</v>
      </c>
      <c r="L201" s="5">
        <f t="shared" si="36"/>
        <v>2342.9699999999998</v>
      </c>
      <c r="M201" s="5">
        <f t="shared" si="33"/>
        <v>2999.0015999999996</v>
      </c>
      <c r="N201" s="5">
        <v>100</v>
      </c>
      <c r="O201" s="7">
        <v>0.18</v>
      </c>
      <c r="P201" s="5">
        <f t="shared" si="37"/>
        <v>118</v>
      </c>
      <c r="Q201" s="5">
        <v>10</v>
      </c>
      <c r="R201" s="8">
        <f t="shared" si="38"/>
        <v>3117.0015999999996</v>
      </c>
      <c r="S201" s="9">
        <f t="shared" si="39"/>
        <v>3099</v>
      </c>
      <c r="T201" s="8">
        <f t="shared" si="40"/>
        <v>-18.001599999999598</v>
      </c>
      <c r="U201" s="8">
        <f t="shared" si="41"/>
        <v>708.99359999999979</v>
      </c>
      <c r="V201" s="8">
        <f t="shared" si="42"/>
        <v>553.90124999999978</v>
      </c>
      <c r="W201" s="10">
        <f t="shared" si="43"/>
        <v>0.2978956695242499</v>
      </c>
    </row>
    <row r="202" spans="1:23" x14ac:dyDescent="0.3">
      <c r="A202" s="5" t="s">
        <v>27</v>
      </c>
      <c r="B202" s="5" t="s">
        <v>353</v>
      </c>
      <c r="C202" s="5"/>
      <c r="D202" s="5" t="s">
        <v>281</v>
      </c>
      <c r="E202" s="5" t="s">
        <v>364</v>
      </c>
      <c r="F202" s="5">
        <v>1</v>
      </c>
      <c r="G202" s="6">
        <v>1240</v>
      </c>
      <c r="H202" s="5">
        <f t="shared" si="34"/>
        <v>1240</v>
      </c>
      <c r="I202" s="7">
        <v>0.28000000000000003</v>
      </c>
      <c r="J202" s="5">
        <f t="shared" si="35"/>
        <v>1587.2</v>
      </c>
      <c r="K202" s="5">
        <v>1562.5</v>
      </c>
      <c r="L202" s="5">
        <f t="shared" si="36"/>
        <v>1562.5</v>
      </c>
      <c r="M202" s="5">
        <f t="shared" si="33"/>
        <v>2000</v>
      </c>
      <c r="N202" s="5">
        <v>600</v>
      </c>
      <c r="O202" s="7">
        <v>0.18</v>
      </c>
      <c r="P202" s="5">
        <f t="shared" si="37"/>
        <v>708</v>
      </c>
      <c r="Q202" s="5">
        <v>100</v>
      </c>
      <c r="R202" s="8">
        <f t="shared" si="38"/>
        <v>2708</v>
      </c>
      <c r="S202" s="9">
        <f t="shared" si="39"/>
        <v>2699</v>
      </c>
      <c r="T202" s="8">
        <f t="shared" si="40"/>
        <v>-9</v>
      </c>
      <c r="U202" s="8">
        <f t="shared" si="41"/>
        <v>1011.8</v>
      </c>
      <c r="V202" s="8">
        <f t="shared" si="42"/>
        <v>790.46875</v>
      </c>
      <c r="W202" s="10">
        <f t="shared" si="43"/>
        <v>0.63747479838709675</v>
      </c>
    </row>
    <row r="203" spans="1:23" x14ac:dyDescent="0.3">
      <c r="A203" s="5" t="s">
        <v>27</v>
      </c>
      <c r="B203" s="5" t="s">
        <v>353</v>
      </c>
      <c r="C203" s="5"/>
      <c r="D203" s="5" t="s">
        <v>365</v>
      </c>
      <c r="E203" s="5" t="s">
        <v>366</v>
      </c>
      <c r="F203" s="5">
        <v>1</v>
      </c>
      <c r="G203" s="6">
        <v>929.38</v>
      </c>
      <c r="H203" s="5">
        <f t="shared" si="34"/>
        <v>929.38</v>
      </c>
      <c r="I203" s="7">
        <v>0.28000000000000003</v>
      </c>
      <c r="J203" s="5">
        <f t="shared" si="35"/>
        <v>1189.6064000000001</v>
      </c>
      <c r="K203" s="5">
        <v>1171.0899999999999</v>
      </c>
      <c r="L203" s="5">
        <f t="shared" si="36"/>
        <v>1171.0899999999999</v>
      </c>
      <c r="M203" s="5">
        <f t="shared" si="33"/>
        <v>1498.9951999999998</v>
      </c>
      <c r="N203" s="5">
        <v>250</v>
      </c>
      <c r="O203" s="7">
        <v>0.18</v>
      </c>
      <c r="P203" s="5">
        <f t="shared" si="37"/>
        <v>295</v>
      </c>
      <c r="Q203" s="5">
        <v>20</v>
      </c>
      <c r="R203" s="8">
        <f t="shared" si="38"/>
        <v>1793.9951999999998</v>
      </c>
      <c r="S203" s="9">
        <f t="shared" si="39"/>
        <v>1799</v>
      </c>
      <c r="T203" s="8">
        <f t="shared" si="40"/>
        <v>5.0048000000001593</v>
      </c>
      <c r="U203" s="8">
        <f t="shared" si="41"/>
        <v>589.39359999999988</v>
      </c>
      <c r="V203" s="8">
        <f t="shared" si="42"/>
        <v>460.46374999999989</v>
      </c>
      <c r="W203" s="10">
        <f t="shared" si="43"/>
        <v>0.4954526135703371</v>
      </c>
    </row>
    <row r="204" spans="1:23" x14ac:dyDescent="0.3">
      <c r="A204" s="5" t="s">
        <v>27</v>
      </c>
      <c r="B204" s="5" t="s">
        <v>353</v>
      </c>
      <c r="C204" s="5"/>
      <c r="D204" s="5" t="s">
        <v>367</v>
      </c>
      <c r="E204" s="5" t="s">
        <v>368</v>
      </c>
      <c r="F204" s="5">
        <v>1</v>
      </c>
      <c r="G204" s="6">
        <v>1519.24</v>
      </c>
      <c r="H204" s="5">
        <f t="shared" si="34"/>
        <v>1519.24</v>
      </c>
      <c r="I204" s="7">
        <v>0.12</v>
      </c>
      <c r="J204" s="5">
        <f t="shared" si="35"/>
        <v>1701.5488000000003</v>
      </c>
      <c r="K204" s="5">
        <v>1784.82</v>
      </c>
      <c r="L204" s="5">
        <f t="shared" si="36"/>
        <v>1784.82</v>
      </c>
      <c r="M204" s="5">
        <f t="shared" si="33"/>
        <v>1998.9984000000002</v>
      </c>
      <c r="N204" s="5">
        <v>0</v>
      </c>
      <c r="O204" s="7">
        <v>0.18</v>
      </c>
      <c r="P204" s="5">
        <f t="shared" si="37"/>
        <v>0</v>
      </c>
      <c r="Q204" s="5">
        <v>0</v>
      </c>
      <c r="R204" s="8">
        <f t="shared" si="38"/>
        <v>1998.9984000000002</v>
      </c>
      <c r="S204" s="9">
        <f t="shared" si="39"/>
        <v>1999</v>
      </c>
      <c r="T204" s="8">
        <f t="shared" si="40"/>
        <v>1.5999999998257408E-3</v>
      </c>
      <c r="U204" s="8">
        <f t="shared" si="41"/>
        <v>297.45119999999974</v>
      </c>
      <c r="V204" s="8">
        <f t="shared" si="42"/>
        <v>265.58142857142832</v>
      </c>
      <c r="W204" s="10">
        <f t="shared" si="43"/>
        <v>0.17481203007518781</v>
      </c>
    </row>
    <row r="205" spans="1:23" x14ac:dyDescent="0.3">
      <c r="A205" s="5" t="s">
        <v>27</v>
      </c>
      <c r="B205" s="5" t="s">
        <v>353</v>
      </c>
      <c r="C205" s="5"/>
      <c r="D205" s="5" t="s">
        <v>369</v>
      </c>
      <c r="E205" s="5" t="s">
        <v>370</v>
      </c>
      <c r="F205" s="5">
        <v>1</v>
      </c>
      <c r="G205" s="6">
        <v>1671.24</v>
      </c>
      <c r="H205" s="5">
        <f t="shared" si="34"/>
        <v>1671.24</v>
      </c>
      <c r="I205" s="7">
        <v>0.12</v>
      </c>
      <c r="J205" s="5">
        <f t="shared" si="35"/>
        <v>1871.7888000000003</v>
      </c>
      <c r="K205" s="5">
        <v>1963.39</v>
      </c>
      <c r="L205" s="5">
        <f t="shared" si="36"/>
        <v>1963.39</v>
      </c>
      <c r="M205" s="5">
        <f t="shared" si="33"/>
        <v>2198.9968000000003</v>
      </c>
      <c r="N205" s="5">
        <v>0</v>
      </c>
      <c r="O205" s="7">
        <v>0.18</v>
      </c>
      <c r="P205" s="5">
        <f t="shared" si="37"/>
        <v>0</v>
      </c>
      <c r="Q205" s="5">
        <v>0</v>
      </c>
      <c r="R205" s="8">
        <f t="shared" si="38"/>
        <v>2198.9968000000003</v>
      </c>
      <c r="S205" s="9">
        <f t="shared" si="39"/>
        <v>2199</v>
      </c>
      <c r="T205" s="8">
        <f t="shared" si="40"/>
        <v>3.1999999996514816E-3</v>
      </c>
      <c r="U205" s="8">
        <f t="shared" si="41"/>
        <v>327.21119999999974</v>
      </c>
      <c r="V205" s="8">
        <f t="shared" si="42"/>
        <v>292.15285714285687</v>
      </c>
      <c r="W205" s="10">
        <f t="shared" si="43"/>
        <v>0.17481203007518781</v>
      </c>
    </row>
    <row r="206" spans="1:23" x14ac:dyDescent="0.3">
      <c r="A206" s="5" t="s">
        <v>27</v>
      </c>
      <c r="B206" s="5" t="s">
        <v>353</v>
      </c>
      <c r="C206" s="5"/>
      <c r="D206" s="5" t="s">
        <v>354</v>
      </c>
      <c r="E206" s="5" t="s">
        <v>371</v>
      </c>
      <c r="F206" s="5">
        <v>1</v>
      </c>
      <c r="G206" s="6">
        <v>5579.38</v>
      </c>
      <c r="H206" s="5">
        <f t="shared" si="34"/>
        <v>5579.38</v>
      </c>
      <c r="I206" s="7">
        <v>0.28000000000000003</v>
      </c>
      <c r="J206" s="5">
        <f t="shared" si="35"/>
        <v>7141.6064000000006</v>
      </c>
      <c r="K206" s="5">
        <v>7030.47</v>
      </c>
      <c r="L206" s="5">
        <f t="shared" si="36"/>
        <v>7030.47</v>
      </c>
      <c r="M206" s="5">
        <f t="shared" si="33"/>
        <v>8999.0016000000014</v>
      </c>
      <c r="N206" s="5">
        <v>0</v>
      </c>
      <c r="O206" s="7">
        <v>0.18</v>
      </c>
      <c r="P206" s="5">
        <f t="shared" si="37"/>
        <v>0</v>
      </c>
      <c r="Q206" s="5">
        <v>0</v>
      </c>
      <c r="R206" s="8">
        <f t="shared" si="38"/>
        <v>8999.0016000000014</v>
      </c>
      <c r="S206" s="9">
        <f t="shared" si="39"/>
        <v>8999</v>
      </c>
      <c r="T206" s="8">
        <f t="shared" si="40"/>
        <v>-1.6000000014173565E-3</v>
      </c>
      <c r="U206" s="8">
        <f t="shared" si="41"/>
        <v>1857.3935999999994</v>
      </c>
      <c r="V206" s="8">
        <f t="shared" si="42"/>
        <v>1451.0887499999994</v>
      </c>
      <c r="W206" s="10">
        <f t="shared" si="43"/>
        <v>0.2600806451612902</v>
      </c>
    </row>
    <row r="207" spans="1:23" x14ac:dyDescent="0.3">
      <c r="A207" s="5" t="s">
        <v>27</v>
      </c>
      <c r="B207" s="5" t="s">
        <v>353</v>
      </c>
      <c r="C207" s="5"/>
      <c r="D207" s="5" t="s">
        <v>372</v>
      </c>
      <c r="E207" s="5" t="s">
        <v>373</v>
      </c>
      <c r="F207" s="5">
        <v>1</v>
      </c>
      <c r="G207" s="6">
        <v>1171.8</v>
      </c>
      <c r="H207" s="5">
        <f t="shared" si="34"/>
        <v>1171.8</v>
      </c>
      <c r="I207" s="7">
        <v>0.28000000000000003</v>
      </c>
      <c r="J207" s="5">
        <f t="shared" si="35"/>
        <v>1499.904</v>
      </c>
      <c r="K207" s="5">
        <v>1476.56</v>
      </c>
      <c r="L207" s="5">
        <f t="shared" si="36"/>
        <v>1476.56</v>
      </c>
      <c r="M207" s="5">
        <f t="shared" si="33"/>
        <v>1889.9967999999999</v>
      </c>
      <c r="N207" s="5">
        <v>50</v>
      </c>
      <c r="O207" s="7">
        <v>0.18</v>
      </c>
      <c r="P207" s="5">
        <f t="shared" si="37"/>
        <v>59</v>
      </c>
      <c r="Q207" s="5">
        <v>0</v>
      </c>
      <c r="R207" s="8">
        <f t="shared" si="38"/>
        <v>1948.9967999999999</v>
      </c>
      <c r="S207" s="9">
        <f t="shared" si="39"/>
        <v>1949</v>
      </c>
      <c r="T207" s="8">
        <f t="shared" si="40"/>
        <v>3.200000000106229E-3</v>
      </c>
      <c r="U207" s="8">
        <f t="shared" si="41"/>
        <v>449.096</v>
      </c>
      <c r="V207" s="8">
        <f t="shared" si="42"/>
        <v>350.85624999999999</v>
      </c>
      <c r="W207" s="10">
        <f t="shared" si="43"/>
        <v>0.29941649598907666</v>
      </c>
    </row>
    <row r="208" spans="1:23" x14ac:dyDescent="0.3">
      <c r="A208" s="5" t="s">
        <v>27</v>
      </c>
      <c r="B208" s="5" t="s">
        <v>353</v>
      </c>
      <c r="C208" s="5"/>
      <c r="D208" s="5" t="s">
        <v>374</v>
      </c>
      <c r="E208" s="5" t="s">
        <v>375</v>
      </c>
      <c r="F208" s="5">
        <v>1</v>
      </c>
      <c r="G208" s="6">
        <v>1245.58</v>
      </c>
      <c r="H208" s="5">
        <f t="shared" si="34"/>
        <v>1245.58</v>
      </c>
      <c r="I208" s="7">
        <v>0.28000000000000003</v>
      </c>
      <c r="J208" s="5">
        <f t="shared" si="35"/>
        <v>1594.3424</v>
      </c>
      <c r="K208" s="5">
        <v>1569.53</v>
      </c>
      <c r="L208" s="5">
        <f t="shared" si="36"/>
        <v>1569.53</v>
      </c>
      <c r="M208" s="5">
        <f t="shared" si="33"/>
        <v>2008.9983999999999</v>
      </c>
      <c r="N208" s="5">
        <v>300</v>
      </c>
      <c r="O208" s="7">
        <v>0.18</v>
      </c>
      <c r="P208" s="5">
        <f t="shared" si="37"/>
        <v>354</v>
      </c>
      <c r="Q208" s="5">
        <v>20</v>
      </c>
      <c r="R208" s="8">
        <f t="shared" si="38"/>
        <v>2362.9983999999999</v>
      </c>
      <c r="S208" s="9">
        <f t="shared" si="39"/>
        <v>2349</v>
      </c>
      <c r="T208" s="8">
        <f t="shared" si="40"/>
        <v>-13.998399999999947</v>
      </c>
      <c r="U208" s="8">
        <f t="shared" si="41"/>
        <v>734.6576</v>
      </c>
      <c r="V208" s="8">
        <f t="shared" si="42"/>
        <v>573.95124999999996</v>
      </c>
      <c r="W208" s="10">
        <f t="shared" si="43"/>
        <v>0.46079035469419866</v>
      </c>
    </row>
    <row r="209" spans="1:23" x14ac:dyDescent="0.3">
      <c r="A209" s="5" t="s">
        <v>27</v>
      </c>
      <c r="B209" s="5" t="s">
        <v>353</v>
      </c>
      <c r="C209" s="5"/>
      <c r="D209" s="5" t="s">
        <v>376</v>
      </c>
      <c r="E209" s="5" t="s">
        <v>377</v>
      </c>
      <c r="F209" s="5">
        <v>1</v>
      </c>
      <c r="G209" s="6">
        <v>713</v>
      </c>
      <c r="H209" s="5">
        <f t="shared" si="34"/>
        <v>713</v>
      </c>
      <c r="I209" s="7">
        <v>0.28000000000000003</v>
      </c>
      <c r="J209" s="5">
        <f t="shared" si="35"/>
        <v>912.64</v>
      </c>
      <c r="K209" s="5">
        <v>898.44</v>
      </c>
      <c r="L209" s="5">
        <f t="shared" si="36"/>
        <v>898.44</v>
      </c>
      <c r="M209" s="5">
        <f t="shared" si="33"/>
        <v>1150.0032000000001</v>
      </c>
      <c r="N209" s="5">
        <v>300</v>
      </c>
      <c r="O209" s="7">
        <v>0.18</v>
      </c>
      <c r="P209" s="5">
        <f t="shared" si="37"/>
        <v>354</v>
      </c>
      <c r="Q209" s="5">
        <v>50</v>
      </c>
      <c r="R209" s="8">
        <f t="shared" si="38"/>
        <v>1504.0032000000001</v>
      </c>
      <c r="S209" s="9">
        <f t="shared" si="39"/>
        <v>1499</v>
      </c>
      <c r="T209" s="8">
        <f t="shared" si="40"/>
        <v>-5.0032000000001062</v>
      </c>
      <c r="U209" s="8">
        <f t="shared" si="41"/>
        <v>536.36</v>
      </c>
      <c r="V209" s="8">
        <f t="shared" si="42"/>
        <v>419.03125</v>
      </c>
      <c r="W209" s="10">
        <f t="shared" si="43"/>
        <v>0.58770161290322576</v>
      </c>
    </row>
    <row r="210" spans="1:23" x14ac:dyDescent="0.3">
      <c r="A210" s="5" t="s">
        <v>27</v>
      </c>
      <c r="B210" s="5" t="s">
        <v>353</v>
      </c>
      <c r="C210" s="5"/>
      <c r="D210" s="5" t="s">
        <v>378</v>
      </c>
      <c r="E210" s="5" t="s">
        <v>379</v>
      </c>
      <c r="F210" s="5">
        <v>1</v>
      </c>
      <c r="G210" s="6">
        <v>527</v>
      </c>
      <c r="H210" s="5">
        <f t="shared" si="34"/>
        <v>527</v>
      </c>
      <c r="I210" s="7">
        <v>0.28000000000000003</v>
      </c>
      <c r="J210" s="5">
        <f t="shared" si="35"/>
        <v>674.56000000000006</v>
      </c>
      <c r="K210" s="5">
        <v>664.06</v>
      </c>
      <c r="L210" s="5">
        <f t="shared" si="36"/>
        <v>664.06</v>
      </c>
      <c r="M210" s="5">
        <f t="shared" si="33"/>
        <v>849.99679999999989</v>
      </c>
      <c r="N210" s="5">
        <v>300</v>
      </c>
      <c r="O210" s="7">
        <v>0.18</v>
      </c>
      <c r="P210" s="5">
        <f t="shared" si="37"/>
        <v>354</v>
      </c>
      <c r="Q210" s="5">
        <v>50</v>
      </c>
      <c r="R210" s="8">
        <f t="shared" si="38"/>
        <v>1203.9967999999999</v>
      </c>
      <c r="S210" s="9">
        <f t="shared" si="39"/>
        <v>1199</v>
      </c>
      <c r="T210" s="8">
        <f t="shared" si="40"/>
        <v>-4.9967999999998938</v>
      </c>
      <c r="U210" s="8">
        <f t="shared" si="41"/>
        <v>474.43999999999994</v>
      </c>
      <c r="V210" s="8">
        <f t="shared" si="42"/>
        <v>370.65624999999994</v>
      </c>
      <c r="W210" s="10">
        <f t="shared" si="43"/>
        <v>0.70333254269449708</v>
      </c>
    </row>
    <row r="211" spans="1:23" x14ac:dyDescent="0.3">
      <c r="A211" s="5" t="s">
        <v>27</v>
      </c>
      <c r="B211" s="5" t="s">
        <v>353</v>
      </c>
      <c r="C211" s="5"/>
      <c r="D211" s="5" t="s">
        <v>380</v>
      </c>
      <c r="E211" s="5" t="s">
        <v>381</v>
      </c>
      <c r="F211" s="5">
        <v>1</v>
      </c>
      <c r="G211" s="6">
        <v>1527.07</v>
      </c>
      <c r="H211" s="5">
        <f t="shared" si="34"/>
        <v>1527.07</v>
      </c>
      <c r="I211" s="7">
        <v>0.12</v>
      </c>
      <c r="J211" s="5">
        <f t="shared" si="35"/>
        <v>1710.3184000000001</v>
      </c>
      <c r="K211" s="5">
        <v>1725.89</v>
      </c>
      <c r="L211" s="5">
        <f t="shared" si="36"/>
        <v>1725.89</v>
      </c>
      <c r="M211" s="5">
        <f t="shared" si="33"/>
        <v>1932.9968000000003</v>
      </c>
      <c r="N211" s="5">
        <v>0</v>
      </c>
      <c r="O211" s="7">
        <v>0.18</v>
      </c>
      <c r="P211" s="5">
        <f t="shared" si="37"/>
        <v>0</v>
      </c>
      <c r="Q211" s="5">
        <v>0</v>
      </c>
      <c r="R211" s="8">
        <f t="shared" si="38"/>
        <v>1932.9968000000003</v>
      </c>
      <c r="S211" s="9">
        <f t="shared" si="39"/>
        <v>1949</v>
      </c>
      <c r="T211" s="8">
        <f t="shared" si="40"/>
        <v>16.003199999999651</v>
      </c>
      <c r="U211" s="8">
        <f t="shared" si="41"/>
        <v>238.68159999999989</v>
      </c>
      <c r="V211" s="8">
        <f t="shared" si="42"/>
        <v>213.10857142857131</v>
      </c>
      <c r="W211" s="10">
        <f t="shared" si="43"/>
        <v>0.13955389826829898</v>
      </c>
    </row>
    <row r="212" spans="1:23" x14ac:dyDescent="0.3">
      <c r="A212" s="5" t="s">
        <v>27</v>
      </c>
      <c r="B212" s="5" t="s">
        <v>353</v>
      </c>
      <c r="C212" s="5"/>
      <c r="D212" s="5" t="s">
        <v>382</v>
      </c>
      <c r="E212" s="5" t="s">
        <v>383</v>
      </c>
      <c r="F212" s="5">
        <v>4</v>
      </c>
      <c r="G212" s="6">
        <v>155</v>
      </c>
      <c r="H212" s="5">
        <f t="shared" si="34"/>
        <v>620</v>
      </c>
      <c r="I212" s="7">
        <v>0.28000000000000003</v>
      </c>
      <c r="J212" s="5">
        <f t="shared" si="35"/>
        <v>793.6</v>
      </c>
      <c r="K212" s="5">
        <v>195.31</v>
      </c>
      <c r="L212" s="5">
        <f t="shared" si="36"/>
        <v>781.24</v>
      </c>
      <c r="M212" s="5">
        <f t="shared" si="33"/>
        <v>999.98720000000003</v>
      </c>
      <c r="N212" s="5">
        <v>0</v>
      </c>
      <c r="O212" s="7">
        <v>0.18</v>
      </c>
      <c r="P212" s="5">
        <f t="shared" si="37"/>
        <v>0</v>
      </c>
      <c r="Q212" s="5">
        <v>0</v>
      </c>
      <c r="R212" s="8">
        <f t="shared" si="38"/>
        <v>999.98720000000003</v>
      </c>
      <c r="S212" s="9">
        <f t="shared" si="39"/>
        <v>999</v>
      </c>
      <c r="T212" s="8">
        <f t="shared" si="40"/>
        <v>-0.98720000000002983</v>
      </c>
      <c r="U212" s="8">
        <f t="shared" si="41"/>
        <v>205.39999999999998</v>
      </c>
      <c r="V212" s="8">
        <f t="shared" si="42"/>
        <v>160.46874999999997</v>
      </c>
      <c r="W212" s="10">
        <f t="shared" si="43"/>
        <v>0.258820564516129</v>
      </c>
    </row>
    <row r="213" spans="1:23" x14ac:dyDescent="0.3">
      <c r="A213" s="5" t="s">
        <v>27</v>
      </c>
      <c r="B213" s="5" t="s">
        <v>353</v>
      </c>
      <c r="C213" s="5"/>
      <c r="D213" s="5" t="s">
        <v>384</v>
      </c>
      <c r="E213" s="5" t="s">
        <v>385</v>
      </c>
      <c r="F213" s="5">
        <v>4</v>
      </c>
      <c r="G213" s="6">
        <v>9299.3799999999992</v>
      </c>
      <c r="H213" s="5">
        <f t="shared" si="34"/>
        <v>37197.519999999997</v>
      </c>
      <c r="I213" s="7">
        <v>0.28000000000000003</v>
      </c>
      <c r="J213" s="5">
        <f t="shared" si="35"/>
        <v>47612.825599999996</v>
      </c>
      <c r="K213" s="5">
        <v>11717.97</v>
      </c>
      <c r="L213" s="5">
        <f t="shared" si="36"/>
        <v>46871.88</v>
      </c>
      <c r="M213" s="5">
        <f t="shared" si="33"/>
        <v>59996.006399999998</v>
      </c>
      <c r="N213" s="5">
        <v>2500</v>
      </c>
      <c r="O213" s="7">
        <v>0.18</v>
      </c>
      <c r="P213" s="5">
        <f t="shared" si="37"/>
        <v>2950</v>
      </c>
      <c r="Q213" s="5">
        <v>350</v>
      </c>
      <c r="R213" s="8">
        <f t="shared" si="38"/>
        <v>62946.006399999998</v>
      </c>
      <c r="S213" s="9">
        <f t="shared" si="39"/>
        <v>62949</v>
      </c>
      <c r="T213" s="8">
        <f t="shared" si="40"/>
        <v>2.9936000000016065</v>
      </c>
      <c r="U213" s="8">
        <f t="shared" si="41"/>
        <v>14986.174400000004</v>
      </c>
      <c r="V213" s="8">
        <f t="shared" si="42"/>
        <v>11707.948750000003</v>
      </c>
      <c r="W213" s="10">
        <f t="shared" si="43"/>
        <v>0.31475078849342658</v>
      </c>
    </row>
    <row r="214" spans="1:23" x14ac:dyDescent="0.3">
      <c r="A214" s="5" t="s">
        <v>27</v>
      </c>
      <c r="B214" s="5" t="s">
        <v>353</v>
      </c>
      <c r="C214" s="5"/>
      <c r="D214" s="5" t="s">
        <v>386</v>
      </c>
      <c r="E214" s="5" t="s">
        <v>387</v>
      </c>
      <c r="F214" s="5">
        <v>4</v>
      </c>
      <c r="G214" s="6">
        <v>9672</v>
      </c>
      <c r="H214" s="5">
        <f t="shared" si="34"/>
        <v>38688</v>
      </c>
      <c r="I214" s="7">
        <v>0.28000000000000003</v>
      </c>
      <c r="J214" s="5">
        <f t="shared" si="35"/>
        <v>49520.639999999999</v>
      </c>
      <c r="K214" s="5">
        <v>12187.5</v>
      </c>
      <c r="L214" s="5">
        <f t="shared" si="36"/>
        <v>48750</v>
      </c>
      <c r="M214" s="5">
        <f t="shared" si="33"/>
        <v>62400</v>
      </c>
      <c r="N214" s="5">
        <v>2500</v>
      </c>
      <c r="O214" s="7">
        <v>0.18</v>
      </c>
      <c r="P214" s="5">
        <f t="shared" si="37"/>
        <v>2950</v>
      </c>
      <c r="Q214" s="5">
        <v>350</v>
      </c>
      <c r="R214" s="8">
        <f t="shared" si="38"/>
        <v>65350</v>
      </c>
      <c r="S214" s="9">
        <f t="shared" si="39"/>
        <v>65349</v>
      </c>
      <c r="T214" s="8">
        <f t="shared" si="40"/>
        <v>-1</v>
      </c>
      <c r="U214" s="8">
        <f t="shared" si="41"/>
        <v>15478.36</v>
      </c>
      <c r="V214" s="8">
        <f t="shared" si="42"/>
        <v>12092.46875</v>
      </c>
      <c r="W214" s="10">
        <f t="shared" si="43"/>
        <v>0.31256381177626136</v>
      </c>
    </row>
    <row r="215" spans="1:23" x14ac:dyDescent="0.3">
      <c r="A215" s="5" t="s">
        <v>27</v>
      </c>
      <c r="B215" s="5" t="s">
        <v>353</v>
      </c>
      <c r="C215" s="5"/>
      <c r="D215" s="5" t="s">
        <v>388</v>
      </c>
      <c r="E215" s="5" t="s">
        <v>389</v>
      </c>
      <c r="F215" s="5">
        <v>1</v>
      </c>
      <c r="G215" s="6">
        <v>0</v>
      </c>
      <c r="H215" s="5">
        <f t="shared" si="34"/>
        <v>0</v>
      </c>
      <c r="I215" s="7">
        <v>0.28000000000000003</v>
      </c>
      <c r="J215" s="5">
        <f t="shared" si="35"/>
        <v>0</v>
      </c>
      <c r="K215" s="5">
        <v>936.72</v>
      </c>
      <c r="L215" s="5">
        <f t="shared" si="36"/>
        <v>936.72</v>
      </c>
      <c r="M215" s="5">
        <f t="shared" si="33"/>
        <v>1199.0016000000001</v>
      </c>
      <c r="N215" s="5">
        <v>150</v>
      </c>
      <c r="O215" s="7">
        <v>0.18</v>
      </c>
      <c r="P215" s="5">
        <f t="shared" si="37"/>
        <v>177</v>
      </c>
      <c r="Q215" s="5">
        <v>20</v>
      </c>
      <c r="R215" s="8">
        <f t="shared" si="38"/>
        <v>1376.0016000000001</v>
      </c>
      <c r="S215" s="9">
        <f t="shared" si="39"/>
        <v>1399</v>
      </c>
      <c r="T215" s="8">
        <f t="shared" si="40"/>
        <v>22.998399999999947</v>
      </c>
      <c r="U215" s="8">
        <f t="shared" si="41"/>
        <v>1379</v>
      </c>
      <c r="V215" s="8">
        <f t="shared" si="42"/>
        <v>1077.34375</v>
      </c>
      <c r="W215" s="10">
        <f t="shared" si="43"/>
        <v>0</v>
      </c>
    </row>
    <row r="216" spans="1:23" x14ac:dyDescent="0.3">
      <c r="A216" s="5" t="s">
        <v>27</v>
      </c>
      <c r="B216" s="5" t="s">
        <v>353</v>
      </c>
      <c r="C216" s="5"/>
      <c r="D216" s="5" t="s">
        <v>299</v>
      </c>
      <c r="E216" s="5" t="s">
        <v>390</v>
      </c>
      <c r="F216" s="5">
        <v>1</v>
      </c>
      <c r="G216" s="6">
        <v>1215.24</v>
      </c>
      <c r="H216" s="5">
        <f t="shared" si="34"/>
        <v>1215.24</v>
      </c>
      <c r="I216" s="7">
        <v>0.28000000000000003</v>
      </c>
      <c r="J216" s="5">
        <f t="shared" si="35"/>
        <v>1555.5072</v>
      </c>
      <c r="K216" s="5">
        <v>1249.22</v>
      </c>
      <c r="L216" s="5">
        <f t="shared" si="36"/>
        <v>1249.22</v>
      </c>
      <c r="M216" s="5">
        <f t="shared" ref="M216:M235" si="44">L216*(100%+I216)</f>
        <v>1599.0016000000001</v>
      </c>
      <c r="N216" s="5">
        <v>0</v>
      </c>
      <c r="O216" s="7">
        <v>0.18</v>
      </c>
      <c r="P216" s="5">
        <f t="shared" si="37"/>
        <v>0</v>
      </c>
      <c r="Q216" s="5">
        <v>0</v>
      </c>
      <c r="R216" s="8">
        <f t="shared" si="38"/>
        <v>1599.0016000000001</v>
      </c>
      <c r="S216" s="9">
        <f t="shared" si="39"/>
        <v>1599</v>
      </c>
      <c r="T216" s="8">
        <f t="shared" si="40"/>
        <v>-1.6000000000531145E-3</v>
      </c>
      <c r="U216" s="8">
        <f t="shared" si="41"/>
        <v>43.492799999999988</v>
      </c>
      <c r="V216" s="8">
        <f t="shared" si="42"/>
        <v>33.978749999999991</v>
      </c>
      <c r="W216" s="10">
        <f t="shared" si="43"/>
        <v>2.7960526315789467E-2</v>
      </c>
    </row>
    <row r="217" spans="1:23" x14ac:dyDescent="0.3">
      <c r="A217" s="5" t="s">
        <v>27</v>
      </c>
      <c r="B217" s="5" t="s">
        <v>353</v>
      </c>
      <c r="C217" s="5"/>
      <c r="D217" s="5" t="s">
        <v>391</v>
      </c>
      <c r="E217" s="5" t="s">
        <v>392</v>
      </c>
      <c r="F217" s="5">
        <v>1</v>
      </c>
      <c r="G217" s="6">
        <v>2169.38</v>
      </c>
      <c r="H217" s="5">
        <f t="shared" si="34"/>
        <v>2169.38</v>
      </c>
      <c r="I217" s="7">
        <v>0.28000000000000003</v>
      </c>
      <c r="J217" s="5">
        <f t="shared" si="35"/>
        <v>2776.8064000000004</v>
      </c>
      <c r="K217" s="5">
        <v>2733.59</v>
      </c>
      <c r="L217" s="5">
        <f t="shared" si="36"/>
        <v>2733.59</v>
      </c>
      <c r="M217" s="5">
        <f t="shared" si="44"/>
        <v>3498.9952000000003</v>
      </c>
      <c r="N217" s="5">
        <v>500</v>
      </c>
      <c r="O217" s="7">
        <v>0.18</v>
      </c>
      <c r="P217" s="5">
        <f t="shared" si="37"/>
        <v>590</v>
      </c>
      <c r="Q217" s="5">
        <v>50</v>
      </c>
      <c r="R217" s="8">
        <f t="shared" si="38"/>
        <v>4088.9952000000003</v>
      </c>
      <c r="S217" s="9">
        <f t="shared" si="39"/>
        <v>4099</v>
      </c>
      <c r="T217" s="8">
        <f t="shared" si="40"/>
        <v>10.004799999999705</v>
      </c>
      <c r="U217" s="8">
        <f t="shared" si="41"/>
        <v>1272.1935999999996</v>
      </c>
      <c r="V217" s="8">
        <f t="shared" si="42"/>
        <v>993.90124999999966</v>
      </c>
      <c r="W217" s="10">
        <f t="shared" si="43"/>
        <v>0.45814990919064413</v>
      </c>
    </row>
    <row r="218" spans="1:23" x14ac:dyDescent="0.3">
      <c r="A218" s="5" t="s">
        <v>27</v>
      </c>
      <c r="B218" s="5" t="s">
        <v>353</v>
      </c>
      <c r="C218" s="5"/>
      <c r="D218" s="5" t="s">
        <v>393</v>
      </c>
      <c r="E218" s="5" t="s">
        <v>394</v>
      </c>
      <c r="F218" s="5">
        <v>1</v>
      </c>
      <c r="G218" s="6">
        <v>305.32</v>
      </c>
      <c r="H218" s="5">
        <f t="shared" si="34"/>
        <v>305.32</v>
      </c>
      <c r="I218" s="7">
        <v>0.18</v>
      </c>
      <c r="J218" s="5">
        <f t="shared" si="35"/>
        <v>360.27759999999995</v>
      </c>
      <c r="K218" s="5">
        <v>380.51</v>
      </c>
      <c r="L218" s="5">
        <f t="shared" si="36"/>
        <v>380.51</v>
      </c>
      <c r="M218" s="5">
        <f t="shared" si="44"/>
        <v>449.00179999999995</v>
      </c>
      <c r="N218" s="5">
        <v>200</v>
      </c>
      <c r="O218" s="7">
        <v>0.18</v>
      </c>
      <c r="P218" s="5">
        <f t="shared" si="37"/>
        <v>236</v>
      </c>
      <c r="Q218" s="5">
        <v>20</v>
      </c>
      <c r="R218" s="8">
        <f t="shared" si="38"/>
        <v>685.0018</v>
      </c>
      <c r="S218" s="9">
        <f t="shared" si="39"/>
        <v>699</v>
      </c>
      <c r="T218" s="8">
        <f t="shared" si="40"/>
        <v>13.998199999999997</v>
      </c>
      <c r="U218" s="8">
        <f t="shared" si="41"/>
        <v>318.72240000000005</v>
      </c>
      <c r="V218" s="8">
        <f t="shared" si="42"/>
        <v>270.10372881355937</v>
      </c>
      <c r="W218" s="10">
        <f t="shared" si="43"/>
        <v>0.8846578305173568</v>
      </c>
    </row>
    <row r="219" spans="1:23" x14ac:dyDescent="0.3">
      <c r="A219" s="5" t="s">
        <v>27</v>
      </c>
      <c r="B219" s="5" t="s">
        <v>353</v>
      </c>
      <c r="C219" s="5"/>
      <c r="D219" s="5" t="s">
        <v>395</v>
      </c>
      <c r="E219" s="5" t="s">
        <v>396</v>
      </c>
      <c r="F219" s="5">
        <v>1</v>
      </c>
      <c r="G219" s="6">
        <v>1239.3800000000001</v>
      </c>
      <c r="H219" s="5">
        <f t="shared" si="34"/>
        <v>1239.3800000000001</v>
      </c>
      <c r="I219" s="7">
        <v>0.28000000000000003</v>
      </c>
      <c r="J219" s="5">
        <f t="shared" si="35"/>
        <v>1586.4064000000001</v>
      </c>
      <c r="K219" s="5">
        <v>1561.72</v>
      </c>
      <c r="L219" s="5">
        <f t="shared" si="36"/>
        <v>1561.72</v>
      </c>
      <c r="M219" s="5">
        <f t="shared" si="44"/>
        <v>1999.0016000000001</v>
      </c>
      <c r="N219" s="5">
        <v>150</v>
      </c>
      <c r="O219" s="7">
        <v>0.18</v>
      </c>
      <c r="P219" s="5">
        <f t="shared" si="37"/>
        <v>177</v>
      </c>
      <c r="Q219" s="5">
        <v>20</v>
      </c>
      <c r="R219" s="8">
        <f t="shared" si="38"/>
        <v>2176.0016000000001</v>
      </c>
      <c r="S219" s="9">
        <f t="shared" si="39"/>
        <v>2199</v>
      </c>
      <c r="T219" s="8">
        <f t="shared" si="40"/>
        <v>22.998399999999947</v>
      </c>
      <c r="U219" s="8">
        <f t="shared" si="41"/>
        <v>592.59359999999992</v>
      </c>
      <c r="V219" s="8">
        <f t="shared" si="42"/>
        <v>462.96374999999995</v>
      </c>
      <c r="W219" s="10">
        <f t="shared" si="43"/>
        <v>0.37354463522083614</v>
      </c>
    </row>
    <row r="220" spans="1:23" x14ac:dyDescent="0.3">
      <c r="A220" s="5" t="s">
        <v>27</v>
      </c>
      <c r="B220" s="5" t="s">
        <v>353</v>
      </c>
      <c r="C220" s="5"/>
      <c r="D220" s="5" t="s">
        <v>397</v>
      </c>
      <c r="E220" s="5" t="s">
        <v>398</v>
      </c>
      <c r="F220" s="5">
        <v>1</v>
      </c>
      <c r="G220" s="6">
        <v>3719.38</v>
      </c>
      <c r="H220" s="5">
        <f t="shared" si="34"/>
        <v>3719.38</v>
      </c>
      <c r="I220" s="7">
        <v>0.28000000000000003</v>
      </c>
      <c r="J220" s="5">
        <f t="shared" si="35"/>
        <v>4760.8064000000004</v>
      </c>
      <c r="K220" s="5">
        <v>4686.72</v>
      </c>
      <c r="L220" s="5">
        <f t="shared" si="36"/>
        <v>4686.72</v>
      </c>
      <c r="M220" s="5">
        <f t="shared" si="44"/>
        <v>5999.0016000000005</v>
      </c>
      <c r="N220" s="5">
        <v>650</v>
      </c>
      <c r="O220" s="7">
        <v>0.18</v>
      </c>
      <c r="P220" s="5">
        <f t="shared" si="37"/>
        <v>767</v>
      </c>
      <c r="Q220" s="5">
        <v>150</v>
      </c>
      <c r="R220" s="8">
        <f t="shared" si="38"/>
        <v>6766.0016000000005</v>
      </c>
      <c r="S220" s="9">
        <f t="shared" si="39"/>
        <v>6749</v>
      </c>
      <c r="T220" s="8">
        <f t="shared" si="40"/>
        <v>-17.001600000000508</v>
      </c>
      <c r="U220" s="8">
        <f t="shared" si="41"/>
        <v>1838.1935999999996</v>
      </c>
      <c r="V220" s="8">
        <f t="shared" si="42"/>
        <v>1436.0887499999997</v>
      </c>
      <c r="W220" s="10">
        <f t="shared" si="43"/>
        <v>0.38610971452231274</v>
      </c>
    </row>
    <row r="221" spans="1:23" x14ac:dyDescent="0.3">
      <c r="A221" s="5" t="s">
        <v>27</v>
      </c>
      <c r="B221" s="5" t="s">
        <v>353</v>
      </c>
      <c r="C221" s="5"/>
      <c r="D221" s="5" t="s">
        <v>399</v>
      </c>
      <c r="E221" s="5" t="s">
        <v>400</v>
      </c>
      <c r="F221" s="5">
        <v>1</v>
      </c>
      <c r="G221" s="6">
        <v>1735.38</v>
      </c>
      <c r="H221" s="5">
        <f t="shared" si="34"/>
        <v>1735.38</v>
      </c>
      <c r="I221" s="7">
        <v>0.28000000000000003</v>
      </c>
      <c r="J221" s="5">
        <f t="shared" si="35"/>
        <v>2221.2864000000004</v>
      </c>
      <c r="K221" s="5">
        <v>2186.7199999999998</v>
      </c>
      <c r="L221" s="5">
        <f t="shared" si="36"/>
        <v>2186.7199999999998</v>
      </c>
      <c r="M221" s="5">
        <f t="shared" si="44"/>
        <v>2799.0015999999996</v>
      </c>
      <c r="N221" s="5">
        <v>650</v>
      </c>
      <c r="O221" s="7">
        <v>0.18</v>
      </c>
      <c r="P221" s="5">
        <f t="shared" si="37"/>
        <v>767</v>
      </c>
      <c r="Q221" s="5">
        <v>150</v>
      </c>
      <c r="R221" s="8">
        <f t="shared" si="38"/>
        <v>3566.0015999999996</v>
      </c>
      <c r="S221" s="9">
        <f t="shared" si="39"/>
        <v>3549</v>
      </c>
      <c r="T221" s="8">
        <f t="shared" si="40"/>
        <v>-17.001599999999598</v>
      </c>
      <c r="U221" s="8">
        <f t="shared" si="41"/>
        <v>1177.7135999999996</v>
      </c>
      <c r="V221" s="8">
        <f t="shared" si="42"/>
        <v>920.08874999999966</v>
      </c>
      <c r="W221" s="10">
        <f t="shared" si="43"/>
        <v>0.53019439546381752</v>
      </c>
    </row>
    <row r="222" spans="1:23" x14ac:dyDescent="0.3">
      <c r="A222" s="5" t="s">
        <v>27</v>
      </c>
      <c r="B222" s="5" t="s">
        <v>353</v>
      </c>
      <c r="C222" s="5"/>
      <c r="D222" s="5" t="s">
        <v>145</v>
      </c>
      <c r="E222" s="5" t="s">
        <v>401</v>
      </c>
      <c r="F222" s="5">
        <v>1</v>
      </c>
      <c r="G222" s="6">
        <v>8934.2000000000007</v>
      </c>
      <c r="H222" s="5">
        <f t="shared" si="34"/>
        <v>8934.2000000000007</v>
      </c>
      <c r="I222" s="7">
        <v>0.28000000000000003</v>
      </c>
      <c r="J222" s="5">
        <f t="shared" si="35"/>
        <v>11435.776000000002</v>
      </c>
      <c r="K222" s="5">
        <v>11257.81</v>
      </c>
      <c r="L222" s="5">
        <f t="shared" si="36"/>
        <v>11257.81</v>
      </c>
      <c r="M222" s="5">
        <f t="shared" si="44"/>
        <v>14409.996799999999</v>
      </c>
      <c r="N222" s="5">
        <v>0</v>
      </c>
      <c r="O222" s="7">
        <v>0.18</v>
      </c>
      <c r="P222" s="5">
        <f t="shared" si="37"/>
        <v>0</v>
      </c>
      <c r="Q222" s="5">
        <v>0</v>
      </c>
      <c r="R222" s="8">
        <f t="shared" si="38"/>
        <v>14409.996799999999</v>
      </c>
      <c r="S222" s="9">
        <f t="shared" si="39"/>
        <v>14399</v>
      </c>
      <c r="T222" s="8">
        <f t="shared" si="40"/>
        <v>-10.996799999998984</v>
      </c>
      <c r="U222" s="8">
        <f t="shared" si="41"/>
        <v>2963.2239999999983</v>
      </c>
      <c r="V222" s="8">
        <f t="shared" si="42"/>
        <v>2315.0187499999988</v>
      </c>
      <c r="W222" s="10">
        <f t="shared" si="43"/>
        <v>0.25911875153902963</v>
      </c>
    </row>
    <row r="223" spans="1:23" x14ac:dyDescent="0.3">
      <c r="A223" s="5" t="s">
        <v>27</v>
      </c>
      <c r="B223" s="5" t="s">
        <v>353</v>
      </c>
      <c r="C223" s="5"/>
      <c r="D223" s="5" t="s">
        <v>341</v>
      </c>
      <c r="E223" s="5" t="s">
        <v>402</v>
      </c>
      <c r="F223" s="5">
        <v>1</v>
      </c>
      <c r="G223" s="6">
        <v>929.38</v>
      </c>
      <c r="H223" s="5">
        <f t="shared" si="34"/>
        <v>929.38</v>
      </c>
      <c r="I223" s="7">
        <v>0.28000000000000003</v>
      </c>
      <c r="J223" s="5">
        <f t="shared" si="35"/>
        <v>1189.6064000000001</v>
      </c>
      <c r="K223" s="5">
        <v>1171.0899999999999</v>
      </c>
      <c r="L223" s="5">
        <f t="shared" si="36"/>
        <v>1171.0899999999999</v>
      </c>
      <c r="M223" s="5">
        <f t="shared" si="44"/>
        <v>1498.9951999999998</v>
      </c>
      <c r="N223" s="5">
        <v>100</v>
      </c>
      <c r="O223" s="7">
        <v>0.18</v>
      </c>
      <c r="P223" s="5">
        <f t="shared" si="37"/>
        <v>118</v>
      </c>
      <c r="Q223" s="5">
        <v>20</v>
      </c>
      <c r="R223" s="8">
        <f t="shared" si="38"/>
        <v>1616.9951999999998</v>
      </c>
      <c r="S223" s="9">
        <f t="shared" si="39"/>
        <v>1599</v>
      </c>
      <c r="T223" s="8">
        <f t="shared" si="40"/>
        <v>-17.995199999999841</v>
      </c>
      <c r="U223" s="8">
        <f t="shared" si="41"/>
        <v>389.39359999999988</v>
      </c>
      <c r="V223" s="8">
        <f t="shared" si="42"/>
        <v>304.21374999999989</v>
      </c>
      <c r="W223" s="10">
        <f t="shared" si="43"/>
        <v>0.32732977899244647</v>
      </c>
    </row>
    <row r="224" spans="1:23" x14ac:dyDescent="0.3">
      <c r="A224" s="5" t="s">
        <v>27</v>
      </c>
      <c r="B224" s="5" t="s">
        <v>353</v>
      </c>
      <c r="C224" s="5"/>
      <c r="D224" s="5" t="s">
        <v>171</v>
      </c>
      <c r="E224" s="5" t="s">
        <v>403</v>
      </c>
      <c r="F224" s="5">
        <v>1</v>
      </c>
      <c r="G224" s="6">
        <v>3587.2</v>
      </c>
      <c r="H224" s="5">
        <f t="shared" si="34"/>
        <v>3587.2</v>
      </c>
      <c r="I224" s="7">
        <v>0.28000000000000003</v>
      </c>
      <c r="J224" s="5">
        <f t="shared" si="35"/>
        <v>4591.616</v>
      </c>
      <c r="K224" s="5">
        <v>4750</v>
      </c>
      <c r="L224" s="5">
        <f t="shared" si="36"/>
        <v>4750</v>
      </c>
      <c r="M224" s="5">
        <f t="shared" si="44"/>
        <v>6080</v>
      </c>
      <c r="N224" s="5">
        <v>1000</v>
      </c>
      <c r="O224" s="7">
        <v>0.18</v>
      </c>
      <c r="P224" s="5">
        <f t="shared" si="37"/>
        <v>1180</v>
      </c>
      <c r="Q224" s="5">
        <v>150</v>
      </c>
      <c r="R224" s="8">
        <f t="shared" si="38"/>
        <v>7260</v>
      </c>
      <c r="S224" s="9">
        <f t="shared" si="39"/>
        <v>7249</v>
      </c>
      <c r="T224" s="8">
        <f t="shared" si="40"/>
        <v>-11</v>
      </c>
      <c r="U224" s="8">
        <f t="shared" si="41"/>
        <v>2507.384</v>
      </c>
      <c r="V224" s="8">
        <f t="shared" si="42"/>
        <v>1958.89375</v>
      </c>
      <c r="W224" s="10">
        <f t="shared" si="43"/>
        <v>0.54607876616859952</v>
      </c>
    </row>
    <row r="225" spans="1:23" x14ac:dyDescent="0.3">
      <c r="A225" s="5" t="s">
        <v>27</v>
      </c>
      <c r="B225" s="5" t="s">
        <v>353</v>
      </c>
      <c r="C225" s="5"/>
      <c r="D225" s="5" t="s">
        <v>404</v>
      </c>
      <c r="E225" s="5" t="s">
        <v>405</v>
      </c>
      <c r="F225" s="5">
        <v>1</v>
      </c>
      <c r="G225" s="6">
        <v>3719.38</v>
      </c>
      <c r="H225" s="5">
        <f t="shared" si="34"/>
        <v>3719.38</v>
      </c>
      <c r="I225" s="7">
        <v>0.28000000000000003</v>
      </c>
      <c r="J225" s="5">
        <f t="shared" si="35"/>
        <v>4760.8064000000004</v>
      </c>
      <c r="K225" s="5">
        <v>4686.72</v>
      </c>
      <c r="L225" s="5">
        <f t="shared" si="36"/>
        <v>4686.72</v>
      </c>
      <c r="M225" s="5">
        <f t="shared" si="44"/>
        <v>5999.0016000000005</v>
      </c>
      <c r="N225" s="5">
        <v>0</v>
      </c>
      <c r="O225" s="7">
        <v>0.18</v>
      </c>
      <c r="P225" s="5">
        <f t="shared" si="37"/>
        <v>0</v>
      </c>
      <c r="Q225" s="5">
        <v>10</v>
      </c>
      <c r="R225" s="8">
        <f t="shared" si="38"/>
        <v>5999.0016000000005</v>
      </c>
      <c r="S225" s="9">
        <f t="shared" si="39"/>
        <v>5999</v>
      </c>
      <c r="T225" s="8">
        <f t="shared" si="40"/>
        <v>-1.6000000005078618E-3</v>
      </c>
      <c r="U225" s="8">
        <f t="shared" si="41"/>
        <v>1228.1935999999996</v>
      </c>
      <c r="V225" s="8">
        <f t="shared" si="42"/>
        <v>959.52624999999966</v>
      </c>
      <c r="W225" s="10">
        <f t="shared" si="43"/>
        <v>0.25798016067193985</v>
      </c>
    </row>
    <row r="226" spans="1:23" x14ac:dyDescent="0.3">
      <c r="A226" s="5" t="s">
        <v>27</v>
      </c>
      <c r="B226" s="5" t="s">
        <v>353</v>
      </c>
      <c r="C226" s="5"/>
      <c r="D226" s="5" t="s">
        <v>406</v>
      </c>
      <c r="E226" s="5" t="s">
        <v>407</v>
      </c>
      <c r="F226" s="5">
        <v>1</v>
      </c>
      <c r="G226" s="6">
        <v>3719.38</v>
      </c>
      <c r="H226" s="5">
        <f t="shared" si="34"/>
        <v>3719.38</v>
      </c>
      <c r="I226" s="7">
        <v>0.28000000000000003</v>
      </c>
      <c r="J226" s="5">
        <f t="shared" si="35"/>
        <v>4760.8064000000004</v>
      </c>
      <c r="K226" s="5">
        <v>4686.72</v>
      </c>
      <c r="L226" s="5">
        <f t="shared" si="36"/>
        <v>4686.72</v>
      </c>
      <c r="M226" s="5">
        <f t="shared" si="44"/>
        <v>5999.0016000000005</v>
      </c>
      <c r="N226" s="5">
        <v>0</v>
      </c>
      <c r="O226" s="7">
        <v>0.18</v>
      </c>
      <c r="P226" s="5">
        <f t="shared" si="37"/>
        <v>0</v>
      </c>
      <c r="Q226" s="5">
        <v>10</v>
      </c>
      <c r="R226" s="8">
        <f t="shared" si="38"/>
        <v>5999.0016000000005</v>
      </c>
      <c r="S226" s="9">
        <f t="shared" si="39"/>
        <v>5999</v>
      </c>
      <c r="T226" s="8">
        <f t="shared" si="40"/>
        <v>-1.6000000005078618E-3</v>
      </c>
      <c r="U226" s="8">
        <f t="shared" si="41"/>
        <v>1228.1935999999996</v>
      </c>
      <c r="V226" s="8">
        <f t="shared" si="42"/>
        <v>959.52624999999966</v>
      </c>
      <c r="W226" s="10">
        <f t="shared" si="43"/>
        <v>0.25798016067193985</v>
      </c>
    </row>
    <row r="227" spans="1:23" x14ac:dyDescent="0.3">
      <c r="A227" s="5" t="s">
        <v>23</v>
      </c>
      <c r="B227" s="5" t="s">
        <v>408</v>
      </c>
      <c r="C227" s="5"/>
      <c r="D227" s="5" t="s">
        <v>409</v>
      </c>
      <c r="E227" s="5" t="s">
        <v>410</v>
      </c>
      <c r="F227" s="5">
        <v>4</v>
      </c>
      <c r="G227" s="6">
        <v>637.98</v>
      </c>
      <c r="H227" s="5">
        <f t="shared" si="34"/>
        <v>2551.92</v>
      </c>
      <c r="I227" s="7">
        <v>0.28000000000000003</v>
      </c>
      <c r="J227" s="5">
        <f t="shared" si="35"/>
        <v>3266.4576000000002</v>
      </c>
      <c r="K227" s="5">
        <v>803.91</v>
      </c>
      <c r="L227" s="5">
        <f t="shared" si="36"/>
        <v>3215.64</v>
      </c>
      <c r="M227" s="5">
        <f t="shared" si="44"/>
        <v>4116.0191999999997</v>
      </c>
      <c r="N227" s="5">
        <v>50</v>
      </c>
      <c r="O227" s="7">
        <v>0.18</v>
      </c>
      <c r="P227" s="5">
        <f t="shared" si="37"/>
        <v>59</v>
      </c>
      <c r="Q227" s="5">
        <v>10</v>
      </c>
      <c r="R227" s="8">
        <f t="shared" si="38"/>
        <v>4175.0191999999997</v>
      </c>
      <c r="S227" s="9">
        <f t="shared" si="39"/>
        <v>4199</v>
      </c>
      <c r="T227" s="8">
        <f t="shared" si="40"/>
        <v>23.980800000000272</v>
      </c>
      <c r="U227" s="8">
        <f t="shared" si="41"/>
        <v>922.54239999999982</v>
      </c>
      <c r="V227" s="8">
        <f t="shared" si="42"/>
        <v>720.73624999999981</v>
      </c>
      <c r="W227" s="10">
        <f t="shared" si="43"/>
        <v>0.28242901423242101</v>
      </c>
    </row>
    <row r="228" spans="1:23" x14ac:dyDescent="0.3">
      <c r="A228" s="5" t="s">
        <v>23</v>
      </c>
      <c r="B228" s="5" t="s">
        <v>408</v>
      </c>
      <c r="C228" s="5"/>
      <c r="D228" s="5" t="s">
        <v>411</v>
      </c>
      <c r="E228" s="5" t="s">
        <v>412</v>
      </c>
      <c r="F228" s="5">
        <v>1</v>
      </c>
      <c r="G228" s="6">
        <v>509.02</v>
      </c>
      <c r="H228" s="5">
        <f t="shared" si="34"/>
        <v>509.02</v>
      </c>
      <c r="I228" s="7">
        <v>0.28000000000000003</v>
      </c>
      <c r="J228" s="5">
        <f t="shared" si="35"/>
        <v>651.54560000000004</v>
      </c>
      <c r="K228" s="5">
        <v>641.41</v>
      </c>
      <c r="L228" s="5">
        <f t="shared" si="36"/>
        <v>641.41</v>
      </c>
      <c r="M228" s="5">
        <f t="shared" si="44"/>
        <v>821.00479999999993</v>
      </c>
      <c r="N228" s="5">
        <v>50</v>
      </c>
      <c r="O228" s="7">
        <v>0.18</v>
      </c>
      <c r="P228" s="5">
        <f t="shared" si="37"/>
        <v>59</v>
      </c>
      <c r="Q228" s="5">
        <v>10</v>
      </c>
      <c r="R228" s="8">
        <f t="shared" si="38"/>
        <v>880.00479999999993</v>
      </c>
      <c r="S228" s="9">
        <f t="shared" si="39"/>
        <v>899</v>
      </c>
      <c r="T228" s="8">
        <f t="shared" si="40"/>
        <v>18.995200000000068</v>
      </c>
      <c r="U228" s="8">
        <f t="shared" si="41"/>
        <v>237.45439999999996</v>
      </c>
      <c r="V228" s="8">
        <f t="shared" si="42"/>
        <v>185.51124999999996</v>
      </c>
      <c r="W228" s="10">
        <f t="shared" si="43"/>
        <v>0.3644478605948685</v>
      </c>
    </row>
    <row r="229" spans="1:23" x14ac:dyDescent="0.3">
      <c r="A229" s="5" t="s">
        <v>23</v>
      </c>
      <c r="B229" s="5" t="s">
        <v>408</v>
      </c>
      <c r="C229" s="5"/>
      <c r="D229" s="5" t="s">
        <v>413</v>
      </c>
      <c r="E229" s="5" t="s">
        <v>414</v>
      </c>
      <c r="F229" s="5">
        <v>1</v>
      </c>
      <c r="G229" s="6">
        <v>1678.34</v>
      </c>
      <c r="H229" s="5">
        <f t="shared" si="34"/>
        <v>1678.34</v>
      </c>
      <c r="I229" s="7">
        <v>0.28000000000000003</v>
      </c>
      <c r="J229" s="5">
        <f t="shared" si="35"/>
        <v>2148.2752</v>
      </c>
      <c r="K229" s="5">
        <v>2114.84</v>
      </c>
      <c r="L229" s="5">
        <f t="shared" si="36"/>
        <v>2114.84</v>
      </c>
      <c r="M229" s="5">
        <f t="shared" si="44"/>
        <v>2706.9952000000003</v>
      </c>
      <c r="N229" s="5">
        <v>300</v>
      </c>
      <c r="O229" s="7">
        <v>0.18</v>
      </c>
      <c r="P229" s="5">
        <f t="shared" si="37"/>
        <v>354</v>
      </c>
      <c r="Q229" s="5">
        <v>75</v>
      </c>
      <c r="R229" s="8">
        <f t="shared" si="38"/>
        <v>3060.9952000000003</v>
      </c>
      <c r="S229" s="9">
        <f t="shared" si="39"/>
        <v>3049</v>
      </c>
      <c r="T229" s="8">
        <f t="shared" si="40"/>
        <v>-11.995200000000295</v>
      </c>
      <c r="U229" s="8">
        <f t="shared" si="41"/>
        <v>825.72479999999996</v>
      </c>
      <c r="V229" s="8">
        <f t="shared" si="42"/>
        <v>645.09749999999997</v>
      </c>
      <c r="W229" s="10">
        <f t="shared" si="43"/>
        <v>0.38436639775015791</v>
      </c>
    </row>
    <row r="230" spans="1:23" x14ac:dyDescent="0.3">
      <c r="A230" s="5" t="s">
        <v>23</v>
      </c>
      <c r="B230" s="5" t="s">
        <v>408</v>
      </c>
      <c r="C230" s="5"/>
      <c r="D230" s="5" t="s">
        <v>415</v>
      </c>
      <c r="E230" s="5" t="s">
        <v>416</v>
      </c>
      <c r="F230" s="5">
        <v>1</v>
      </c>
      <c r="G230" s="6">
        <v>1699.42</v>
      </c>
      <c r="H230" s="5">
        <f t="shared" si="34"/>
        <v>1699.42</v>
      </c>
      <c r="I230" s="7">
        <v>0.28000000000000003</v>
      </c>
      <c r="J230" s="5">
        <f t="shared" si="35"/>
        <v>2175.2575999999999</v>
      </c>
      <c r="K230" s="5">
        <v>2141.41</v>
      </c>
      <c r="L230" s="5">
        <f t="shared" si="36"/>
        <v>2141.41</v>
      </c>
      <c r="M230" s="5">
        <f t="shared" si="44"/>
        <v>2741.0047999999997</v>
      </c>
      <c r="N230" s="5">
        <v>300</v>
      </c>
      <c r="O230" s="7">
        <v>0.18</v>
      </c>
      <c r="P230" s="5">
        <f t="shared" si="37"/>
        <v>354</v>
      </c>
      <c r="Q230" s="5">
        <v>75</v>
      </c>
      <c r="R230" s="8">
        <f t="shared" si="38"/>
        <v>3095.0047999999997</v>
      </c>
      <c r="S230" s="9">
        <f t="shared" si="39"/>
        <v>3099</v>
      </c>
      <c r="T230" s="8">
        <f t="shared" si="40"/>
        <v>3.9952000000002954</v>
      </c>
      <c r="U230" s="8">
        <f t="shared" si="41"/>
        <v>848.74240000000009</v>
      </c>
      <c r="V230" s="8">
        <f t="shared" si="42"/>
        <v>663.08</v>
      </c>
      <c r="W230" s="10">
        <f t="shared" si="43"/>
        <v>0.39018017911993502</v>
      </c>
    </row>
    <row r="231" spans="1:23" x14ac:dyDescent="0.3">
      <c r="A231" s="5" t="s">
        <v>23</v>
      </c>
      <c r="B231" s="5" t="s">
        <v>408</v>
      </c>
      <c r="C231" s="5"/>
      <c r="D231" s="5" t="s">
        <v>417</v>
      </c>
      <c r="E231" s="5" t="s">
        <v>418</v>
      </c>
      <c r="F231" s="5">
        <v>1</v>
      </c>
      <c r="G231" s="6">
        <v>958.52</v>
      </c>
      <c r="H231" s="5">
        <f t="shared" si="34"/>
        <v>958.52</v>
      </c>
      <c r="I231" s="7">
        <v>0.28000000000000003</v>
      </c>
      <c r="J231" s="5">
        <f t="shared" si="35"/>
        <v>1226.9056</v>
      </c>
      <c r="K231" s="5">
        <v>1546</v>
      </c>
      <c r="L231" s="5">
        <f t="shared" si="36"/>
        <v>1546</v>
      </c>
      <c r="M231" s="5">
        <f t="shared" si="44"/>
        <v>1978.88</v>
      </c>
      <c r="N231" s="5">
        <v>0</v>
      </c>
      <c r="O231" s="7">
        <v>0.18</v>
      </c>
      <c r="P231" s="5">
        <f t="shared" si="37"/>
        <v>0</v>
      </c>
      <c r="Q231" s="5">
        <v>0</v>
      </c>
      <c r="R231" s="8">
        <f t="shared" si="38"/>
        <v>1978.88</v>
      </c>
      <c r="S231" s="9">
        <f t="shared" si="39"/>
        <v>1999</v>
      </c>
      <c r="T231" s="8">
        <f t="shared" si="40"/>
        <v>20.119999999999891</v>
      </c>
      <c r="U231" s="8">
        <f t="shared" si="41"/>
        <v>772.09439999999995</v>
      </c>
      <c r="V231" s="8">
        <f t="shared" si="42"/>
        <v>603.1987499999999</v>
      </c>
      <c r="W231" s="10">
        <f t="shared" si="43"/>
        <v>0.62930220548345361</v>
      </c>
    </row>
    <row r="232" spans="1:23" x14ac:dyDescent="0.3">
      <c r="A232" s="5" t="s">
        <v>23</v>
      </c>
      <c r="B232" s="5" t="s">
        <v>408</v>
      </c>
      <c r="C232" s="5"/>
      <c r="D232" s="5" t="s">
        <v>419</v>
      </c>
      <c r="E232" s="5" t="s">
        <v>420</v>
      </c>
      <c r="F232" s="5">
        <v>1</v>
      </c>
      <c r="G232" s="6">
        <v>958.52</v>
      </c>
      <c r="H232" s="5">
        <f t="shared" si="34"/>
        <v>958.52</v>
      </c>
      <c r="I232" s="7">
        <v>0.28000000000000003</v>
      </c>
      <c r="J232" s="5">
        <f t="shared" si="35"/>
        <v>1226.9056</v>
      </c>
      <c r="K232" s="5">
        <v>1546</v>
      </c>
      <c r="L232" s="5">
        <f t="shared" si="36"/>
        <v>1546</v>
      </c>
      <c r="M232" s="5">
        <f t="shared" si="44"/>
        <v>1978.88</v>
      </c>
      <c r="N232" s="5">
        <v>0</v>
      </c>
      <c r="O232" s="7">
        <v>0.18</v>
      </c>
      <c r="P232" s="5">
        <f t="shared" si="37"/>
        <v>0</v>
      </c>
      <c r="Q232" s="5">
        <v>0</v>
      </c>
      <c r="R232" s="8">
        <f t="shared" si="38"/>
        <v>1978.88</v>
      </c>
      <c r="S232" s="9">
        <f t="shared" si="39"/>
        <v>1999</v>
      </c>
      <c r="T232" s="8">
        <f t="shared" si="40"/>
        <v>20.119999999999891</v>
      </c>
      <c r="U232" s="8">
        <f t="shared" si="41"/>
        <v>772.09439999999995</v>
      </c>
      <c r="V232" s="8">
        <f t="shared" si="42"/>
        <v>603.1987499999999</v>
      </c>
      <c r="W232" s="10">
        <f t="shared" si="43"/>
        <v>0.62930220548345361</v>
      </c>
    </row>
    <row r="233" spans="1:23" x14ac:dyDescent="0.3">
      <c r="A233" s="5" t="s">
        <v>23</v>
      </c>
      <c r="B233" s="5" t="s">
        <v>408</v>
      </c>
      <c r="C233" s="5"/>
      <c r="D233" s="5" t="s">
        <v>421</v>
      </c>
      <c r="E233" s="5" t="s">
        <v>422</v>
      </c>
      <c r="F233" s="5">
        <v>1</v>
      </c>
      <c r="G233" s="6">
        <f>6630+G234</f>
        <v>7757.75</v>
      </c>
      <c r="H233" s="5">
        <f t="shared" si="34"/>
        <v>7757.75</v>
      </c>
      <c r="I233" s="7">
        <v>0.28000000000000003</v>
      </c>
      <c r="J233" s="5">
        <f t="shared" si="35"/>
        <v>9929.92</v>
      </c>
      <c r="K233" s="5">
        <f>7969+K234</f>
        <v>9402.59</v>
      </c>
      <c r="L233" s="5">
        <f t="shared" si="36"/>
        <v>9402.59</v>
      </c>
      <c r="M233" s="5">
        <f t="shared" si="44"/>
        <v>12035.315200000001</v>
      </c>
      <c r="N233" s="5">
        <v>700</v>
      </c>
      <c r="O233" s="7">
        <v>0.18</v>
      </c>
      <c r="P233" s="5">
        <f t="shared" si="37"/>
        <v>826</v>
      </c>
      <c r="Q233" s="5">
        <v>150</v>
      </c>
      <c r="R233" s="8">
        <f t="shared" si="38"/>
        <v>12861.315200000001</v>
      </c>
      <c r="S233" s="9">
        <f t="shared" si="39"/>
        <v>12849</v>
      </c>
      <c r="T233" s="8">
        <f t="shared" si="40"/>
        <v>-12.315200000000914</v>
      </c>
      <c r="U233" s="8">
        <f t="shared" si="41"/>
        <v>2769.08</v>
      </c>
      <c r="V233" s="8">
        <f t="shared" si="42"/>
        <v>2163.34375</v>
      </c>
      <c r="W233" s="10">
        <f t="shared" si="43"/>
        <v>0.27886226676549258</v>
      </c>
    </row>
    <row r="234" spans="1:23" x14ac:dyDescent="0.3">
      <c r="A234" s="5" t="s">
        <v>23</v>
      </c>
      <c r="B234" s="5" t="s">
        <v>408</v>
      </c>
      <c r="C234" s="5"/>
      <c r="D234" s="5" t="s">
        <v>423</v>
      </c>
      <c r="E234" s="5" t="s">
        <v>424</v>
      </c>
      <c r="F234" s="5">
        <v>1</v>
      </c>
      <c r="G234" s="6">
        <v>1127.75</v>
      </c>
      <c r="H234" s="5">
        <f t="shared" si="34"/>
        <v>1127.75</v>
      </c>
      <c r="I234" s="7">
        <v>0.28000000000000003</v>
      </c>
      <c r="J234" s="5">
        <f t="shared" si="35"/>
        <v>1443.52</v>
      </c>
      <c r="K234" s="5">
        <v>1433.59</v>
      </c>
      <c r="L234" s="5">
        <f t="shared" si="36"/>
        <v>1433.59</v>
      </c>
      <c r="M234" s="5">
        <f t="shared" si="44"/>
        <v>1834.9951999999998</v>
      </c>
      <c r="N234" s="5">
        <v>0</v>
      </c>
      <c r="O234" s="7">
        <v>0.18</v>
      </c>
      <c r="P234" s="5">
        <f t="shared" si="37"/>
        <v>0</v>
      </c>
      <c r="Q234" s="5">
        <v>0</v>
      </c>
      <c r="R234" s="8">
        <f t="shared" si="38"/>
        <v>1834.9951999999998</v>
      </c>
      <c r="S234" s="9">
        <f t="shared" si="39"/>
        <v>1849</v>
      </c>
      <c r="T234" s="8">
        <f t="shared" si="40"/>
        <v>14.004800000000159</v>
      </c>
      <c r="U234" s="8">
        <f t="shared" si="41"/>
        <v>405.48</v>
      </c>
      <c r="V234" s="8">
        <f t="shared" si="42"/>
        <v>316.78125</v>
      </c>
      <c r="W234" s="10">
        <f t="shared" si="43"/>
        <v>0.28089669696297936</v>
      </c>
    </row>
    <row r="235" spans="1:23" x14ac:dyDescent="0.3">
      <c r="A235" s="5" t="s">
        <v>23</v>
      </c>
      <c r="B235" s="5" t="s">
        <v>408</v>
      </c>
      <c r="C235" s="5"/>
      <c r="D235" s="5" t="s">
        <v>425</v>
      </c>
      <c r="E235" s="5" t="s">
        <v>426</v>
      </c>
      <c r="F235" s="5">
        <v>1</v>
      </c>
      <c r="G235" s="6">
        <v>190.96</v>
      </c>
      <c r="H235" s="5">
        <f t="shared" si="34"/>
        <v>190.96</v>
      </c>
      <c r="I235" s="7">
        <v>0.28000000000000003</v>
      </c>
      <c r="J235" s="5">
        <f t="shared" si="35"/>
        <v>244.42880000000002</v>
      </c>
      <c r="K235" s="5">
        <v>240.63</v>
      </c>
      <c r="L235" s="5">
        <f t="shared" si="36"/>
        <v>240.63</v>
      </c>
      <c r="M235" s="5">
        <f t="shared" si="44"/>
        <v>308.00639999999999</v>
      </c>
      <c r="N235" s="5">
        <v>0</v>
      </c>
      <c r="O235" s="7">
        <v>0.18</v>
      </c>
      <c r="P235" s="5">
        <f t="shared" si="37"/>
        <v>0</v>
      </c>
      <c r="Q235" s="5">
        <v>0</v>
      </c>
      <c r="R235" s="8">
        <f t="shared" si="38"/>
        <v>308.00639999999999</v>
      </c>
      <c r="S235" s="9">
        <f t="shared" si="39"/>
        <v>299</v>
      </c>
      <c r="T235" s="8">
        <f t="shared" si="40"/>
        <v>-9.0063999999999851</v>
      </c>
      <c r="U235" s="8">
        <f t="shared" si="41"/>
        <v>54.571199999999976</v>
      </c>
      <c r="V235" s="8">
        <f t="shared" si="42"/>
        <v>42.633749999999978</v>
      </c>
      <c r="W235" s="10">
        <f t="shared" si="43"/>
        <v>0.2232601068286551</v>
      </c>
    </row>
    <row r="236" spans="1:23" x14ac:dyDescent="0.3">
      <c r="A236" s="5"/>
      <c r="B236" s="5"/>
      <c r="C236" s="5"/>
      <c r="D236" s="5"/>
      <c r="E236" s="5"/>
      <c r="F236" s="5"/>
      <c r="G236" s="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8"/>
      <c r="S236" s="9"/>
      <c r="T236" s="8"/>
      <c r="U236" s="8"/>
      <c r="V236" s="8"/>
      <c r="W236" s="10"/>
    </row>
    <row r="237" spans="1:23" x14ac:dyDescent="0.3">
      <c r="A237" s="5"/>
      <c r="B237" s="5"/>
      <c r="C237" s="5"/>
      <c r="D237" s="5"/>
      <c r="E237" s="5"/>
      <c r="F237" s="5"/>
      <c r="G237" s="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8"/>
      <c r="S237" s="9"/>
      <c r="T237" s="8"/>
      <c r="U237" s="8"/>
      <c r="V237" s="8"/>
      <c r="W237" s="10"/>
    </row>
    <row r="238" spans="1:23" x14ac:dyDescent="0.3">
      <c r="A238" s="5"/>
      <c r="B238" s="5"/>
      <c r="C238" s="5"/>
      <c r="D238" s="5"/>
      <c r="E238" s="5"/>
      <c r="F238" s="5"/>
      <c r="G238" s="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8"/>
      <c r="S238" s="9"/>
      <c r="T238" s="8"/>
      <c r="U238" s="8"/>
      <c r="V238" s="8"/>
      <c r="W238" s="10"/>
    </row>
    <row r="239" spans="1:23" x14ac:dyDescent="0.3">
      <c r="A239" s="5"/>
      <c r="B239" s="5"/>
      <c r="C239" s="5"/>
      <c r="D239" s="5"/>
      <c r="E239" s="5"/>
      <c r="F239" s="5"/>
      <c r="G239" s="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8"/>
      <c r="S239" s="9"/>
      <c r="T239" s="8"/>
      <c r="U239" s="8"/>
      <c r="V239" s="8"/>
      <c r="W239" s="10"/>
    </row>
    <row r="240" spans="1:23" x14ac:dyDescent="0.3">
      <c r="A240" s="5"/>
      <c r="B240" s="5"/>
      <c r="C240" s="5"/>
      <c r="D240" s="5"/>
      <c r="E240" s="5"/>
      <c r="F240" s="5"/>
      <c r="G240" s="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8"/>
      <c r="S240" s="9"/>
      <c r="T240" s="8"/>
      <c r="U240" s="8"/>
      <c r="V240" s="8"/>
      <c r="W240" s="10"/>
    </row>
    <row r="241" spans="1:23" x14ac:dyDescent="0.3">
      <c r="A241" s="5"/>
      <c r="B241" s="5"/>
      <c r="C241" s="5"/>
      <c r="D241" s="5"/>
      <c r="E241" s="5"/>
      <c r="F241" s="5"/>
      <c r="G241" s="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8"/>
      <c r="S241" s="9"/>
      <c r="T241" s="8"/>
      <c r="U241" s="8"/>
      <c r="V241" s="8"/>
      <c r="W241" s="10"/>
    </row>
    <row r="242" spans="1:23" x14ac:dyDescent="0.3">
      <c r="A242" s="5"/>
      <c r="B242" s="5"/>
      <c r="C242" s="5"/>
      <c r="D242" s="5"/>
      <c r="E242" s="5"/>
      <c r="F242" s="5"/>
      <c r="G242" s="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8"/>
      <c r="S242" s="9"/>
      <c r="T242" s="8"/>
      <c r="U242" s="8"/>
      <c r="V242" s="8"/>
      <c r="W242" s="10"/>
    </row>
    <row r="243" spans="1:23" x14ac:dyDescent="0.3">
      <c r="A243" s="5"/>
      <c r="B243" s="5"/>
      <c r="C243" s="5"/>
      <c r="D243" s="5"/>
      <c r="E243" s="5"/>
      <c r="F243" s="5"/>
      <c r="G243" s="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8"/>
      <c r="S243" s="9"/>
      <c r="T243" s="8"/>
      <c r="U243" s="8"/>
      <c r="V243" s="8"/>
      <c r="W243" s="10"/>
    </row>
    <row r="244" spans="1:23" x14ac:dyDescent="0.3">
      <c r="A244" s="5"/>
      <c r="B244" s="5"/>
      <c r="C244" s="5"/>
      <c r="D244" s="5"/>
      <c r="E244" s="5"/>
      <c r="F244" s="5"/>
      <c r="G244" s="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8"/>
      <c r="S244" s="9"/>
      <c r="T244" s="8"/>
      <c r="U244" s="8"/>
      <c r="V244" s="8"/>
      <c r="W244" s="10"/>
    </row>
    <row r="245" spans="1:23" x14ac:dyDescent="0.3">
      <c r="A245" s="5"/>
      <c r="B245" s="5"/>
      <c r="C245" s="5"/>
      <c r="D245" s="5"/>
      <c r="E245" s="5"/>
      <c r="F245" s="5"/>
      <c r="G245" s="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8"/>
      <c r="S245" s="9"/>
      <c r="T245" s="8"/>
      <c r="U245" s="8"/>
      <c r="V245" s="8"/>
      <c r="W245" s="10"/>
    </row>
    <row r="246" spans="1:23" x14ac:dyDescent="0.3">
      <c r="A246" s="5"/>
      <c r="B246" s="5"/>
      <c r="C246" s="5"/>
      <c r="D246" s="5"/>
      <c r="E246" s="5"/>
      <c r="F246" s="5"/>
      <c r="G246" s="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8"/>
      <c r="S246" s="9"/>
      <c r="T246" s="8"/>
      <c r="U246" s="8"/>
      <c r="V246" s="8"/>
      <c r="W246" s="10"/>
    </row>
    <row r="247" spans="1:23" x14ac:dyDescent="0.3">
      <c r="A247" s="5"/>
      <c r="B247" s="5"/>
      <c r="C247" s="5"/>
      <c r="D247" s="5"/>
      <c r="E247" s="5"/>
      <c r="F247" s="5"/>
      <c r="G247" s="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8"/>
      <c r="S247" s="9"/>
      <c r="T247" s="8"/>
      <c r="U247" s="8"/>
      <c r="V247" s="8"/>
      <c r="W247" s="10"/>
    </row>
    <row r="248" spans="1:23" x14ac:dyDescent="0.3">
      <c r="A248" s="5"/>
      <c r="B248" s="5"/>
      <c r="C248" s="5"/>
      <c r="D248" s="5"/>
      <c r="E248" s="5"/>
      <c r="F248" s="5"/>
      <c r="G248" s="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8"/>
      <c r="S248" s="9"/>
      <c r="T248" s="8"/>
      <c r="U248" s="8"/>
      <c r="V248" s="8"/>
      <c r="W248" s="10"/>
    </row>
    <row r="249" spans="1:23" x14ac:dyDescent="0.3">
      <c r="A249" s="5"/>
      <c r="B249" s="5"/>
      <c r="C249" s="5"/>
      <c r="D249" s="5"/>
      <c r="E249" s="5"/>
      <c r="F249" s="5"/>
      <c r="G249" s="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8"/>
      <c r="S249" s="9"/>
      <c r="T249" s="8"/>
      <c r="U249" s="8"/>
      <c r="V249" s="8"/>
      <c r="W249" s="10"/>
    </row>
    <row r="250" spans="1:23" x14ac:dyDescent="0.3">
      <c r="A250" s="5"/>
      <c r="B250" s="5"/>
      <c r="C250" s="5"/>
      <c r="D250" s="5"/>
      <c r="E250" s="5"/>
      <c r="F250" s="5"/>
      <c r="G250" s="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8"/>
      <c r="S250" s="9"/>
      <c r="T250" s="8"/>
      <c r="U250" s="8"/>
      <c r="V250" s="8"/>
      <c r="W250" s="10"/>
    </row>
    <row r="251" spans="1:23" x14ac:dyDescent="0.3">
      <c r="A251" s="5"/>
      <c r="B251" s="5"/>
      <c r="C251" s="5"/>
      <c r="D251" s="5"/>
      <c r="E251" s="5"/>
      <c r="F251" s="5"/>
      <c r="G251" s="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8"/>
      <c r="S251" s="9"/>
      <c r="T251" s="8"/>
      <c r="U251" s="8"/>
      <c r="V251" s="8"/>
      <c r="W251" s="10"/>
    </row>
    <row r="252" spans="1:23" x14ac:dyDescent="0.3">
      <c r="A252" s="5"/>
      <c r="B252" s="5"/>
      <c r="C252" s="5"/>
      <c r="D252" s="5"/>
      <c r="E252" s="5"/>
      <c r="F252" s="5"/>
      <c r="G252" s="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8"/>
      <c r="S252" s="9"/>
      <c r="T252" s="8"/>
      <c r="U252" s="8"/>
      <c r="V252" s="8"/>
      <c r="W252" s="10"/>
    </row>
    <row r="253" spans="1:23" x14ac:dyDescent="0.3">
      <c r="A253" s="5"/>
      <c r="B253" s="5"/>
      <c r="C253" s="5"/>
      <c r="D253" s="5"/>
      <c r="E253" s="5"/>
      <c r="F253" s="5"/>
      <c r="G253" s="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8"/>
      <c r="S253" s="9"/>
      <c r="T253" s="8"/>
      <c r="U253" s="8"/>
      <c r="V253" s="8"/>
      <c r="W253" s="10"/>
    </row>
    <row r="254" spans="1:23" x14ac:dyDescent="0.3">
      <c r="A254" s="5"/>
      <c r="B254" s="5"/>
      <c r="C254" s="5"/>
      <c r="D254" s="5"/>
      <c r="E254" s="5"/>
      <c r="F254" s="5"/>
      <c r="G254" s="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8"/>
      <c r="S254" s="9"/>
      <c r="T254" s="8"/>
      <c r="U254" s="8"/>
      <c r="V254" s="8"/>
      <c r="W254" s="10"/>
    </row>
    <row r="255" spans="1:23" x14ac:dyDescent="0.3">
      <c r="A255" s="5"/>
      <c r="B255" s="5"/>
      <c r="C255" s="5"/>
      <c r="D255" s="5"/>
      <c r="E255" s="5"/>
      <c r="F255" s="5"/>
      <c r="G255" s="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8"/>
      <c r="S255" s="9"/>
      <c r="T255" s="8"/>
      <c r="U255" s="8"/>
      <c r="V255" s="8"/>
      <c r="W255" s="10"/>
    </row>
    <row r="256" spans="1:23" x14ac:dyDescent="0.3">
      <c r="A256" s="5"/>
      <c r="B256" s="5"/>
      <c r="C256" s="5"/>
      <c r="D256" s="5"/>
      <c r="E256" s="5"/>
      <c r="F256" s="5"/>
      <c r="G256" s="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8"/>
      <c r="S256" s="9"/>
      <c r="T256" s="8"/>
      <c r="U256" s="8"/>
      <c r="V256" s="8"/>
      <c r="W256" s="10"/>
    </row>
    <row r="257" spans="1:23" x14ac:dyDescent="0.3">
      <c r="A257" s="5"/>
      <c r="B257" s="5"/>
      <c r="C257" s="5"/>
      <c r="D257" s="5"/>
      <c r="E257" s="5"/>
      <c r="F257" s="5"/>
      <c r="G257" s="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8"/>
      <c r="S257" s="9"/>
      <c r="T257" s="8"/>
      <c r="U257" s="8"/>
      <c r="V257" s="8"/>
      <c r="W257" s="10"/>
    </row>
    <row r="258" spans="1:23" x14ac:dyDescent="0.3">
      <c r="A258" s="5"/>
      <c r="B258" s="5"/>
      <c r="C258" s="5"/>
      <c r="D258" s="5"/>
      <c r="E258" s="5"/>
      <c r="F258" s="5"/>
      <c r="G258" s="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8"/>
      <c r="S258" s="9"/>
      <c r="T258" s="8"/>
      <c r="U258" s="8"/>
      <c r="V258" s="8"/>
      <c r="W258" s="10"/>
    </row>
    <row r="259" spans="1:23" x14ac:dyDescent="0.3">
      <c r="A259" s="5"/>
      <c r="B259" s="5"/>
      <c r="C259" s="5"/>
      <c r="D259" s="5"/>
      <c r="E259" s="5"/>
      <c r="F259" s="5"/>
      <c r="G259" s="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8"/>
      <c r="S259" s="9"/>
      <c r="T259" s="8"/>
      <c r="U259" s="8"/>
      <c r="V259" s="8"/>
      <c r="W259" s="10"/>
    </row>
    <row r="260" spans="1:23" x14ac:dyDescent="0.3">
      <c r="A260" s="5"/>
      <c r="B260" s="5"/>
      <c r="C260" s="5"/>
      <c r="D260" s="5"/>
      <c r="E260" s="5"/>
      <c r="F260" s="5"/>
      <c r="G260" s="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8"/>
      <c r="S260" s="9"/>
      <c r="T260" s="8"/>
      <c r="U260" s="8"/>
      <c r="V260" s="8"/>
      <c r="W260" s="10"/>
    </row>
    <row r="261" spans="1:23" x14ac:dyDescent="0.3">
      <c r="A261" s="5"/>
      <c r="B261" s="5"/>
      <c r="C261" s="5"/>
      <c r="D261" s="5"/>
      <c r="E261" s="5"/>
      <c r="F261" s="5"/>
      <c r="G261" s="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8"/>
      <c r="S261" s="9"/>
      <c r="T261" s="8"/>
      <c r="U261" s="8"/>
      <c r="V261" s="8"/>
      <c r="W261" s="10"/>
    </row>
    <row r="262" spans="1:23" x14ac:dyDescent="0.3">
      <c r="A262" s="5"/>
      <c r="B262" s="5"/>
      <c r="C262" s="5"/>
      <c r="D262" s="5"/>
      <c r="E262" s="5"/>
      <c r="F262" s="5"/>
      <c r="G262" s="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8"/>
      <c r="S262" s="9"/>
      <c r="T262" s="8"/>
      <c r="U262" s="8"/>
      <c r="V262" s="8"/>
      <c r="W262" s="10"/>
    </row>
    <row r="263" spans="1:23" x14ac:dyDescent="0.3">
      <c r="A263" s="5"/>
      <c r="B263" s="5"/>
      <c r="C263" s="5"/>
      <c r="D263" s="5"/>
      <c r="E263" s="5"/>
      <c r="F263" s="5"/>
      <c r="G263" s="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8"/>
      <c r="S263" s="9"/>
      <c r="T263" s="8"/>
      <c r="U263" s="8"/>
      <c r="V263" s="8"/>
      <c r="W263" s="10"/>
    </row>
    <row r="264" spans="1:23" x14ac:dyDescent="0.3">
      <c r="A264" s="5"/>
      <c r="B264" s="5"/>
      <c r="C264" s="5"/>
      <c r="D264" s="5"/>
      <c r="E264" s="5"/>
      <c r="F264" s="5"/>
      <c r="G264" s="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8"/>
      <c r="S264" s="9"/>
      <c r="T264" s="8"/>
      <c r="U264" s="8"/>
      <c r="V264" s="8"/>
      <c r="W264" s="10"/>
    </row>
    <row r="265" spans="1:23" x14ac:dyDescent="0.3">
      <c r="A265" s="5"/>
      <c r="B265" s="5"/>
      <c r="C265" s="5"/>
      <c r="D265" s="5"/>
      <c r="E265" s="5"/>
      <c r="F265" s="5"/>
      <c r="G265" s="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8"/>
      <c r="S265" s="9"/>
      <c r="T265" s="8"/>
      <c r="U265" s="8"/>
      <c r="V265" s="8"/>
      <c r="W265" s="10"/>
    </row>
    <row r="266" spans="1:23" x14ac:dyDescent="0.3">
      <c r="A266" s="5"/>
      <c r="B266" s="5"/>
      <c r="C266" s="5"/>
      <c r="D266" s="5"/>
      <c r="E266" s="5"/>
      <c r="F266" s="5"/>
      <c r="G266" s="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8"/>
      <c r="S266" s="9"/>
      <c r="T266" s="8"/>
      <c r="U266" s="8"/>
      <c r="V266" s="8"/>
      <c r="W266" s="10"/>
    </row>
    <row r="267" spans="1:23" x14ac:dyDescent="0.3">
      <c r="A267" s="5"/>
      <c r="B267" s="5"/>
      <c r="C267" s="5"/>
      <c r="D267" s="5"/>
      <c r="E267" s="5"/>
      <c r="F267" s="5"/>
      <c r="G267" s="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8"/>
      <c r="S267" s="9"/>
      <c r="T267" s="8"/>
      <c r="U267" s="8"/>
      <c r="V267" s="8"/>
      <c r="W267" s="10"/>
    </row>
    <row r="268" spans="1:23" x14ac:dyDescent="0.3">
      <c r="A268" s="5"/>
      <c r="B268" s="5"/>
      <c r="C268" s="5"/>
      <c r="D268" s="5"/>
      <c r="E268" s="5"/>
      <c r="F268" s="5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8"/>
      <c r="S268" s="9"/>
      <c r="T268" s="8"/>
      <c r="U268" s="8"/>
      <c r="V268" s="8"/>
      <c r="W268" s="10"/>
    </row>
    <row r="269" spans="1:23" x14ac:dyDescent="0.3">
      <c r="A269" s="5"/>
      <c r="B269" s="5"/>
      <c r="C269" s="5"/>
      <c r="D269" s="5"/>
      <c r="E269" s="5"/>
      <c r="F269" s="5"/>
      <c r="G269" s="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8"/>
      <c r="S269" s="9"/>
      <c r="T269" s="8"/>
      <c r="U269" s="8"/>
      <c r="V269" s="8"/>
      <c r="W269" s="10"/>
    </row>
    <row r="270" spans="1:23" x14ac:dyDescent="0.3">
      <c r="A270" s="5"/>
      <c r="B270" s="5"/>
      <c r="C270" s="5"/>
      <c r="D270" s="5"/>
      <c r="E270" s="5"/>
      <c r="F270" s="5"/>
      <c r="G270" s="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8"/>
      <c r="S270" s="9"/>
      <c r="T270" s="8"/>
      <c r="U270" s="8"/>
      <c r="V270" s="8"/>
      <c r="W270" s="10"/>
    </row>
    <row r="271" spans="1:23" x14ac:dyDescent="0.3">
      <c r="A271" s="5"/>
      <c r="B271" s="5"/>
      <c r="C271" s="5"/>
      <c r="D271" s="5"/>
      <c r="E271" s="5"/>
      <c r="F271" s="5"/>
      <c r="G271" s="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8"/>
      <c r="S271" s="9"/>
      <c r="T271" s="8"/>
      <c r="U271" s="8"/>
      <c r="V271" s="8"/>
      <c r="W271" s="10"/>
    </row>
    <row r="272" spans="1:23" x14ac:dyDescent="0.3">
      <c r="A272" s="5"/>
      <c r="B272" s="5"/>
      <c r="C272" s="5"/>
      <c r="D272" s="5"/>
      <c r="E272" s="5"/>
      <c r="F272" s="5"/>
      <c r="G272" s="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8"/>
      <c r="S272" s="9"/>
      <c r="T272" s="8"/>
      <c r="U272" s="8"/>
      <c r="V272" s="8"/>
      <c r="W272" s="10"/>
    </row>
    <row r="273" spans="1:23" x14ac:dyDescent="0.3">
      <c r="A273" s="5"/>
      <c r="B273" s="5"/>
      <c r="C273" s="5"/>
      <c r="D273" s="5"/>
      <c r="E273" s="5"/>
      <c r="F273" s="5"/>
      <c r="G273" s="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8"/>
      <c r="S273" s="9"/>
      <c r="T273" s="8"/>
      <c r="U273" s="8"/>
      <c r="V273" s="8"/>
      <c r="W273" s="10"/>
    </row>
    <row r="274" spans="1:23" x14ac:dyDescent="0.3">
      <c r="A274" s="5"/>
      <c r="B274" s="5"/>
      <c r="C274" s="5"/>
      <c r="D274" s="5"/>
      <c r="E274" s="5"/>
      <c r="F274" s="5"/>
      <c r="G274" s="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8"/>
      <c r="S274" s="9"/>
      <c r="T274" s="8"/>
      <c r="U274" s="8"/>
      <c r="V274" s="8"/>
      <c r="W274" s="10"/>
    </row>
    <row r="275" spans="1:23" x14ac:dyDescent="0.3">
      <c r="A275" s="5"/>
      <c r="B275" s="5"/>
      <c r="C275" s="5"/>
      <c r="D275" s="5"/>
      <c r="E275" s="5"/>
      <c r="F275" s="5"/>
      <c r="G275" s="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8"/>
      <c r="S275" s="9"/>
      <c r="T275" s="8"/>
      <c r="U275" s="8"/>
      <c r="V275" s="8"/>
      <c r="W275" s="10"/>
    </row>
    <row r="276" spans="1:23" x14ac:dyDescent="0.3">
      <c r="A276" s="5"/>
      <c r="B276" s="5"/>
      <c r="C276" s="5"/>
      <c r="D276" s="5"/>
      <c r="E276" s="5"/>
      <c r="F276" s="5"/>
      <c r="G276" s="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8"/>
      <c r="S276" s="9"/>
      <c r="T276" s="8"/>
      <c r="U276" s="8"/>
      <c r="V276" s="8"/>
      <c r="W276" s="10"/>
    </row>
    <row r="277" spans="1:23" x14ac:dyDescent="0.3">
      <c r="A277" s="5"/>
      <c r="B277" s="5"/>
      <c r="C277" s="5"/>
      <c r="D277" s="5"/>
      <c r="E277" s="5"/>
      <c r="F277" s="5"/>
      <c r="G277" s="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8"/>
      <c r="S277" s="9"/>
      <c r="T277" s="8"/>
      <c r="U277" s="8"/>
      <c r="V277" s="8"/>
      <c r="W277" s="10"/>
    </row>
    <row r="278" spans="1:23" x14ac:dyDescent="0.3">
      <c r="A278" s="5"/>
      <c r="B278" s="5"/>
      <c r="C278" s="5"/>
      <c r="D278" s="5"/>
      <c r="E278" s="5"/>
      <c r="F278" s="5"/>
      <c r="G278" s="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8"/>
      <c r="S278" s="9"/>
      <c r="T278" s="8"/>
      <c r="U278" s="8"/>
      <c r="V278" s="8"/>
      <c r="W278" s="10"/>
    </row>
    <row r="279" spans="1:23" x14ac:dyDescent="0.3">
      <c r="A279" s="5"/>
      <c r="B279" s="5"/>
      <c r="C279" s="5"/>
      <c r="D279" s="5"/>
      <c r="E279" s="5"/>
      <c r="F279" s="5"/>
      <c r="G279" s="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8"/>
      <c r="S279" s="9"/>
      <c r="T279" s="8"/>
      <c r="U279" s="8"/>
      <c r="V279" s="8"/>
      <c r="W279" s="10"/>
    </row>
    <row r="280" spans="1:23" x14ac:dyDescent="0.3">
      <c r="A280" s="5"/>
      <c r="B280" s="5"/>
      <c r="C280" s="5"/>
      <c r="D280" s="5"/>
      <c r="E280" s="5"/>
      <c r="F280" s="5"/>
      <c r="G280" s="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8"/>
      <c r="S280" s="9"/>
      <c r="T280" s="8"/>
      <c r="U280" s="8"/>
      <c r="V280" s="8"/>
      <c r="W280" s="10"/>
    </row>
    <row r="281" spans="1:23" x14ac:dyDescent="0.3">
      <c r="A281" s="5"/>
      <c r="B281" s="5"/>
      <c r="C281" s="5"/>
      <c r="D281" s="5"/>
      <c r="E281" s="5"/>
      <c r="F281" s="5"/>
      <c r="G281" s="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8"/>
      <c r="S281" s="9"/>
      <c r="T281" s="8"/>
      <c r="U281" s="8"/>
      <c r="V281" s="8"/>
      <c r="W281" s="10"/>
    </row>
    <row r="282" spans="1:23" x14ac:dyDescent="0.3">
      <c r="A282" s="5"/>
      <c r="B282" s="5"/>
      <c r="C282" s="5"/>
      <c r="D282" s="5"/>
      <c r="E282" s="5"/>
      <c r="F282" s="5"/>
      <c r="G282" s="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8"/>
      <c r="S282" s="9"/>
      <c r="T282" s="8"/>
      <c r="U282" s="8"/>
      <c r="V282" s="8"/>
      <c r="W282" s="10"/>
    </row>
    <row r="283" spans="1:23" x14ac:dyDescent="0.3">
      <c r="A283" s="5"/>
      <c r="B283" s="5"/>
      <c r="C283" s="5"/>
      <c r="D283" s="5"/>
      <c r="E283" s="5"/>
      <c r="F283" s="5"/>
      <c r="G283" s="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8"/>
      <c r="S283" s="9"/>
      <c r="T283" s="8"/>
      <c r="U283" s="8"/>
      <c r="V283" s="8"/>
      <c r="W283" s="10"/>
    </row>
    <row r="284" spans="1:23" x14ac:dyDescent="0.3">
      <c r="A284" s="5"/>
      <c r="B284" s="5"/>
      <c r="C284" s="5"/>
      <c r="D284" s="5"/>
      <c r="E284" s="5"/>
      <c r="F284" s="5"/>
      <c r="G284" s="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8"/>
      <c r="S284" s="9"/>
      <c r="T284" s="8"/>
      <c r="U284" s="8"/>
      <c r="V284" s="8"/>
      <c r="W284" s="10"/>
    </row>
    <row r="285" spans="1:23" x14ac:dyDescent="0.3">
      <c r="A285" s="5"/>
      <c r="B285" s="5"/>
      <c r="C285" s="5"/>
      <c r="D285" s="5"/>
      <c r="E285" s="5"/>
      <c r="F285" s="5"/>
      <c r="G285" s="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8"/>
      <c r="S285" s="9"/>
      <c r="T285" s="8"/>
      <c r="U285" s="8"/>
      <c r="V285" s="8"/>
      <c r="W285" s="10"/>
    </row>
    <row r="286" spans="1:23" x14ac:dyDescent="0.3">
      <c r="A286" s="5"/>
      <c r="B286" s="5"/>
      <c r="C286" s="5"/>
      <c r="D286" s="5"/>
      <c r="E286" s="5"/>
      <c r="F286" s="5"/>
      <c r="G286" s="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8"/>
      <c r="S286" s="9"/>
      <c r="T286" s="8"/>
      <c r="U286" s="8"/>
      <c r="V286" s="8"/>
      <c r="W286" s="10"/>
    </row>
    <row r="287" spans="1:23" x14ac:dyDescent="0.3">
      <c r="A287" s="5"/>
      <c r="B287" s="5"/>
      <c r="C287" s="5"/>
      <c r="D287" s="5"/>
      <c r="E287" s="5"/>
      <c r="F287" s="5"/>
      <c r="G287" s="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8"/>
      <c r="S287" s="9"/>
      <c r="T287" s="8"/>
      <c r="U287" s="8"/>
      <c r="V287" s="8"/>
      <c r="W287" s="10"/>
    </row>
    <row r="288" spans="1:23" x14ac:dyDescent="0.3">
      <c r="A288" s="5"/>
      <c r="B288" s="5"/>
      <c r="C288" s="5"/>
      <c r="D288" s="5"/>
      <c r="E288" s="5"/>
      <c r="F288" s="5"/>
      <c r="G288" s="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8"/>
      <c r="S288" s="9"/>
      <c r="T288" s="8"/>
      <c r="U288" s="8"/>
      <c r="V288" s="8"/>
      <c r="W288" s="10"/>
    </row>
    <row r="289" spans="1:23" x14ac:dyDescent="0.3">
      <c r="A289" s="5"/>
      <c r="B289" s="5"/>
      <c r="C289" s="5"/>
      <c r="D289" s="5"/>
      <c r="E289" s="5"/>
      <c r="F289" s="5"/>
      <c r="G289" s="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8"/>
      <c r="S289" s="9"/>
      <c r="T289" s="8"/>
      <c r="U289" s="8"/>
      <c r="V289" s="8"/>
      <c r="W289" s="10"/>
    </row>
    <row r="290" spans="1:23" x14ac:dyDescent="0.3">
      <c r="A290" s="5"/>
      <c r="B290" s="5"/>
      <c r="C290" s="5"/>
      <c r="D290" s="5"/>
      <c r="E290" s="5"/>
      <c r="F290" s="5"/>
      <c r="G290" s="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8"/>
      <c r="S290" s="9"/>
      <c r="T290" s="8"/>
      <c r="U290" s="8"/>
      <c r="V290" s="8"/>
      <c r="W290" s="10"/>
    </row>
    <row r="291" spans="1:23" x14ac:dyDescent="0.3">
      <c r="A291" s="5"/>
      <c r="B291" s="5"/>
      <c r="C291" s="5"/>
      <c r="D291" s="5"/>
      <c r="E291" s="5"/>
      <c r="F291" s="5"/>
      <c r="G291" s="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8"/>
      <c r="S291" s="9"/>
      <c r="T291" s="8"/>
      <c r="U291" s="8"/>
      <c r="V291" s="8"/>
      <c r="W291" s="10"/>
    </row>
    <row r="292" spans="1:23" x14ac:dyDescent="0.3">
      <c r="A292" s="5"/>
      <c r="B292" s="5"/>
      <c r="C292" s="5"/>
      <c r="D292" s="5"/>
      <c r="E292" s="5"/>
      <c r="F292" s="5"/>
      <c r="G292" s="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8"/>
      <c r="S292" s="9"/>
      <c r="T292" s="8"/>
      <c r="U292" s="8"/>
      <c r="V292" s="8"/>
      <c r="W292" s="10"/>
    </row>
    <row r="293" spans="1:23" x14ac:dyDescent="0.3">
      <c r="A293" s="5"/>
      <c r="B293" s="5"/>
      <c r="C293" s="5"/>
      <c r="D293" s="5"/>
      <c r="E293" s="5"/>
      <c r="F293" s="5"/>
      <c r="G293" s="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8"/>
      <c r="S293" s="9"/>
      <c r="T293" s="8"/>
      <c r="U293" s="8"/>
      <c r="V293" s="8"/>
      <c r="W293" s="10"/>
    </row>
    <row r="294" spans="1:23" x14ac:dyDescent="0.3">
      <c r="A294" s="5"/>
      <c r="B294" s="5"/>
      <c r="C294" s="5"/>
      <c r="D294" s="5"/>
      <c r="E294" s="5"/>
      <c r="F294" s="5"/>
      <c r="G294" s="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8"/>
      <c r="S294" s="9"/>
      <c r="T294" s="8"/>
      <c r="U294" s="8"/>
      <c r="V294" s="8"/>
      <c r="W294" s="10"/>
    </row>
    <row r="295" spans="1:23" x14ac:dyDescent="0.3">
      <c r="A295" s="5"/>
      <c r="B295" s="5"/>
      <c r="C295" s="5"/>
      <c r="D295" s="5"/>
      <c r="E295" s="5"/>
      <c r="F295" s="5"/>
      <c r="G295" s="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8"/>
      <c r="S295" s="9"/>
      <c r="T295" s="8"/>
      <c r="U295" s="8"/>
      <c r="V295" s="8"/>
      <c r="W295" s="10"/>
    </row>
    <row r="296" spans="1:23" x14ac:dyDescent="0.3">
      <c r="A296" s="5"/>
      <c r="B296" s="5"/>
      <c r="C296" s="5"/>
      <c r="D296" s="5"/>
      <c r="E296" s="5"/>
      <c r="F296" s="5"/>
      <c r="G296" s="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8"/>
      <c r="S296" s="9"/>
      <c r="T296" s="8"/>
      <c r="U296" s="8"/>
      <c r="V296" s="8"/>
      <c r="W296" s="10"/>
    </row>
    <row r="297" spans="1:23" x14ac:dyDescent="0.3">
      <c r="A297" s="5"/>
      <c r="B297" s="5"/>
      <c r="C297" s="5"/>
      <c r="D297" s="5"/>
      <c r="E297" s="5"/>
      <c r="F297" s="5"/>
      <c r="G297" s="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8"/>
      <c r="S297" s="9"/>
      <c r="T297" s="8"/>
      <c r="U297" s="8"/>
      <c r="V297" s="8"/>
      <c r="W297" s="10"/>
    </row>
    <row r="298" spans="1:23" x14ac:dyDescent="0.3">
      <c r="A298" s="5"/>
      <c r="B298" s="5"/>
      <c r="C298" s="5"/>
      <c r="D298" s="5"/>
      <c r="E298" s="5"/>
      <c r="F298" s="5"/>
      <c r="G298" s="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8"/>
      <c r="S298" s="9"/>
      <c r="T298" s="8"/>
      <c r="U298" s="8"/>
      <c r="V298" s="8"/>
      <c r="W298" s="10"/>
    </row>
    <row r="299" spans="1:23" x14ac:dyDescent="0.3">
      <c r="A299" s="5"/>
      <c r="B299" s="5"/>
      <c r="C299" s="5"/>
      <c r="D299" s="5"/>
      <c r="E299" s="5"/>
      <c r="F299" s="5"/>
      <c r="G299" s="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8"/>
      <c r="S299" s="9"/>
      <c r="T299" s="8"/>
      <c r="U299" s="8"/>
      <c r="V299" s="8"/>
      <c r="W299" s="10"/>
    </row>
    <row r="300" spans="1:23" x14ac:dyDescent="0.3">
      <c r="A300" s="5"/>
      <c r="B300" s="5"/>
      <c r="C300" s="5"/>
      <c r="D300" s="5"/>
      <c r="E300" s="5"/>
      <c r="F300" s="5"/>
      <c r="G300" s="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8"/>
      <c r="S300" s="9"/>
      <c r="T300" s="8"/>
      <c r="U300" s="8"/>
      <c r="V300" s="8"/>
      <c r="W300" s="10"/>
    </row>
    <row r="301" spans="1:23" x14ac:dyDescent="0.3">
      <c r="A301" s="5"/>
      <c r="B301" s="5"/>
      <c r="C301" s="5"/>
      <c r="D301" s="5"/>
      <c r="E301" s="5"/>
      <c r="F301" s="5"/>
      <c r="G301" s="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8"/>
      <c r="S301" s="9"/>
      <c r="T301" s="8"/>
      <c r="U301" s="8"/>
      <c r="V301" s="8"/>
      <c r="W301" s="10"/>
    </row>
    <row r="302" spans="1:23" x14ac:dyDescent="0.3">
      <c r="A302" s="5"/>
      <c r="B302" s="5"/>
      <c r="C302" s="5"/>
      <c r="D302" s="5"/>
      <c r="E302" s="5"/>
      <c r="F302" s="5"/>
      <c r="G302" s="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8"/>
      <c r="S302" s="9"/>
      <c r="T302" s="8"/>
      <c r="U302" s="8"/>
      <c r="V302" s="8"/>
      <c r="W302" s="10"/>
    </row>
    <row r="303" spans="1:23" x14ac:dyDescent="0.3">
      <c r="A303" s="5"/>
      <c r="B303" s="5"/>
      <c r="C303" s="5"/>
      <c r="D303" s="5"/>
      <c r="E303" s="5"/>
      <c r="F303" s="5"/>
      <c r="G303" s="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8"/>
      <c r="S303" s="9"/>
      <c r="T303" s="8"/>
      <c r="U303" s="8"/>
      <c r="V303" s="8"/>
      <c r="W303" s="10"/>
    </row>
    <row r="304" spans="1:23" x14ac:dyDescent="0.3">
      <c r="A304" s="5"/>
      <c r="B304" s="5"/>
      <c r="C304" s="5"/>
      <c r="D304" s="5"/>
      <c r="E304" s="5"/>
      <c r="F304" s="5"/>
      <c r="G304" s="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8"/>
      <c r="S304" s="9"/>
      <c r="T304" s="8"/>
      <c r="U304" s="8"/>
      <c r="V304" s="8"/>
      <c r="W304" s="10"/>
    </row>
    <row r="305" spans="1:23" x14ac:dyDescent="0.3">
      <c r="A305" s="5"/>
      <c r="B305" s="5"/>
      <c r="C305" s="5"/>
      <c r="D305" s="5"/>
      <c r="E305" s="5"/>
      <c r="F305" s="5"/>
      <c r="G305" s="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8"/>
      <c r="S305" s="9"/>
      <c r="T305" s="8"/>
      <c r="U305" s="8"/>
      <c r="V305" s="8"/>
      <c r="W305" s="10"/>
    </row>
    <row r="306" spans="1:23" x14ac:dyDescent="0.3">
      <c r="A306" s="5"/>
      <c r="B306" s="5"/>
      <c r="C306" s="5"/>
      <c r="D306" s="5"/>
      <c r="E306" s="5"/>
      <c r="F306" s="5"/>
      <c r="G306" s="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8"/>
      <c r="S306" s="9"/>
      <c r="T306" s="8"/>
      <c r="U306" s="8"/>
      <c r="V306" s="8"/>
      <c r="W306" s="10"/>
    </row>
    <row r="307" spans="1:23" x14ac:dyDescent="0.3">
      <c r="A307" s="5"/>
      <c r="B307" s="5"/>
      <c r="C307" s="5"/>
      <c r="D307" s="5"/>
      <c r="E307" s="5"/>
      <c r="F307" s="5"/>
      <c r="G307" s="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8"/>
      <c r="S307" s="9"/>
      <c r="T307" s="8"/>
      <c r="U307" s="8"/>
      <c r="V307" s="8"/>
      <c r="W307" s="10"/>
    </row>
    <row r="308" spans="1:23" x14ac:dyDescent="0.3">
      <c r="A308" s="5"/>
      <c r="B308" s="5"/>
      <c r="C308" s="5"/>
      <c r="D308" s="5"/>
      <c r="E308" s="5"/>
      <c r="F308" s="5"/>
      <c r="G308" s="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8"/>
      <c r="S308" s="9"/>
      <c r="T308" s="8"/>
      <c r="U308" s="8"/>
      <c r="V308" s="8"/>
      <c r="W308" s="10"/>
    </row>
    <row r="309" spans="1:23" x14ac:dyDescent="0.3">
      <c r="A309" s="5"/>
      <c r="B309" s="5"/>
      <c r="C309" s="5"/>
      <c r="D309" s="5"/>
      <c r="E309" s="5"/>
      <c r="F309" s="5"/>
      <c r="G309" s="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8"/>
      <c r="S309" s="9"/>
      <c r="T309" s="8"/>
      <c r="U309" s="8"/>
      <c r="V309" s="8"/>
      <c r="W309" s="10"/>
    </row>
    <row r="310" spans="1:23" x14ac:dyDescent="0.3">
      <c r="A310" s="5"/>
      <c r="B310" s="5"/>
      <c r="C310" s="5"/>
      <c r="D310" s="5"/>
      <c r="E310" s="5"/>
      <c r="F310" s="5"/>
      <c r="G310" s="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8"/>
      <c r="S310" s="9"/>
      <c r="T310" s="8"/>
      <c r="U310" s="8"/>
      <c r="V310" s="8"/>
      <c r="W310" s="10"/>
    </row>
    <row r="311" spans="1:23" x14ac:dyDescent="0.3">
      <c r="A311" s="5"/>
      <c r="B311" s="5"/>
      <c r="C311" s="5"/>
      <c r="D311" s="5"/>
      <c r="E311" s="5"/>
      <c r="F311" s="5"/>
      <c r="G311" s="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8"/>
      <c r="S311" s="9"/>
      <c r="T311" s="8"/>
      <c r="U311" s="8"/>
      <c r="V311" s="8"/>
      <c r="W311" s="10"/>
    </row>
    <row r="312" spans="1:23" x14ac:dyDescent="0.3">
      <c r="A312" s="5"/>
      <c r="B312" s="5"/>
      <c r="C312" s="5"/>
      <c r="D312" s="5"/>
      <c r="E312" s="5"/>
      <c r="F312" s="5"/>
      <c r="G312" s="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8"/>
      <c r="S312" s="9"/>
      <c r="T312" s="8"/>
      <c r="U312" s="8"/>
      <c r="V312" s="8"/>
      <c r="W312" s="10"/>
    </row>
    <row r="313" spans="1:23" x14ac:dyDescent="0.3">
      <c r="A313" s="5"/>
      <c r="B313" s="5"/>
      <c r="C313" s="5"/>
      <c r="D313" s="5"/>
      <c r="E313" s="5"/>
      <c r="F313" s="5"/>
      <c r="G313" s="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8"/>
      <c r="S313" s="9"/>
      <c r="T313" s="8"/>
      <c r="U313" s="8"/>
      <c r="V313" s="8"/>
      <c r="W313" s="10"/>
    </row>
    <row r="314" spans="1:23" x14ac:dyDescent="0.3">
      <c r="A314" s="5"/>
      <c r="B314" s="5"/>
      <c r="C314" s="5"/>
      <c r="D314" s="5"/>
      <c r="E314" s="5"/>
      <c r="F314" s="5"/>
      <c r="G314" s="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8"/>
      <c r="S314" s="9"/>
      <c r="T314" s="8"/>
      <c r="U314" s="8"/>
      <c r="V314" s="8"/>
      <c r="W314" s="10"/>
    </row>
    <row r="315" spans="1:23" x14ac:dyDescent="0.3">
      <c r="A315" s="5"/>
      <c r="B315" s="5"/>
      <c r="C315" s="5"/>
      <c r="D315" s="5"/>
      <c r="E315" s="5"/>
      <c r="F315" s="5"/>
      <c r="G315" s="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8"/>
      <c r="S315" s="9"/>
      <c r="T315" s="8"/>
      <c r="U315" s="8"/>
      <c r="V315" s="8"/>
      <c r="W315" s="10"/>
    </row>
    <row r="316" spans="1:23" x14ac:dyDescent="0.3">
      <c r="A316" s="5"/>
      <c r="B316" s="5"/>
      <c r="C316" s="5"/>
      <c r="D316" s="5"/>
      <c r="E316" s="5"/>
      <c r="F316" s="5"/>
      <c r="G316" s="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8"/>
      <c r="S316" s="9"/>
      <c r="T316" s="8"/>
      <c r="U316" s="8"/>
      <c r="V316" s="8"/>
      <c r="W316" s="10"/>
    </row>
    <row r="317" spans="1:23" x14ac:dyDescent="0.3">
      <c r="A317" s="5"/>
      <c r="B317" s="5"/>
      <c r="C317" s="5"/>
      <c r="D317" s="5"/>
      <c r="E317" s="5"/>
      <c r="F317" s="5"/>
      <c r="G317" s="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8"/>
      <c r="S317" s="9"/>
      <c r="T317" s="8"/>
      <c r="U317" s="8"/>
      <c r="V317" s="8"/>
      <c r="W317" s="10"/>
    </row>
    <row r="318" spans="1:23" x14ac:dyDescent="0.3">
      <c r="A318" s="5"/>
      <c r="B318" s="5"/>
      <c r="C318" s="5"/>
      <c r="D318" s="5"/>
      <c r="E318" s="5"/>
      <c r="F318" s="5"/>
      <c r="G318" s="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8"/>
      <c r="S318" s="9"/>
      <c r="T318" s="8"/>
      <c r="U318" s="8"/>
      <c r="V318" s="8"/>
      <c r="W318" s="10"/>
    </row>
    <row r="319" spans="1:23" x14ac:dyDescent="0.3">
      <c r="A319" s="5"/>
      <c r="B319" s="5"/>
      <c r="C319" s="5"/>
      <c r="D319" s="5"/>
      <c r="E319" s="5"/>
      <c r="F319" s="5"/>
      <c r="G319" s="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8"/>
      <c r="S319" s="9"/>
      <c r="T319" s="8"/>
      <c r="U319" s="8"/>
      <c r="V319" s="8"/>
      <c r="W319" s="10"/>
    </row>
    <row r="320" spans="1:23" x14ac:dyDescent="0.3">
      <c r="A320" s="5"/>
      <c r="B320" s="5"/>
      <c r="C320" s="5"/>
      <c r="D320" s="5"/>
      <c r="E320" s="5"/>
      <c r="F320" s="5"/>
      <c r="G320" s="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8"/>
      <c r="S320" s="9"/>
      <c r="T320" s="8"/>
      <c r="U320" s="8"/>
      <c r="V320" s="8"/>
      <c r="W320" s="10"/>
    </row>
    <row r="321" spans="1:23" x14ac:dyDescent="0.3">
      <c r="A321" s="5"/>
      <c r="B321" s="5"/>
      <c r="C321" s="5"/>
      <c r="D321" s="5"/>
      <c r="E321" s="5"/>
      <c r="F321" s="5"/>
      <c r="G321" s="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8"/>
      <c r="S321" s="9"/>
      <c r="T321" s="8"/>
      <c r="U321" s="8"/>
      <c r="V321" s="8"/>
      <c r="W321" s="10"/>
    </row>
    <row r="322" spans="1:23" x14ac:dyDescent="0.3">
      <c r="A322" s="5"/>
      <c r="B322" s="5"/>
      <c r="C322" s="5"/>
      <c r="D322" s="5"/>
      <c r="E322" s="5"/>
      <c r="F322" s="5"/>
      <c r="G322" s="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8"/>
      <c r="S322" s="9"/>
      <c r="T322" s="8"/>
      <c r="U322" s="8"/>
      <c r="V322" s="8"/>
      <c r="W322" s="10"/>
    </row>
    <row r="323" spans="1:23" x14ac:dyDescent="0.3">
      <c r="A323" s="5"/>
      <c r="B323" s="5"/>
      <c r="C323" s="5"/>
      <c r="D323" s="5"/>
      <c r="E323" s="5"/>
      <c r="F323" s="5"/>
      <c r="G323" s="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8"/>
      <c r="S323" s="9"/>
      <c r="T323" s="8"/>
      <c r="U323" s="8"/>
      <c r="V323" s="8"/>
      <c r="W323" s="10"/>
    </row>
    <row r="324" spans="1:23" x14ac:dyDescent="0.3">
      <c r="A324" s="5"/>
      <c r="B324" s="5"/>
      <c r="C324" s="5"/>
      <c r="D324" s="5"/>
      <c r="E324" s="5"/>
      <c r="F324" s="5"/>
      <c r="G324" s="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8"/>
      <c r="S324" s="9"/>
      <c r="T324" s="8"/>
      <c r="U324" s="8"/>
      <c r="V324" s="8"/>
      <c r="W324" s="10"/>
    </row>
    <row r="325" spans="1:23" x14ac:dyDescent="0.3">
      <c r="A325" s="5"/>
      <c r="B325" s="5"/>
      <c r="C325" s="5"/>
      <c r="D325" s="5"/>
      <c r="E325" s="5"/>
      <c r="F325" s="5"/>
      <c r="G325" s="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8"/>
      <c r="S325" s="9"/>
      <c r="T325" s="8"/>
      <c r="U325" s="8"/>
      <c r="V325" s="8"/>
      <c r="W325" s="10"/>
    </row>
    <row r="326" spans="1:23" x14ac:dyDescent="0.3">
      <c r="A326" s="5"/>
      <c r="B326" s="5"/>
      <c r="C326" s="5"/>
      <c r="D326" s="5"/>
      <c r="E326" s="5"/>
      <c r="F326" s="5"/>
      <c r="G326" s="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8"/>
      <c r="S326" s="9"/>
      <c r="T326" s="8"/>
      <c r="U326" s="8"/>
      <c r="V326" s="8"/>
      <c r="W326" s="10"/>
    </row>
    <row r="327" spans="1:23" x14ac:dyDescent="0.3">
      <c r="A327" s="5"/>
      <c r="B327" s="5"/>
      <c r="C327" s="5"/>
      <c r="D327" s="5"/>
      <c r="E327" s="5"/>
      <c r="F327" s="5"/>
      <c r="G327" s="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8"/>
      <c r="S327" s="9"/>
      <c r="T327" s="8"/>
      <c r="U327" s="8"/>
      <c r="V327" s="8"/>
      <c r="W327" s="10"/>
    </row>
    <row r="328" spans="1:23" x14ac:dyDescent="0.3">
      <c r="A328" s="5"/>
      <c r="B328" s="5"/>
      <c r="C328" s="5"/>
      <c r="D328" s="5"/>
      <c r="E328" s="5"/>
      <c r="F328" s="5"/>
      <c r="G328" s="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8"/>
      <c r="S328" s="9"/>
      <c r="T328" s="8"/>
      <c r="U328" s="8"/>
      <c r="V328" s="8"/>
      <c r="W328" s="10"/>
    </row>
    <row r="329" spans="1:23" x14ac:dyDescent="0.3">
      <c r="A329" s="5"/>
      <c r="B329" s="5"/>
      <c r="C329" s="5"/>
      <c r="D329" s="5"/>
      <c r="E329" s="5"/>
      <c r="F329" s="5"/>
      <c r="G329" s="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8"/>
      <c r="S329" s="9"/>
      <c r="T329" s="8"/>
      <c r="U329" s="8"/>
      <c r="V329" s="8"/>
      <c r="W329" s="10"/>
    </row>
    <row r="330" spans="1:23" x14ac:dyDescent="0.3">
      <c r="A330" s="5"/>
      <c r="B330" s="5"/>
      <c r="C330" s="5"/>
      <c r="D330" s="5"/>
      <c r="E330" s="5"/>
      <c r="F330" s="5"/>
      <c r="G330" s="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8"/>
      <c r="S330" s="9"/>
      <c r="T330" s="8"/>
      <c r="U330" s="8"/>
      <c r="V330" s="8"/>
      <c r="W330" s="10"/>
    </row>
    <row r="331" spans="1:23" x14ac:dyDescent="0.3">
      <c r="A331" s="5"/>
      <c r="B331" s="5"/>
      <c r="C331" s="5"/>
      <c r="D331" s="5"/>
      <c r="E331" s="5"/>
      <c r="F331" s="5"/>
      <c r="G331" s="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8"/>
      <c r="S331" s="9"/>
      <c r="T331" s="8"/>
      <c r="U331" s="8"/>
      <c r="V331" s="8"/>
      <c r="W331" s="10"/>
    </row>
    <row r="332" spans="1:23" x14ac:dyDescent="0.3">
      <c r="A332" s="5"/>
      <c r="B332" s="5"/>
      <c r="C332" s="5"/>
      <c r="D332" s="5"/>
      <c r="E332" s="5"/>
      <c r="F332" s="5"/>
      <c r="G332" s="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8"/>
      <c r="S332" s="9"/>
      <c r="T332" s="8"/>
      <c r="U332" s="8"/>
      <c r="V332" s="8"/>
      <c r="W332" s="10"/>
    </row>
    <row r="333" spans="1:23" x14ac:dyDescent="0.3">
      <c r="A333" s="5"/>
      <c r="B333" s="5"/>
      <c r="C333" s="5"/>
      <c r="D333" s="5"/>
      <c r="E333" s="5"/>
      <c r="F333" s="5"/>
      <c r="G333" s="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8"/>
      <c r="S333" s="9"/>
      <c r="T333" s="8"/>
      <c r="U333" s="8"/>
      <c r="V333" s="8"/>
      <c r="W333" s="10"/>
    </row>
    <row r="334" spans="1:23" x14ac:dyDescent="0.3">
      <c r="A334" s="5"/>
      <c r="B334" s="5"/>
      <c r="C334" s="5"/>
      <c r="D334" s="5"/>
      <c r="E334" s="5"/>
      <c r="F334" s="5"/>
      <c r="G334" s="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8"/>
      <c r="S334" s="9"/>
      <c r="T334" s="8"/>
      <c r="U334" s="8"/>
      <c r="V334" s="8"/>
      <c r="W334" s="10"/>
    </row>
    <row r="335" spans="1:23" x14ac:dyDescent="0.3">
      <c r="A335" s="5"/>
      <c r="B335" s="5"/>
      <c r="C335" s="5"/>
      <c r="D335" s="5"/>
      <c r="E335" s="5"/>
      <c r="F335" s="5"/>
      <c r="G335" s="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8"/>
      <c r="S335" s="9"/>
      <c r="T335" s="8"/>
      <c r="U335" s="8"/>
      <c r="V335" s="8"/>
      <c r="W335" s="10"/>
    </row>
    <row r="336" spans="1:23" x14ac:dyDescent="0.3">
      <c r="A336" s="5"/>
      <c r="B336" s="5"/>
      <c r="C336" s="5"/>
      <c r="D336" s="5"/>
      <c r="E336" s="5"/>
      <c r="F336" s="5"/>
      <c r="G336" s="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8"/>
      <c r="S336" s="9"/>
      <c r="T336" s="8"/>
      <c r="U336" s="8"/>
      <c r="V336" s="8"/>
      <c r="W336" s="10"/>
    </row>
    <row r="337" spans="1:23" x14ac:dyDescent="0.3">
      <c r="A337" s="5"/>
      <c r="B337" s="5"/>
      <c r="C337" s="5"/>
      <c r="D337" s="5"/>
      <c r="E337" s="5"/>
      <c r="F337" s="5"/>
      <c r="G337" s="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8"/>
      <c r="S337" s="9"/>
      <c r="T337" s="8"/>
      <c r="U337" s="8"/>
      <c r="V337" s="8"/>
      <c r="W337" s="10"/>
    </row>
    <row r="338" spans="1:23" x14ac:dyDescent="0.3">
      <c r="A338" s="5"/>
      <c r="B338" s="5"/>
      <c r="C338" s="5"/>
      <c r="D338" s="5"/>
      <c r="E338" s="5"/>
      <c r="F338" s="5"/>
      <c r="G338" s="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8"/>
      <c r="S338" s="9"/>
      <c r="T338" s="8"/>
      <c r="U338" s="8"/>
      <c r="V338" s="8"/>
      <c r="W338" s="10"/>
    </row>
    <row r="339" spans="1:23" x14ac:dyDescent="0.3">
      <c r="A339" s="5"/>
      <c r="B339" s="5"/>
      <c r="C339" s="5"/>
      <c r="D339" s="5"/>
      <c r="E339" s="5"/>
      <c r="F339" s="5"/>
      <c r="G339" s="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8"/>
      <c r="S339" s="9"/>
      <c r="T339" s="8"/>
      <c r="U339" s="8"/>
      <c r="V339" s="8"/>
      <c r="W339" s="10"/>
    </row>
    <row r="340" spans="1:23" x14ac:dyDescent="0.3">
      <c r="A340" s="5"/>
      <c r="B340" s="5"/>
      <c r="C340" s="5"/>
      <c r="D340" s="5"/>
      <c r="E340" s="5"/>
      <c r="F340" s="5"/>
      <c r="G340" s="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8"/>
      <c r="S340" s="9"/>
      <c r="T340" s="8"/>
      <c r="U340" s="8"/>
      <c r="V340" s="8"/>
      <c r="W340" s="10"/>
    </row>
    <row r="341" spans="1:23" x14ac:dyDescent="0.3">
      <c r="A341" s="5"/>
      <c r="B341" s="5"/>
      <c r="C341" s="5"/>
      <c r="D341" s="5"/>
      <c r="E341" s="5"/>
      <c r="F341" s="5"/>
      <c r="G341" s="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8"/>
      <c r="S341" s="9"/>
      <c r="T341" s="8"/>
      <c r="U341" s="8"/>
      <c r="V341" s="8"/>
      <c r="W341" s="10"/>
    </row>
    <row r="342" spans="1:23" x14ac:dyDescent="0.3">
      <c r="A342" s="5"/>
      <c r="B342" s="5"/>
      <c r="C342" s="5"/>
      <c r="D342" s="5"/>
      <c r="E342" s="5"/>
      <c r="F342" s="5"/>
      <c r="G342" s="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8"/>
      <c r="S342" s="9"/>
      <c r="T342" s="8"/>
      <c r="U342" s="8"/>
      <c r="V342" s="8"/>
      <c r="W342" s="10"/>
    </row>
    <row r="343" spans="1:23" x14ac:dyDescent="0.3">
      <c r="A343" s="5"/>
      <c r="B343" s="5"/>
      <c r="C343" s="5"/>
      <c r="D343" s="5"/>
      <c r="E343" s="5"/>
      <c r="F343" s="5"/>
      <c r="G343" s="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8"/>
      <c r="S343" s="9"/>
      <c r="T343" s="8"/>
      <c r="U343" s="8"/>
      <c r="V343" s="8"/>
      <c r="W343" s="10"/>
    </row>
    <row r="344" spans="1:23" x14ac:dyDescent="0.3">
      <c r="A344" s="5"/>
      <c r="B344" s="5"/>
      <c r="C344" s="5"/>
      <c r="D344" s="5"/>
      <c r="E344" s="5"/>
      <c r="F344" s="5"/>
      <c r="G344" s="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8"/>
      <c r="S344" s="9"/>
      <c r="T344" s="8"/>
      <c r="U344" s="8"/>
      <c r="V344" s="8"/>
      <c r="W344" s="10"/>
    </row>
    <row r="345" spans="1:23" x14ac:dyDescent="0.3">
      <c r="A345" s="5"/>
      <c r="B345" s="5"/>
      <c r="C345" s="5"/>
      <c r="D345" s="5"/>
      <c r="E345" s="5"/>
      <c r="F345" s="5"/>
      <c r="G345" s="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8"/>
      <c r="S345" s="9"/>
      <c r="T345" s="8"/>
      <c r="U345" s="8"/>
      <c r="V345" s="8"/>
      <c r="W345" s="10"/>
    </row>
    <row r="346" spans="1:23" x14ac:dyDescent="0.3">
      <c r="A346" s="5"/>
      <c r="B346" s="5"/>
      <c r="C346" s="5"/>
      <c r="D346" s="5"/>
      <c r="E346" s="5"/>
      <c r="F346" s="5"/>
      <c r="G346" s="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8"/>
      <c r="S346" s="9"/>
      <c r="T346" s="8"/>
      <c r="U346" s="8"/>
      <c r="V346" s="8"/>
      <c r="W346" s="10"/>
    </row>
    <row r="347" spans="1:23" x14ac:dyDescent="0.3">
      <c r="A347" s="5"/>
      <c r="B347" s="5"/>
      <c r="C347" s="5"/>
      <c r="D347" s="5"/>
      <c r="E347" s="5"/>
      <c r="F347" s="5"/>
      <c r="G347" s="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8"/>
      <c r="S347" s="9"/>
      <c r="T347" s="8"/>
      <c r="U347" s="8"/>
      <c r="V347" s="8"/>
      <c r="W347" s="10"/>
    </row>
    <row r="348" spans="1:23" x14ac:dyDescent="0.3">
      <c r="A348" s="5"/>
      <c r="B348" s="5"/>
      <c r="C348" s="5"/>
      <c r="D348" s="5"/>
      <c r="E348" s="5"/>
      <c r="F348" s="5"/>
      <c r="G348" s="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8"/>
      <c r="S348" s="9"/>
      <c r="T348" s="8"/>
      <c r="U348" s="8"/>
      <c r="V348" s="8"/>
      <c r="W348" s="10"/>
    </row>
    <row r="349" spans="1:23" x14ac:dyDescent="0.3">
      <c r="A349" s="5"/>
      <c r="B349" s="5"/>
      <c r="C349" s="5"/>
      <c r="D349" s="5"/>
      <c r="E349" s="5"/>
      <c r="F349" s="5"/>
      <c r="G349" s="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8"/>
      <c r="S349" s="9"/>
      <c r="T349" s="8"/>
      <c r="U349" s="8"/>
      <c r="V349" s="8"/>
      <c r="W349" s="10"/>
    </row>
    <row r="350" spans="1:23" x14ac:dyDescent="0.3">
      <c r="A350" s="5"/>
      <c r="B350" s="5"/>
      <c r="C350" s="5"/>
      <c r="D350" s="5"/>
      <c r="E350" s="5"/>
      <c r="F350" s="5"/>
      <c r="G350" s="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8"/>
      <c r="S350" s="9"/>
      <c r="T350" s="8"/>
      <c r="U350" s="8"/>
      <c r="V350" s="8"/>
      <c r="W350" s="10"/>
    </row>
    <row r="351" spans="1:23" x14ac:dyDescent="0.3">
      <c r="A351" s="5"/>
      <c r="B351" s="5"/>
      <c r="C351" s="5"/>
      <c r="D351" s="5"/>
      <c r="E351" s="5"/>
      <c r="F351" s="5"/>
      <c r="G351" s="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8"/>
      <c r="S351" s="9"/>
      <c r="T351" s="8"/>
      <c r="U351" s="8"/>
      <c r="V351" s="8"/>
      <c r="W351" s="10"/>
    </row>
    <row r="352" spans="1:23" x14ac:dyDescent="0.3">
      <c r="A352" s="5"/>
      <c r="B352" s="5"/>
      <c r="C352" s="5"/>
      <c r="D352" s="5"/>
      <c r="E352" s="5"/>
      <c r="F352" s="5"/>
      <c r="G352" s="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8"/>
      <c r="S352" s="9"/>
      <c r="T352" s="8"/>
      <c r="U352" s="8"/>
      <c r="V352" s="8"/>
      <c r="W352" s="10"/>
    </row>
    <row r="353" spans="1:23" x14ac:dyDescent="0.3">
      <c r="A353" s="5"/>
      <c r="B353" s="5"/>
      <c r="C353" s="5"/>
      <c r="D353" s="5"/>
      <c r="E353" s="5"/>
      <c r="F353" s="5"/>
      <c r="G353" s="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8"/>
      <c r="S353" s="9"/>
      <c r="T353" s="8"/>
      <c r="U353" s="8"/>
      <c r="V353" s="8"/>
      <c r="W353" s="10"/>
    </row>
    <row r="354" spans="1:23" x14ac:dyDescent="0.3">
      <c r="A354" s="5"/>
      <c r="B354" s="5"/>
      <c r="C354" s="5"/>
      <c r="D354" s="5"/>
      <c r="E354" s="5"/>
      <c r="F354" s="5"/>
      <c r="G354" s="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8"/>
      <c r="S354" s="9"/>
      <c r="T354" s="8"/>
      <c r="U354" s="8"/>
      <c r="V354" s="8"/>
      <c r="W354" s="10"/>
    </row>
    <row r="355" spans="1:23" x14ac:dyDescent="0.3">
      <c r="A355" s="5"/>
      <c r="B355" s="5"/>
      <c r="C355" s="5"/>
      <c r="D355" s="5"/>
      <c r="E355" s="5"/>
      <c r="F355" s="5"/>
      <c r="G355" s="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8"/>
      <c r="S355" s="9"/>
      <c r="T355" s="8"/>
      <c r="U355" s="8"/>
      <c r="V355" s="8"/>
      <c r="W355" s="10"/>
    </row>
    <row r="356" spans="1:23" x14ac:dyDescent="0.3">
      <c r="A356" s="5"/>
      <c r="B356" s="5"/>
      <c r="C356" s="5"/>
      <c r="D356" s="5"/>
      <c r="E356" s="5"/>
      <c r="F356" s="5"/>
      <c r="G356" s="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8"/>
      <c r="S356" s="9"/>
      <c r="T356" s="8"/>
      <c r="U356" s="8"/>
      <c r="V356" s="8"/>
      <c r="W356" s="10"/>
    </row>
    <row r="357" spans="1:23" x14ac:dyDescent="0.3">
      <c r="A357" s="5"/>
      <c r="B357" s="5"/>
      <c r="C357" s="5"/>
      <c r="D357" s="5"/>
      <c r="E357" s="5"/>
      <c r="F357" s="5"/>
      <c r="G357" s="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8"/>
      <c r="S357" s="9"/>
      <c r="T357" s="8"/>
      <c r="U357" s="8"/>
      <c r="V357" s="8"/>
      <c r="W357" s="10"/>
    </row>
    <row r="358" spans="1:23" x14ac:dyDescent="0.3">
      <c r="A358" s="5"/>
      <c r="B358" s="5"/>
      <c r="C358" s="5"/>
      <c r="D358" s="5"/>
      <c r="E358" s="5"/>
      <c r="F358" s="5"/>
      <c r="G358" s="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8"/>
      <c r="S358" s="9"/>
      <c r="T358" s="8"/>
      <c r="U358" s="8"/>
      <c r="V358" s="8"/>
      <c r="W358" s="10"/>
    </row>
    <row r="359" spans="1:23" x14ac:dyDescent="0.3">
      <c r="A359" s="5"/>
      <c r="B359" s="5"/>
      <c r="C359" s="5"/>
      <c r="D359" s="5"/>
      <c r="E359" s="5"/>
      <c r="F359" s="5"/>
      <c r="G359" s="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8"/>
      <c r="S359" s="9"/>
      <c r="T359" s="8"/>
      <c r="U359" s="8"/>
      <c r="V359" s="8"/>
      <c r="W359" s="10"/>
    </row>
    <row r="360" spans="1:23" x14ac:dyDescent="0.3">
      <c r="A360" s="5"/>
      <c r="B360" s="5"/>
      <c r="C360" s="5"/>
      <c r="D360" s="5"/>
      <c r="E360" s="5"/>
      <c r="F360" s="5"/>
      <c r="G360" s="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8"/>
      <c r="S360" s="9"/>
      <c r="T360" s="8"/>
      <c r="U360" s="8"/>
      <c r="V360" s="8"/>
      <c r="W360" s="10"/>
    </row>
    <row r="361" spans="1:23" x14ac:dyDescent="0.3">
      <c r="A361" s="5"/>
      <c r="B361" s="5"/>
      <c r="C361" s="5"/>
      <c r="D361" s="5"/>
      <c r="E361" s="5"/>
      <c r="F361" s="5"/>
      <c r="G361" s="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8"/>
      <c r="S361" s="9"/>
      <c r="T361" s="8"/>
      <c r="U361" s="8"/>
      <c r="V361" s="8"/>
      <c r="W361" s="10"/>
    </row>
    <row r="362" spans="1:23" x14ac:dyDescent="0.3">
      <c r="A362" s="5"/>
      <c r="B362" s="5"/>
      <c r="C362" s="5"/>
      <c r="D362" s="5"/>
      <c r="E362" s="5"/>
      <c r="F362" s="5"/>
      <c r="G362" s="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8"/>
      <c r="S362" s="9"/>
      <c r="T362" s="8"/>
      <c r="U362" s="8"/>
      <c r="V362" s="8"/>
      <c r="W362" s="10"/>
    </row>
    <row r="363" spans="1:23" x14ac:dyDescent="0.3">
      <c r="A363" s="5"/>
      <c r="B363" s="5"/>
      <c r="C363" s="5"/>
      <c r="D363" s="5"/>
      <c r="E363" s="5"/>
      <c r="F363" s="5"/>
      <c r="G363" s="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8"/>
      <c r="S363" s="9"/>
      <c r="T363" s="8"/>
      <c r="U363" s="8"/>
      <c r="V363" s="8"/>
      <c r="W363" s="10"/>
    </row>
    <row r="364" spans="1:23" x14ac:dyDescent="0.3">
      <c r="A364" s="5"/>
      <c r="B364" s="5"/>
      <c r="C364" s="5"/>
      <c r="D364" s="5"/>
      <c r="E364" s="5"/>
      <c r="F364" s="5"/>
      <c r="G364" s="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8"/>
      <c r="S364" s="9"/>
      <c r="T364" s="8"/>
      <c r="U364" s="8"/>
      <c r="V364" s="8"/>
      <c r="W364" s="10"/>
    </row>
    <row r="365" spans="1:23" x14ac:dyDescent="0.3">
      <c r="A365" s="5"/>
      <c r="B365" s="5"/>
      <c r="C365" s="5"/>
      <c r="D365" s="5"/>
      <c r="E365" s="5"/>
      <c r="F365" s="5"/>
      <c r="G365" s="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8"/>
      <c r="S365" s="9"/>
      <c r="T365" s="8"/>
      <c r="U365" s="8"/>
      <c r="V365" s="8"/>
      <c r="W365" s="10"/>
    </row>
    <row r="366" spans="1:23" x14ac:dyDescent="0.3">
      <c r="A366" s="5"/>
      <c r="B366" s="5"/>
      <c r="C366" s="5"/>
      <c r="D366" s="5"/>
      <c r="E366" s="5"/>
      <c r="F366" s="5"/>
      <c r="G366" s="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8"/>
      <c r="S366" s="9"/>
      <c r="T366" s="8"/>
      <c r="U366" s="8"/>
      <c r="V366" s="8"/>
      <c r="W366" s="10"/>
    </row>
    <row r="367" spans="1:23" x14ac:dyDescent="0.3">
      <c r="A367" s="5"/>
      <c r="B367" s="5"/>
      <c r="C367" s="5"/>
      <c r="D367" s="5"/>
      <c r="E367" s="5"/>
      <c r="F367" s="5"/>
      <c r="G367" s="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8"/>
      <c r="S367" s="9"/>
      <c r="T367" s="8"/>
      <c r="U367" s="8"/>
      <c r="V367" s="8"/>
      <c r="W367" s="10"/>
    </row>
    <row r="368" spans="1:23" x14ac:dyDescent="0.3">
      <c r="A368" s="5"/>
      <c r="B368" s="5"/>
      <c r="C368" s="5"/>
      <c r="D368" s="5"/>
      <c r="E368" s="5"/>
      <c r="F368" s="5"/>
      <c r="G368" s="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8"/>
      <c r="S368" s="9"/>
      <c r="T368" s="8"/>
      <c r="U368" s="8"/>
      <c r="V368" s="8"/>
      <c r="W368" s="10"/>
    </row>
    <row r="369" spans="1:23" x14ac:dyDescent="0.3">
      <c r="A369" s="5"/>
      <c r="B369" s="5"/>
      <c r="C369" s="5"/>
      <c r="D369" s="5"/>
      <c r="E369" s="5"/>
      <c r="F369" s="5"/>
      <c r="G369" s="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8"/>
      <c r="S369" s="9"/>
      <c r="T369" s="8"/>
      <c r="U369" s="8"/>
      <c r="V369" s="8"/>
      <c r="W369" s="10"/>
    </row>
    <row r="370" spans="1:23" x14ac:dyDescent="0.3">
      <c r="A370" s="5"/>
      <c r="B370" s="5"/>
      <c r="C370" s="5"/>
      <c r="D370" s="5"/>
      <c r="E370" s="5"/>
      <c r="F370" s="5"/>
      <c r="G370" s="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8"/>
      <c r="S370" s="9"/>
      <c r="T370" s="8"/>
      <c r="U370" s="8"/>
      <c r="V370" s="8"/>
      <c r="W370" s="10"/>
    </row>
    <row r="371" spans="1:23" x14ac:dyDescent="0.3">
      <c r="A371" s="5"/>
      <c r="B371" s="5"/>
      <c r="C371" s="5"/>
      <c r="D371" s="5"/>
      <c r="E371" s="5"/>
      <c r="F371" s="5"/>
      <c r="G371" s="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8"/>
      <c r="S371" s="9"/>
      <c r="T371" s="8"/>
      <c r="U371" s="8"/>
      <c r="V371" s="8"/>
      <c r="W371" s="10"/>
    </row>
    <row r="372" spans="1:23" x14ac:dyDescent="0.3">
      <c r="A372" s="5"/>
      <c r="B372" s="5"/>
      <c r="C372" s="5"/>
      <c r="D372" s="5"/>
      <c r="E372" s="5"/>
      <c r="F372" s="5"/>
      <c r="G372" s="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8"/>
      <c r="S372" s="9"/>
      <c r="T372" s="8"/>
      <c r="U372" s="8"/>
      <c r="V372" s="8"/>
      <c r="W372" s="10"/>
    </row>
    <row r="373" spans="1:23" x14ac:dyDescent="0.3">
      <c r="A373" s="5"/>
      <c r="B373" s="5"/>
      <c r="C373" s="5"/>
      <c r="D373" s="5"/>
      <c r="E373" s="5"/>
      <c r="F373" s="5"/>
      <c r="G373" s="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8"/>
      <c r="S373" s="9"/>
      <c r="T373" s="8"/>
      <c r="U373" s="8"/>
      <c r="V373" s="8"/>
      <c r="W373" s="10"/>
    </row>
    <row r="374" spans="1:23" x14ac:dyDescent="0.3">
      <c r="A374" s="5"/>
      <c r="B374" s="5"/>
      <c r="C374" s="5"/>
      <c r="D374" s="5"/>
      <c r="E374" s="5"/>
      <c r="F374" s="5"/>
      <c r="G374" s="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8"/>
      <c r="S374" s="9"/>
      <c r="T374" s="8"/>
      <c r="U374" s="8"/>
      <c r="V374" s="8"/>
      <c r="W374" s="10"/>
    </row>
    <row r="375" spans="1:23" x14ac:dyDescent="0.3">
      <c r="A375" s="5"/>
      <c r="B375" s="5"/>
      <c r="C375" s="5"/>
      <c r="D375" s="5"/>
      <c r="E375" s="5"/>
      <c r="F375" s="5"/>
      <c r="G375" s="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8"/>
      <c r="S375" s="9"/>
      <c r="T375" s="8"/>
      <c r="U375" s="8"/>
      <c r="V375" s="8"/>
      <c r="W375" s="10"/>
    </row>
    <row r="376" spans="1:23" x14ac:dyDescent="0.3">
      <c r="A376" s="5"/>
      <c r="B376" s="5"/>
      <c r="C376" s="5"/>
      <c r="D376" s="5"/>
      <c r="E376" s="5"/>
      <c r="F376" s="5"/>
      <c r="G376" s="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8"/>
      <c r="S376" s="9"/>
      <c r="T376" s="8"/>
      <c r="U376" s="8"/>
      <c r="V376" s="8"/>
      <c r="W376" s="10"/>
    </row>
    <row r="377" spans="1:23" x14ac:dyDescent="0.3">
      <c r="A377" s="5"/>
      <c r="B377" s="5"/>
      <c r="C377" s="5"/>
      <c r="D377" s="5"/>
      <c r="E377" s="5"/>
      <c r="F377" s="5"/>
      <c r="G377" s="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8"/>
      <c r="S377" s="9"/>
      <c r="T377" s="8"/>
      <c r="U377" s="8"/>
      <c r="V377" s="8"/>
      <c r="W377" s="10"/>
    </row>
    <row r="378" spans="1:23" x14ac:dyDescent="0.3">
      <c r="A378" s="5"/>
      <c r="B378" s="5"/>
      <c r="C378" s="5"/>
      <c r="D378" s="5"/>
      <c r="E378" s="5"/>
      <c r="F378" s="5"/>
      <c r="G378" s="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8"/>
      <c r="S378" s="9"/>
      <c r="T378" s="8"/>
      <c r="U378" s="8"/>
      <c r="V378" s="8"/>
      <c r="W378" s="10"/>
    </row>
    <row r="379" spans="1:23" x14ac:dyDescent="0.3">
      <c r="A379" s="5"/>
      <c r="B379" s="5"/>
      <c r="C379" s="5"/>
      <c r="D379" s="5"/>
      <c r="E379" s="5"/>
      <c r="F379" s="5"/>
      <c r="G379" s="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8"/>
      <c r="S379" s="9"/>
      <c r="T379" s="8"/>
      <c r="U379" s="8"/>
      <c r="V379" s="8"/>
      <c r="W379" s="10"/>
    </row>
    <row r="380" spans="1:23" x14ac:dyDescent="0.3">
      <c r="A380" s="5"/>
      <c r="B380" s="5"/>
      <c r="C380" s="5"/>
      <c r="D380" s="5"/>
      <c r="E380" s="5"/>
      <c r="F380" s="5"/>
      <c r="G380" s="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8"/>
      <c r="S380" s="9"/>
      <c r="T380" s="8"/>
      <c r="U380" s="8"/>
      <c r="V380" s="8"/>
      <c r="W380" s="10"/>
    </row>
    <row r="381" spans="1:23" x14ac:dyDescent="0.3">
      <c r="A381" s="5"/>
      <c r="B381" s="5"/>
      <c r="C381" s="5"/>
      <c r="D381" s="5"/>
      <c r="E381" s="5"/>
      <c r="F381" s="5"/>
      <c r="G381" s="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8"/>
      <c r="S381" s="9"/>
      <c r="T381" s="8"/>
      <c r="U381" s="8"/>
      <c r="V381" s="8"/>
      <c r="W381" s="10"/>
    </row>
    <row r="382" spans="1:23" x14ac:dyDescent="0.3">
      <c r="A382" s="5"/>
      <c r="B382" s="5"/>
      <c r="C382" s="5"/>
      <c r="D382" s="5"/>
      <c r="E382" s="5"/>
      <c r="F382" s="5"/>
      <c r="G382" s="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8"/>
      <c r="S382" s="9"/>
      <c r="T382" s="8"/>
      <c r="U382" s="8"/>
      <c r="V382" s="8"/>
      <c r="W382" s="10"/>
    </row>
    <row r="383" spans="1:23" x14ac:dyDescent="0.3">
      <c r="A383" s="5"/>
      <c r="B383" s="5"/>
      <c r="C383" s="5"/>
      <c r="D383" s="5"/>
      <c r="E383" s="5"/>
      <c r="F383" s="5"/>
      <c r="G383" s="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8"/>
      <c r="S383" s="9"/>
      <c r="T383" s="8"/>
      <c r="U383" s="8"/>
      <c r="V383" s="8"/>
      <c r="W383" s="10"/>
    </row>
    <row r="384" spans="1:23" x14ac:dyDescent="0.3">
      <c r="A384" s="5"/>
      <c r="B384" s="5"/>
      <c r="C384" s="5"/>
      <c r="D384" s="5"/>
      <c r="E384" s="5"/>
      <c r="F384" s="5"/>
      <c r="G384" s="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8"/>
      <c r="S384" s="9"/>
      <c r="T384" s="8"/>
      <c r="U384" s="8"/>
      <c r="V384" s="8"/>
      <c r="W384" s="10"/>
    </row>
    <row r="385" spans="1:23" x14ac:dyDescent="0.3">
      <c r="A385" s="5"/>
      <c r="B385" s="5"/>
      <c r="C385" s="5"/>
      <c r="D385" s="5"/>
      <c r="E385" s="5"/>
      <c r="F385" s="5"/>
      <c r="G385" s="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8"/>
      <c r="S385" s="9"/>
      <c r="T385" s="8"/>
      <c r="U385" s="8"/>
      <c r="V385" s="8"/>
      <c r="W385" s="10"/>
    </row>
    <row r="386" spans="1:23" x14ac:dyDescent="0.3">
      <c r="A386" s="5"/>
      <c r="B386" s="5"/>
      <c r="C386" s="5"/>
      <c r="D386" s="5"/>
      <c r="E386" s="5"/>
      <c r="F386" s="5"/>
      <c r="G386" s="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8"/>
      <c r="S386" s="9"/>
      <c r="T386" s="8"/>
      <c r="U386" s="8"/>
      <c r="V386" s="8"/>
      <c r="W386" s="10"/>
    </row>
    <row r="387" spans="1:23" x14ac:dyDescent="0.3">
      <c r="A387" s="5"/>
      <c r="B387" s="5"/>
      <c r="C387" s="5"/>
      <c r="D387" s="5"/>
      <c r="E387" s="5"/>
      <c r="F387" s="5"/>
      <c r="G387" s="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8"/>
      <c r="S387" s="9"/>
      <c r="T387" s="8"/>
      <c r="U387" s="8"/>
      <c r="V387" s="8"/>
      <c r="W387" s="10"/>
    </row>
    <row r="388" spans="1:23" x14ac:dyDescent="0.3">
      <c r="A388" s="5"/>
      <c r="B388" s="5"/>
      <c r="C388" s="5"/>
      <c r="D388" s="5"/>
      <c r="E388" s="5"/>
      <c r="F388" s="5"/>
      <c r="G388" s="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8"/>
      <c r="S388" s="9"/>
      <c r="T388" s="8"/>
      <c r="U388" s="8"/>
      <c r="V388" s="8"/>
      <c r="W388" s="10"/>
    </row>
    <row r="389" spans="1:23" x14ac:dyDescent="0.3">
      <c r="A389" s="5"/>
      <c r="B389" s="5"/>
      <c r="C389" s="5"/>
      <c r="D389" s="5"/>
      <c r="E389" s="5"/>
      <c r="F389" s="5"/>
      <c r="G389" s="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8"/>
      <c r="S389" s="9"/>
      <c r="T389" s="8"/>
      <c r="U389" s="8"/>
      <c r="V389" s="8"/>
      <c r="W389" s="10"/>
    </row>
    <row r="390" spans="1:23" x14ac:dyDescent="0.3">
      <c r="A390" s="5"/>
      <c r="B390" s="5"/>
      <c r="C390" s="5"/>
      <c r="D390" s="5"/>
      <c r="E390" s="5"/>
      <c r="F390" s="5"/>
      <c r="G390" s="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8"/>
      <c r="S390" s="9"/>
      <c r="T390" s="8"/>
      <c r="U390" s="8"/>
      <c r="V390" s="8"/>
      <c r="W390" s="10"/>
    </row>
    <row r="391" spans="1:23" x14ac:dyDescent="0.3">
      <c r="A391" s="5"/>
      <c r="B391" s="5"/>
      <c r="C391" s="5"/>
      <c r="D391" s="5"/>
      <c r="E391" s="5"/>
      <c r="F391" s="5"/>
      <c r="G391" s="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8"/>
      <c r="S391" s="9"/>
      <c r="T391" s="8"/>
      <c r="U391" s="8"/>
      <c r="V391" s="8"/>
      <c r="W391" s="10"/>
    </row>
    <row r="392" spans="1:23" x14ac:dyDescent="0.3">
      <c r="A392" s="5"/>
      <c r="B392" s="5"/>
      <c r="C392" s="5"/>
      <c r="D392" s="5"/>
      <c r="E392" s="5"/>
      <c r="F392" s="5"/>
      <c r="G392" s="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8"/>
      <c r="S392" s="9"/>
      <c r="T392" s="8"/>
      <c r="U392" s="8"/>
      <c r="V392" s="8"/>
      <c r="W392" s="10"/>
    </row>
    <row r="393" spans="1:23" x14ac:dyDescent="0.3">
      <c r="A393" s="5"/>
      <c r="B393" s="5"/>
      <c r="C393" s="5"/>
      <c r="D393" s="5"/>
      <c r="E393" s="5"/>
      <c r="F393" s="5"/>
      <c r="G393" s="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8"/>
      <c r="S393" s="9"/>
      <c r="T393" s="8"/>
      <c r="U393" s="8"/>
      <c r="V393" s="8"/>
      <c r="W393" s="10"/>
    </row>
    <row r="394" spans="1:23" x14ac:dyDescent="0.3">
      <c r="A394" s="5"/>
      <c r="B394" s="5"/>
      <c r="C394" s="5"/>
      <c r="D394" s="5"/>
      <c r="E394" s="5"/>
      <c r="F394" s="5"/>
      <c r="G394" s="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8"/>
      <c r="S394" s="9"/>
      <c r="T394" s="8"/>
      <c r="U394" s="8"/>
      <c r="V394" s="8"/>
      <c r="W394" s="10"/>
    </row>
    <row r="395" spans="1:23" x14ac:dyDescent="0.3">
      <c r="A395" s="5"/>
      <c r="B395" s="5"/>
      <c r="C395" s="5"/>
      <c r="D395" s="5"/>
      <c r="E395" s="5"/>
      <c r="F395" s="5"/>
      <c r="G395" s="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8"/>
      <c r="S395" s="9"/>
      <c r="T395" s="8"/>
      <c r="U395" s="8"/>
      <c r="V395" s="8"/>
      <c r="W395" s="10"/>
    </row>
    <row r="396" spans="1:23" x14ac:dyDescent="0.3">
      <c r="A396" s="5"/>
      <c r="B396" s="5"/>
      <c r="C396" s="5"/>
      <c r="D396" s="5"/>
      <c r="E396" s="5"/>
      <c r="F396" s="5"/>
      <c r="G396" s="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8"/>
      <c r="S396" s="9"/>
      <c r="T396" s="8"/>
      <c r="U396" s="8"/>
      <c r="V396" s="8"/>
      <c r="W396" s="10"/>
    </row>
    <row r="397" spans="1:23" x14ac:dyDescent="0.3">
      <c r="A397" s="5"/>
      <c r="B397" s="5"/>
      <c r="C397" s="5"/>
      <c r="D397" s="5"/>
      <c r="E397" s="5"/>
      <c r="F397" s="5"/>
      <c r="G397" s="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8"/>
      <c r="S397" s="9"/>
      <c r="T397" s="8"/>
      <c r="U397" s="8"/>
      <c r="V397" s="8"/>
      <c r="W397" s="10"/>
    </row>
    <row r="398" spans="1:23" x14ac:dyDescent="0.3">
      <c r="A398" s="5"/>
      <c r="B398" s="5"/>
      <c r="C398" s="5"/>
      <c r="D398" s="5"/>
      <c r="E398" s="5"/>
      <c r="F398" s="5"/>
      <c r="G398" s="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8"/>
      <c r="S398" s="9"/>
      <c r="T398" s="8"/>
      <c r="U398" s="8"/>
      <c r="V398" s="8"/>
      <c r="W398" s="10"/>
    </row>
    <row r="399" spans="1:23" x14ac:dyDescent="0.3">
      <c r="A399" s="5"/>
      <c r="B399" s="5"/>
      <c r="C399" s="5"/>
      <c r="D399" s="5"/>
      <c r="E399" s="5"/>
      <c r="F399" s="5"/>
      <c r="G399" s="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8"/>
      <c r="S399" s="9"/>
      <c r="T399" s="8"/>
      <c r="U399" s="8"/>
      <c r="V399" s="8"/>
      <c r="W399" s="10"/>
    </row>
    <row r="400" spans="1:23" x14ac:dyDescent="0.3">
      <c r="A400" s="5"/>
      <c r="B400" s="5"/>
      <c r="C400" s="5"/>
      <c r="D400" s="5"/>
      <c r="E400" s="5"/>
      <c r="F400" s="5"/>
      <c r="G400" s="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8"/>
      <c r="S400" s="9"/>
      <c r="T400" s="8"/>
      <c r="U400" s="8"/>
      <c r="V400" s="8"/>
      <c r="W400" s="10"/>
    </row>
    <row r="401" spans="1:23" x14ac:dyDescent="0.3">
      <c r="A401" s="5"/>
      <c r="B401" s="5"/>
      <c r="C401" s="5"/>
      <c r="D401" s="5"/>
      <c r="E401" s="5"/>
      <c r="F401" s="5"/>
      <c r="G401" s="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8"/>
      <c r="S401" s="9"/>
      <c r="T401" s="8"/>
      <c r="U401" s="8"/>
      <c r="V401" s="8"/>
      <c r="W401" s="10"/>
    </row>
    <row r="402" spans="1:23" x14ac:dyDescent="0.3">
      <c r="A402" s="5"/>
      <c r="B402" s="5"/>
      <c r="C402" s="5"/>
      <c r="D402" s="5"/>
      <c r="E402" s="5"/>
      <c r="F402" s="5"/>
      <c r="G402" s="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8"/>
      <c r="S402" s="9"/>
      <c r="T402" s="8"/>
      <c r="U402" s="8"/>
      <c r="V402" s="8"/>
      <c r="W402" s="10"/>
    </row>
    <row r="403" spans="1:23" x14ac:dyDescent="0.3">
      <c r="A403" s="5"/>
      <c r="B403" s="5"/>
      <c r="C403" s="5"/>
      <c r="D403" s="5"/>
      <c r="E403" s="5"/>
      <c r="F403" s="5"/>
      <c r="G403" s="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8"/>
      <c r="S403" s="9"/>
      <c r="T403" s="8"/>
      <c r="U403" s="8"/>
      <c r="V403" s="8"/>
      <c r="W403" s="10"/>
    </row>
    <row r="404" spans="1:23" x14ac:dyDescent="0.3">
      <c r="A404" s="5"/>
      <c r="B404" s="5"/>
      <c r="C404" s="5"/>
      <c r="D404" s="5"/>
      <c r="E404" s="5"/>
      <c r="F404" s="5"/>
      <c r="G404" s="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8"/>
      <c r="S404" s="9"/>
      <c r="T404" s="8"/>
      <c r="U404" s="8"/>
      <c r="V404" s="8"/>
      <c r="W404" s="10"/>
    </row>
    <row r="405" spans="1:23" x14ac:dyDescent="0.3">
      <c r="A405" s="5"/>
      <c r="B405" s="5"/>
      <c r="C405" s="5"/>
      <c r="D405" s="5"/>
      <c r="E405" s="5"/>
      <c r="F405" s="5"/>
      <c r="G405" s="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8"/>
      <c r="S405" s="9"/>
      <c r="T405" s="8"/>
      <c r="U405" s="8"/>
      <c r="V405" s="8"/>
      <c r="W405" s="10"/>
    </row>
    <row r="406" spans="1:23" x14ac:dyDescent="0.3">
      <c r="A406" s="5"/>
      <c r="B406" s="5"/>
      <c r="C406" s="5"/>
      <c r="D406" s="5"/>
      <c r="E406" s="5"/>
      <c r="F406" s="5"/>
      <c r="G406" s="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8"/>
      <c r="S406" s="9"/>
      <c r="T406" s="8"/>
      <c r="U406" s="8"/>
      <c r="V406" s="8"/>
      <c r="W406" s="10"/>
    </row>
    <row r="407" spans="1:23" x14ac:dyDescent="0.3">
      <c r="A407" s="5"/>
      <c r="B407" s="5"/>
      <c r="C407" s="5"/>
      <c r="D407" s="5"/>
      <c r="E407" s="5"/>
      <c r="F407" s="5"/>
      <c r="G407" s="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8"/>
      <c r="S407" s="9"/>
      <c r="T407" s="8"/>
      <c r="U407" s="8"/>
      <c r="V407" s="8"/>
      <c r="W407" s="10"/>
    </row>
    <row r="408" spans="1:23" x14ac:dyDescent="0.3">
      <c r="A408" s="5"/>
      <c r="B408" s="5"/>
      <c r="C408" s="5"/>
      <c r="D408" s="5"/>
      <c r="E408" s="5"/>
      <c r="F408" s="5"/>
      <c r="G408" s="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8"/>
      <c r="S408" s="9"/>
      <c r="T408" s="8"/>
      <c r="U408" s="8"/>
      <c r="V408" s="8"/>
      <c r="W408" s="10"/>
    </row>
    <row r="409" spans="1:23" x14ac:dyDescent="0.3">
      <c r="A409" s="5"/>
      <c r="B409" s="5"/>
      <c r="C409" s="5"/>
      <c r="D409" s="5"/>
      <c r="E409" s="5"/>
      <c r="F409" s="5"/>
      <c r="G409" s="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8"/>
      <c r="S409" s="9"/>
      <c r="T409" s="8"/>
      <c r="U409" s="8"/>
      <c r="V409" s="8"/>
      <c r="W409" s="10"/>
    </row>
    <row r="410" spans="1:23" x14ac:dyDescent="0.3">
      <c r="A410" s="5"/>
      <c r="B410" s="5"/>
      <c r="C410" s="5"/>
      <c r="D410" s="5"/>
      <c r="E410" s="5"/>
      <c r="F410" s="5"/>
      <c r="G410" s="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8"/>
      <c r="S410" s="9"/>
      <c r="T410" s="8"/>
      <c r="U410" s="8"/>
      <c r="V410" s="8"/>
      <c r="W410" s="10"/>
    </row>
    <row r="411" spans="1:23" x14ac:dyDescent="0.3">
      <c r="A411" s="5"/>
      <c r="B411" s="5"/>
      <c r="C411" s="5"/>
      <c r="D411" s="5"/>
      <c r="E411" s="5"/>
      <c r="F411" s="5"/>
      <c r="G411" s="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8"/>
      <c r="S411" s="9"/>
      <c r="T411" s="8"/>
      <c r="U411" s="8"/>
      <c r="V411" s="8"/>
      <c r="W411" s="10"/>
    </row>
    <row r="412" spans="1:23" x14ac:dyDescent="0.3">
      <c r="A412" s="5"/>
      <c r="B412" s="5"/>
      <c r="C412" s="5"/>
      <c r="D412" s="5"/>
      <c r="E412" s="5"/>
      <c r="F412" s="5"/>
      <c r="G412" s="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8"/>
      <c r="S412" s="9"/>
      <c r="T412" s="8"/>
      <c r="U412" s="8"/>
      <c r="V412" s="8"/>
      <c r="W412" s="10"/>
    </row>
    <row r="413" spans="1:23" x14ac:dyDescent="0.3">
      <c r="A413" s="5"/>
      <c r="B413" s="5"/>
      <c r="C413" s="5"/>
      <c r="D413" s="5"/>
      <c r="E413" s="5"/>
      <c r="F413" s="5"/>
      <c r="G413" s="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8"/>
      <c r="S413" s="9"/>
      <c r="T413" s="8"/>
      <c r="U413" s="8"/>
      <c r="V413" s="8"/>
      <c r="W413" s="10"/>
    </row>
    <row r="414" spans="1:23" x14ac:dyDescent="0.3">
      <c r="A414" s="5"/>
      <c r="B414" s="5"/>
      <c r="C414" s="5"/>
      <c r="D414" s="5"/>
      <c r="E414" s="5"/>
      <c r="F414" s="5"/>
      <c r="G414" s="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8"/>
      <c r="S414" s="9"/>
      <c r="T414" s="8"/>
      <c r="U414" s="8"/>
      <c r="V414" s="8"/>
      <c r="W414" s="10"/>
    </row>
    <row r="415" spans="1:23" x14ac:dyDescent="0.3">
      <c r="A415" s="5"/>
      <c r="B415" s="5"/>
      <c r="C415" s="5"/>
      <c r="D415" s="5"/>
      <c r="E415" s="5"/>
      <c r="F415" s="5"/>
      <c r="G415" s="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8"/>
      <c r="S415" s="9"/>
      <c r="T415" s="8"/>
      <c r="U415" s="8"/>
      <c r="V415" s="8"/>
      <c r="W415" s="10"/>
    </row>
    <row r="416" spans="1:23" x14ac:dyDescent="0.3">
      <c r="A416" s="5"/>
      <c r="B416" s="5"/>
      <c r="C416" s="5"/>
      <c r="D416" s="5"/>
      <c r="E416" s="5"/>
      <c r="F416" s="5"/>
      <c r="G416" s="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8"/>
      <c r="S416" s="9"/>
      <c r="T416" s="8"/>
      <c r="U416" s="8"/>
      <c r="V416" s="8"/>
      <c r="W416" s="10"/>
    </row>
    <row r="417" spans="1:23" x14ac:dyDescent="0.3">
      <c r="A417" s="5"/>
      <c r="B417" s="5"/>
      <c r="C417" s="5"/>
      <c r="D417" s="5"/>
      <c r="E417" s="5"/>
      <c r="F417" s="5"/>
      <c r="G417" s="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8"/>
      <c r="S417" s="9"/>
      <c r="T417" s="8"/>
      <c r="U417" s="8"/>
      <c r="V417" s="8"/>
      <c r="W417" s="10"/>
    </row>
    <row r="418" spans="1:23" x14ac:dyDescent="0.3">
      <c r="A418" s="5"/>
      <c r="B418" s="5"/>
      <c r="C418" s="5"/>
      <c r="D418" s="5"/>
      <c r="E418" s="5"/>
      <c r="F418" s="5"/>
      <c r="G418" s="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8"/>
      <c r="S418" s="9"/>
      <c r="T418" s="8"/>
      <c r="U418" s="8"/>
      <c r="V418" s="8"/>
      <c r="W418" s="10"/>
    </row>
    <row r="419" spans="1:23" x14ac:dyDescent="0.3">
      <c r="A419" s="5"/>
      <c r="B419" s="5"/>
      <c r="C419" s="5"/>
      <c r="D419" s="5"/>
      <c r="E419" s="5"/>
      <c r="F419" s="5"/>
      <c r="G419" s="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8"/>
      <c r="S419" s="9"/>
      <c r="T419" s="8"/>
      <c r="U419" s="8"/>
      <c r="V419" s="8"/>
      <c r="W419" s="10"/>
    </row>
    <row r="420" spans="1:23" x14ac:dyDescent="0.3">
      <c r="A420" s="5"/>
      <c r="B420" s="5"/>
      <c r="C420" s="5"/>
      <c r="D420" s="5"/>
      <c r="E420" s="5"/>
      <c r="F420" s="5"/>
      <c r="G420" s="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8"/>
      <c r="S420" s="9"/>
      <c r="T420" s="8"/>
      <c r="U420" s="8"/>
      <c r="V420" s="8"/>
      <c r="W420" s="10"/>
    </row>
    <row r="421" spans="1:23" x14ac:dyDescent="0.3">
      <c r="A421" s="5"/>
      <c r="B421" s="5"/>
      <c r="C421" s="5"/>
      <c r="D421" s="5"/>
      <c r="E421" s="5"/>
      <c r="F421" s="5"/>
      <c r="G421" s="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8"/>
      <c r="S421" s="9"/>
      <c r="T421" s="8"/>
      <c r="U421" s="8"/>
      <c r="V421" s="8"/>
      <c r="W421" s="10"/>
    </row>
    <row r="422" spans="1:23" x14ac:dyDescent="0.3">
      <c r="A422" s="5"/>
      <c r="B422" s="5"/>
      <c r="C422" s="5"/>
      <c r="D422" s="5"/>
      <c r="E422" s="5"/>
      <c r="F422" s="5"/>
      <c r="G422" s="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8"/>
      <c r="S422" s="9"/>
      <c r="T422" s="8"/>
      <c r="U422" s="8"/>
      <c r="V422" s="8"/>
      <c r="W422" s="10"/>
    </row>
    <row r="423" spans="1:23" x14ac:dyDescent="0.3">
      <c r="A423" s="5"/>
      <c r="B423" s="5"/>
      <c r="C423" s="5"/>
      <c r="D423" s="5"/>
      <c r="E423" s="5"/>
      <c r="F423" s="5"/>
      <c r="G423" s="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8"/>
      <c r="S423" s="9"/>
      <c r="T423" s="8"/>
      <c r="U423" s="8"/>
      <c r="V423" s="8"/>
      <c r="W423" s="10"/>
    </row>
    <row r="424" spans="1:23" x14ac:dyDescent="0.3">
      <c r="A424" s="5"/>
      <c r="B424" s="5"/>
      <c r="C424" s="5"/>
      <c r="D424" s="5"/>
      <c r="E424" s="5"/>
      <c r="F424" s="5"/>
      <c r="G424" s="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8"/>
      <c r="S424" s="9"/>
      <c r="T424" s="8"/>
      <c r="U424" s="8"/>
      <c r="V424" s="8"/>
      <c r="W424" s="10"/>
    </row>
    <row r="425" spans="1:23" x14ac:dyDescent="0.3">
      <c r="A425" s="5"/>
      <c r="B425" s="5"/>
      <c r="C425" s="5"/>
      <c r="D425" s="5"/>
      <c r="E425" s="5"/>
      <c r="F425" s="5"/>
      <c r="G425" s="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8"/>
      <c r="S425" s="9"/>
      <c r="T425" s="8"/>
      <c r="U425" s="8"/>
      <c r="V425" s="8"/>
      <c r="W425" s="10"/>
    </row>
    <row r="426" spans="1:23" x14ac:dyDescent="0.3">
      <c r="A426" s="5"/>
      <c r="B426" s="5"/>
      <c r="C426" s="5"/>
      <c r="D426" s="5"/>
      <c r="E426" s="5"/>
      <c r="F426" s="5"/>
      <c r="G426" s="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8"/>
      <c r="S426" s="9"/>
      <c r="T426" s="8"/>
      <c r="U426" s="8"/>
      <c r="V426" s="8"/>
      <c r="W426" s="10"/>
    </row>
    <row r="427" spans="1:23" x14ac:dyDescent="0.3">
      <c r="A427" s="5"/>
      <c r="B427" s="5"/>
      <c r="C427" s="5"/>
      <c r="D427" s="5"/>
      <c r="E427" s="5"/>
      <c r="F427" s="5"/>
      <c r="G427" s="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8"/>
      <c r="S427" s="9"/>
      <c r="T427" s="8"/>
      <c r="U427" s="8"/>
      <c r="V427" s="8"/>
      <c r="W427" s="10"/>
    </row>
    <row r="428" spans="1:23" x14ac:dyDescent="0.3">
      <c r="A428" s="5"/>
      <c r="B428" s="5"/>
      <c r="C428" s="5"/>
      <c r="D428" s="5"/>
      <c r="E428" s="5"/>
      <c r="F428" s="5"/>
      <c r="G428" s="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8"/>
      <c r="S428" s="9"/>
      <c r="T428" s="8"/>
      <c r="U428" s="8"/>
      <c r="V428" s="8"/>
      <c r="W428" s="10"/>
    </row>
    <row r="429" spans="1:23" x14ac:dyDescent="0.3">
      <c r="A429" s="5"/>
      <c r="B429" s="5"/>
      <c r="C429" s="5"/>
      <c r="D429" s="5"/>
      <c r="E429" s="5"/>
      <c r="F429" s="5"/>
      <c r="G429" s="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8"/>
      <c r="S429" s="9"/>
      <c r="T429" s="8"/>
      <c r="U429" s="8"/>
      <c r="V429" s="8"/>
      <c r="W429" s="10"/>
    </row>
    <row r="430" spans="1:23" x14ac:dyDescent="0.3">
      <c r="A430" s="5"/>
      <c r="B430" s="5"/>
      <c r="C430" s="5"/>
      <c r="D430" s="5"/>
      <c r="E430" s="5"/>
      <c r="F430" s="5"/>
      <c r="G430" s="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8"/>
      <c r="S430" s="9"/>
      <c r="T430" s="8"/>
      <c r="U430" s="8"/>
      <c r="V430" s="8"/>
      <c r="W430" s="10"/>
    </row>
    <row r="431" spans="1:23" x14ac:dyDescent="0.3">
      <c r="A431" s="5"/>
      <c r="B431" s="5"/>
      <c r="C431" s="5"/>
      <c r="D431" s="5"/>
      <c r="E431" s="5"/>
      <c r="F431" s="5"/>
      <c r="G431" s="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8"/>
      <c r="S431" s="9"/>
      <c r="T431" s="8"/>
      <c r="U431" s="8"/>
      <c r="V431" s="8"/>
      <c r="W431" s="10"/>
    </row>
    <row r="432" spans="1:23" x14ac:dyDescent="0.3">
      <c r="A432" s="5"/>
      <c r="B432" s="5"/>
      <c r="C432" s="5"/>
      <c r="D432" s="5"/>
      <c r="E432" s="5"/>
      <c r="F432" s="5"/>
      <c r="G432" s="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8"/>
      <c r="S432" s="9"/>
      <c r="T432" s="8"/>
      <c r="U432" s="8"/>
      <c r="V432" s="8"/>
      <c r="W432" s="10"/>
    </row>
    <row r="433" spans="1:23" x14ac:dyDescent="0.3">
      <c r="A433" s="5"/>
      <c r="B433" s="5"/>
      <c r="C433" s="5"/>
      <c r="D433" s="5"/>
      <c r="E433" s="5"/>
      <c r="F433" s="5"/>
      <c r="G433" s="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8"/>
      <c r="S433" s="9"/>
      <c r="T433" s="8"/>
      <c r="U433" s="8"/>
      <c r="V433" s="8"/>
      <c r="W433" s="10"/>
    </row>
    <row r="434" spans="1:23" x14ac:dyDescent="0.3">
      <c r="A434" s="5"/>
      <c r="B434" s="5"/>
      <c r="C434" s="5"/>
      <c r="D434" s="5"/>
      <c r="E434" s="5"/>
      <c r="F434" s="5"/>
      <c r="G434" s="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8"/>
      <c r="S434" s="9"/>
      <c r="T434" s="8"/>
      <c r="U434" s="8"/>
      <c r="V434" s="8"/>
      <c r="W434" s="10"/>
    </row>
    <row r="435" spans="1:23" x14ac:dyDescent="0.3">
      <c r="A435" s="5"/>
      <c r="B435" s="5"/>
      <c r="C435" s="5"/>
      <c r="D435" s="5"/>
      <c r="E435" s="5"/>
      <c r="F435" s="5"/>
      <c r="G435" s="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8"/>
      <c r="S435" s="9"/>
      <c r="T435" s="8"/>
      <c r="U435" s="8"/>
      <c r="V435" s="8"/>
      <c r="W435" s="10"/>
    </row>
    <row r="436" spans="1:23" x14ac:dyDescent="0.3">
      <c r="A436" s="5"/>
      <c r="B436" s="5"/>
      <c r="C436" s="5"/>
      <c r="D436" s="5"/>
      <c r="E436" s="5"/>
      <c r="F436" s="5"/>
      <c r="G436" s="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8"/>
      <c r="S436" s="9"/>
      <c r="T436" s="8"/>
      <c r="U436" s="8"/>
      <c r="V436" s="8"/>
      <c r="W436" s="10"/>
    </row>
    <row r="437" spans="1:23" x14ac:dyDescent="0.3">
      <c r="A437" s="5"/>
      <c r="B437" s="5"/>
      <c r="C437" s="5"/>
      <c r="D437" s="5"/>
      <c r="E437" s="5"/>
      <c r="F437" s="5"/>
      <c r="G437" s="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8"/>
      <c r="S437" s="9"/>
      <c r="T437" s="8"/>
      <c r="U437" s="8"/>
      <c r="V437" s="8"/>
      <c r="W437" s="10"/>
    </row>
    <row r="438" spans="1:23" x14ac:dyDescent="0.3">
      <c r="A438" s="5"/>
      <c r="B438" s="5"/>
      <c r="C438" s="5"/>
      <c r="D438" s="5"/>
      <c r="E438" s="5"/>
      <c r="F438" s="5"/>
      <c r="G438" s="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8"/>
      <c r="S438" s="9"/>
      <c r="T438" s="8"/>
      <c r="U438" s="8"/>
      <c r="V438" s="8"/>
      <c r="W438" s="10"/>
    </row>
    <row r="439" spans="1:23" x14ac:dyDescent="0.3">
      <c r="A439" s="5"/>
      <c r="B439" s="5"/>
      <c r="C439" s="5"/>
      <c r="D439" s="5"/>
      <c r="E439" s="5"/>
      <c r="F439" s="5"/>
      <c r="G439" s="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8"/>
      <c r="S439" s="9"/>
      <c r="T439" s="8"/>
      <c r="U439" s="8"/>
      <c r="V439" s="8"/>
      <c r="W439" s="10"/>
    </row>
    <row r="440" spans="1:23" x14ac:dyDescent="0.3">
      <c r="A440" s="5"/>
      <c r="B440" s="5"/>
      <c r="C440" s="5"/>
      <c r="D440" s="5"/>
      <c r="E440" s="5"/>
      <c r="F440" s="5"/>
      <c r="G440" s="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8"/>
      <c r="S440" s="9"/>
      <c r="T440" s="8"/>
      <c r="U440" s="8"/>
      <c r="V440" s="8"/>
      <c r="W440" s="10"/>
    </row>
    <row r="441" spans="1:23" x14ac:dyDescent="0.3">
      <c r="A441" s="5"/>
      <c r="B441" s="5"/>
      <c r="C441" s="5"/>
      <c r="D441" s="5"/>
      <c r="E441" s="5"/>
      <c r="F441" s="5"/>
      <c r="G441" s="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8"/>
      <c r="S441" s="9"/>
      <c r="T441" s="8"/>
      <c r="U441" s="8"/>
      <c r="V441" s="8"/>
      <c r="W441" s="10"/>
    </row>
    <row r="442" spans="1:23" x14ac:dyDescent="0.3">
      <c r="A442" s="5"/>
      <c r="B442" s="5"/>
      <c r="C442" s="5"/>
      <c r="D442" s="5"/>
      <c r="E442" s="5"/>
      <c r="F442" s="5"/>
      <c r="G442" s="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8"/>
      <c r="S442" s="9"/>
      <c r="T442" s="8"/>
      <c r="U442" s="8"/>
      <c r="V442" s="8"/>
      <c r="W442" s="10"/>
    </row>
    <row r="443" spans="1:23" x14ac:dyDescent="0.3">
      <c r="A443" s="5"/>
      <c r="B443" s="5"/>
      <c r="C443" s="5"/>
      <c r="D443" s="5"/>
      <c r="E443" s="5"/>
      <c r="F443" s="5"/>
      <c r="G443" s="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8"/>
      <c r="S443" s="9"/>
      <c r="T443" s="8"/>
      <c r="U443" s="8"/>
      <c r="V443" s="8"/>
      <c r="W443" s="10"/>
    </row>
    <row r="444" spans="1:23" x14ac:dyDescent="0.3">
      <c r="A444" s="5"/>
      <c r="B444" s="5"/>
      <c r="C444" s="5"/>
      <c r="D444" s="5"/>
      <c r="E444" s="5"/>
      <c r="F444" s="5"/>
      <c r="G444" s="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8"/>
      <c r="S444" s="9"/>
      <c r="T444" s="8"/>
      <c r="U444" s="8"/>
      <c r="V444" s="8"/>
      <c r="W444" s="10"/>
    </row>
    <row r="445" spans="1:23" x14ac:dyDescent="0.3">
      <c r="A445" s="5"/>
      <c r="B445" s="5"/>
      <c r="C445" s="5"/>
      <c r="D445" s="5"/>
      <c r="E445" s="5"/>
      <c r="F445" s="5"/>
      <c r="G445" s="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8"/>
      <c r="S445" s="9"/>
      <c r="T445" s="8"/>
      <c r="U445" s="8"/>
      <c r="V445" s="8"/>
      <c r="W445" s="10"/>
    </row>
    <row r="446" spans="1:23" x14ac:dyDescent="0.3">
      <c r="A446" s="5"/>
      <c r="B446" s="5"/>
      <c r="C446" s="5"/>
      <c r="D446" s="5"/>
      <c r="E446" s="5"/>
      <c r="F446" s="5"/>
      <c r="G446" s="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8"/>
      <c r="S446" s="9"/>
      <c r="T446" s="8"/>
      <c r="U446" s="8"/>
      <c r="V446" s="8"/>
      <c r="W446" s="10"/>
    </row>
    <row r="447" spans="1:23" x14ac:dyDescent="0.3">
      <c r="A447" s="5"/>
      <c r="B447" s="5"/>
      <c r="C447" s="5"/>
      <c r="D447" s="5"/>
      <c r="E447" s="5"/>
      <c r="F447" s="5"/>
      <c r="G447" s="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8"/>
      <c r="S447" s="9"/>
      <c r="T447" s="8"/>
      <c r="U447" s="8"/>
      <c r="V447" s="8"/>
      <c r="W447" s="10"/>
    </row>
    <row r="448" spans="1:23" x14ac:dyDescent="0.3">
      <c r="A448" s="5"/>
      <c r="B448" s="5"/>
      <c r="C448" s="5"/>
      <c r="D448" s="5"/>
      <c r="E448" s="5"/>
      <c r="F448" s="5"/>
      <c r="G448" s="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8"/>
      <c r="S448" s="9"/>
      <c r="T448" s="8"/>
      <c r="U448" s="8"/>
      <c r="V448" s="8"/>
      <c r="W448" s="10"/>
    </row>
    <row r="449" spans="1:23" x14ac:dyDescent="0.3">
      <c r="A449" s="5"/>
      <c r="B449" s="5"/>
      <c r="C449" s="5"/>
      <c r="D449" s="5"/>
      <c r="E449" s="5"/>
      <c r="F449" s="5"/>
      <c r="G449" s="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8"/>
      <c r="S449" s="9"/>
      <c r="T449" s="8"/>
      <c r="U449" s="8"/>
      <c r="V449" s="8"/>
      <c r="W449" s="10"/>
    </row>
    <row r="450" spans="1:23" x14ac:dyDescent="0.3">
      <c r="A450" s="5"/>
      <c r="B450" s="5"/>
      <c r="C450" s="5"/>
      <c r="D450" s="5"/>
      <c r="E450" s="5"/>
      <c r="F450" s="5"/>
      <c r="G450" s="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8"/>
      <c r="S450" s="9"/>
      <c r="T450" s="8"/>
      <c r="U450" s="8"/>
      <c r="V450" s="8"/>
      <c r="W450" s="10"/>
    </row>
    <row r="451" spans="1:23" x14ac:dyDescent="0.3">
      <c r="A451" s="5"/>
      <c r="B451" s="5"/>
      <c r="C451" s="5"/>
      <c r="D451" s="5"/>
      <c r="E451" s="5"/>
      <c r="F451" s="5"/>
      <c r="G451" s="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8"/>
      <c r="S451" s="9"/>
      <c r="T451" s="8"/>
      <c r="U451" s="8"/>
      <c r="V451" s="8"/>
      <c r="W451" s="10"/>
    </row>
    <row r="452" spans="1:23" x14ac:dyDescent="0.3">
      <c r="A452" s="5"/>
      <c r="B452" s="5"/>
      <c r="C452" s="5"/>
      <c r="D452" s="5"/>
      <c r="E452" s="5"/>
      <c r="F452" s="5"/>
      <c r="G452" s="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8"/>
      <c r="S452" s="9"/>
      <c r="T452" s="8"/>
      <c r="U452" s="8"/>
      <c r="V452" s="8"/>
      <c r="W452" s="10"/>
    </row>
    <row r="453" spans="1:23" x14ac:dyDescent="0.3">
      <c r="A453" s="5"/>
      <c r="B453" s="5"/>
      <c r="C453" s="5"/>
      <c r="D453" s="5"/>
      <c r="E453" s="5"/>
      <c r="F453" s="5"/>
      <c r="G453" s="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8"/>
      <c r="S453" s="9"/>
      <c r="T453" s="8"/>
      <c r="U453" s="8"/>
      <c r="V453" s="8"/>
      <c r="W453" s="10"/>
    </row>
    <row r="454" spans="1:23" x14ac:dyDescent="0.3">
      <c r="A454" s="5"/>
      <c r="B454" s="5"/>
      <c r="C454" s="5"/>
      <c r="D454" s="5"/>
      <c r="E454" s="5"/>
      <c r="F454" s="5"/>
      <c r="G454" s="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8"/>
      <c r="S454" s="9"/>
      <c r="T454" s="8"/>
      <c r="U454" s="8"/>
      <c r="V454" s="8"/>
      <c r="W454" s="10"/>
    </row>
    <row r="455" spans="1:23" x14ac:dyDescent="0.3">
      <c r="A455" s="5"/>
      <c r="B455" s="5"/>
      <c r="C455" s="5"/>
      <c r="D455" s="5"/>
      <c r="E455" s="5"/>
      <c r="F455" s="5"/>
      <c r="G455" s="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8"/>
      <c r="S455" s="9"/>
      <c r="T455" s="8"/>
      <c r="U455" s="8"/>
      <c r="V455" s="8"/>
      <c r="W455" s="10"/>
    </row>
    <row r="456" spans="1:23" x14ac:dyDescent="0.3">
      <c r="A456" s="5"/>
      <c r="B456" s="5"/>
      <c r="C456" s="5"/>
      <c r="D456" s="5"/>
      <c r="E456" s="5"/>
      <c r="F456" s="5"/>
      <c r="G456" s="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8"/>
      <c r="S456" s="9"/>
      <c r="T456" s="8"/>
      <c r="U456" s="8"/>
      <c r="V456" s="8"/>
      <c r="W456" s="10"/>
    </row>
    <row r="457" spans="1:23" x14ac:dyDescent="0.3">
      <c r="A457" s="5"/>
      <c r="B457" s="5"/>
      <c r="C457" s="5"/>
      <c r="D457" s="5"/>
      <c r="E457" s="5"/>
      <c r="F457" s="5"/>
      <c r="G457" s="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8"/>
      <c r="S457" s="9"/>
      <c r="T457" s="8"/>
      <c r="U457" s="8"/>
      <c r="V457" s="8"/>
      <c r="W457" s="10"/>
    </row>
    <row r="458" spans="1:23" x14ac:dyDescent="0.3">
      <c r="A458" s="5"/>
      <c r="B458" s="5"/>
      <c r="C458" s="5"/>
      <c r="D458" s="5"/>
      <c r="E458" s="5"/>
      <c r="F458" s="5"/>
      <c r="G458" s="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8"/>
      <c r="S458" s="9"/>
      <c r="T458" s="8"/>
      <c r="U458" s="8"/>
      <c r="V458" s="8"/>
      <c r="W458" s="10"/>
    </row>
    <row r="459" spans="1:23" x14ac:dyDescent="0.3">
      <c r="A459" s="5"/>
      <c r="B459" s="5"/>
      <c r="C459" s="5"/>
      <c r="D459" s="5"/>
      <c r="E459" s="5"/>
      <c r="F459" s="5"/>
      <c r="G459" s="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8"/>
      <c r="S459" s="9"/>
      <c r="T459" s="8"/>
      <c r="U459" s="8"/>
      <c r="V459" s="8"/>
      <c r="W459" s="10"/>
    </row>
    <row r="460" spans="1:23" x14ac:dyDescent="0.3">
      <c r="A460" s="5"/>
      <c r="B460" s="5"/>
      <c r="C460" s="5"/>
      <c r="D460" s="5"/>
      <c r="E460" s="5"/>
      <c r="F460" s="5"/>
      <c r="G460" s="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8"/>
      <c r="S460" s="9"/>
      <c r="T460" s="8"/>
      <c r="U460" s="8"/>
      <c r="V460" s="8"/>
      <c r="W460" s="10"/>
    </row>
    <row r="461" spans="1:23" x14ac:dyDescent="0.3">
      <c r="A461" s="5"/>
      <c r="B461" s="5"/>
      <c r="C461" s="5"/>
      <c r="D461" s="5"/>
      <c r="E461" s="5"/>
      <c r="F461" s="5"/>
      <c r="G461" s="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8"/>
      <c r="S461" s="9"/>
      <c r="T461" s="8"/>
      <c r="U461" s="8"/>
      <c r="V461" s="8"/>
      <c r="W461" s="10"/>
    </row>
    <row r="462" spans="1:23" x14ac:dyDescent="0.3">
      <c r="A462" s="5"/>
      <c r="B462" s="5"/>
      <c r="C462" s="5"/>
      <c r="D462" s="5"/>
      <c r="E462" s="5"/>
      <c r="F462" s="5"/>
      <c r="G462" s="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8"/>
      <c r="S462" s="9"/>
      <c r="T462" s="8"/>
      <c r="U462" s="8"/>
      <c r="V462" s="8"/>
      <c r="W462" s="10"/>
    </row>
    <row r="463" spans="1:23" x14ac:dyDescent="0.3">
      <c r="A463" s="5"/>
      <c r="B463" s="5"/>
      <c r="C463" s="5"/>
      <c r="D463" s="5"/>
      <c r="E463" s="5"/>
      <c r="F463" s="5"/>
      <c r="G463" s="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8"/>
      <c r="S463" s="9"/>
      <c r="T463" s="8"/>
      <c r="U463" s="8"/>
      <c r="V463" s="8"/>
      <c r="W463" s="10"/>
    </row>
    <row r="464" spans="1:23" x14ac:dyDescent="0.3">
      <c r="A464" s="5"/>
      <c r="B464" s="5"/>
      <c r="C464" s="5"/>
      <c r="D464" s="5"/>
      <c r="E464" s="5"/>
      <c r="F464" s="5"/>
      <c r="G464" s="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8"/>
      <c r="S464" s="9"/>
      <c r="T464" s="8"/>
      <c r="U464" s="8"/>
      <c r="V464" s="8"/>
      <c r="W464" s="10"/>
    </row>
    <row r="465" spans="1:23" x14ac:dyDescent="0.3">
      <c r="A465" s="5"/>
      <c r="B465" s="5"/>
      <c r="C465" s="5"/>
      <c r="D465" s="5"/>
      <c r="E465" s="5"/>
      <c r="F465" s="5"/>
      <c r="G465" s="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8"/>
      <c r="S465" s="9"/>
      <c r="T465" s="8"/>
      <c r="U465" s="8"/>
      <c r="V465" s="8"/>
      <c r="W465" s="10"/>
    </row>
    <row r="466" spans="1:23" x14ac:dyDescent="0.3">
      <c r="A466" s="5"/>
      <c r="B466" s="5"/>
      <c r="C466" s="5"/>
      <c r="D466" s="5"/>
      <c r="E466" s="5"/>
      <c r="F466" s="5"/>
      <c r="G466" s="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8"/>
      <c r="S466" s="9"/>
      <c r="T466" s="8"/>
      <c r="U466" s="8"/>
      <c r="V466" s="8"/>
      <c r="W466" s="10"/>
    </row>
    <row r="467" spans="1:23" x14ac:dyDescent="0.3">
      <c r="A467" s="5"/>
      <c r="B467" s="5"/>
      <c r="C467" s="5"/>
      <c r="D467" s="5"/>
      <c r="E467" s="5"/>
      <c r="F467" s="5"/>
      <c r="G467" s="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8"/>
      <c r="S467" s="9"/>
      <c r="T467" s="8"/>
      <c r="U467" s="8"/>
      <c r="V467" s="8"/>
      <c r="W467" s="10"/>
    </row>
    <row r="468" spans="1:23" x14ac:dyDescent="0.3">
      <c r="A468" s="5"/>
      <c r="B468" s="5"/>
      <c r="C468" s="5"/>
      <c r="D468" s="5"/>
      <c r="E468" s="5"/>
      <c r="F468" s="5"/>
      <c r="G468" s="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8"/>
      <c r="S468" s="9"/>
      <c r="T468" s="8"/>
      <c r="U468" s="8"/>
      <c r="V468" s="8"/>
      <c r="W468" s="10"/>
    </row>
    <row r="469" spans="1:23" x14ac:dyDescent="0.3">
      <c r="A469" s="5"/>
      <c r="B469" s="5"/>
      <c r="C469" s="5"/>
      <c r="D469" s="5"/>
      <c r="E469" s="5"/>
      <c r="F469" s="5"/>
      <c r="G469" s="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8"/>
      <c r="S469" s="9"/>
      <c r="T469" s="8"/>
      <c r="U469" s="8"/>
      <c r="V469" s="8"/>
      <c r="W469" s="10"/>
    </row>
    <row r="470" spans="1:23" x14ac:dyDescent="0.3">
      <c r="A470" s="5"/>
      <c r="B470" s="5"/>
      <c r="C470" s="5"/>
      <c r="D470" s="5"/>
      <c r="E470" s="5"/>
      <c r="F470" s="5"/>
      <c r="G470" s="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8"/>
      <c r="S470" s="9"/>
      <c r="T470" s="8"/>
      <c r="U470" s="8"/>
      <c r="V470" s="8"/>
      <c r="W470" s="10"/>
    </row>
    <row r="471" spans="1:23" x14ac:dyDescent="0.3">
      <c r="A471" s="5"/>
      <c r="B471" s="5"/>
      <c r="C471" s="5"/>
      <c r="D471" s="5"/>
      <c r="E471" s="5"/>
      <c r="F471" s="5"/>
      <c r="G471" s="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8"/>
      <c r="S471" s="9"/>
      <c r="T471" s="8"/>
      <c r="U471" s="8"/>
      <c r="V471" s="8"/>
      <c r="W471" s="10"/>
    </row>
    <row r="472" spans="1:23" x14ac:dyDescent="0.3">
      <c r="A472" s="5"/>
      <c r="B472" s="5"/>
      <c r="C472" s="5"/>
      <c r="D472" s="5"/>
      <c r="E472" s="5"/>
      <c r="F472" s="5"/>
      <c r="G472" s="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8"/>
      <c r="S472" s="9"/>
      <c r="T472" s="8"/>
      <c r="U472" s="8"/>
      <c r="V472" s="8"/>
      <c r="W472" s="10"/>
    </row>
    <row r="473" spans="1:23" x14ac:dyDescent="0.3">
      <c r="A473" s="5"/>
      <c r="B473" s="5"/>
      <c r="C473" s="5"/>
      <c r="D473" s="5"/>
      <c r="E473" s="5"/>
      <c r="F473" s="5"/>
      <c r="G473" s="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8"/>
      <c r="S473" s="9"/>
      <c r="T473" s="8"/>
      <c r="U473" s="8"/>
      <c r="V473" s="8"/>
      <c r="W473" s="10"/>
    </row>
    <row r="474" spans="1:23" x14ac:dyDescent="0.3">
      <c r="A474" s="5"/>
      <c r="B474" s="5"/>
      <c r="C474" s="5"/>
      <c r="D474" s="5"/>
      <c r="E474" s="5"/>
      <c r="F474" s="5"/>
      <c r="G474" s="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8"/>
      <c r="S474" s="9"/>
      <c r="T474" s="8"/>
      <c r="U474" s="8"/>
      <c r="V474" s="8"/>
      <c r="W474" s="10"/>
    </row>
    <row r="475" spans="1:23" x14ac:dyDescent="0.3">
      <c r="A475" s="5"/>
      <c r="B475" s="5"/>
      <c r="C475" s="5"/>
      <c r="D475" s="5"/>
      <c r="E475" s="5"/>
      <c r="F475" s="5"/>
      <c r="G475" s="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8"/>
      <c r="S475" s="9"/>
      <c r="T475" s="8"/>
      <c r="U475" s="8"/>
      <c r="V475" s="8"/>
      <c r="W475" s="10"/>
    </row>
    <row r="476" spans="1:23" x14ac:dyDescent="0.3">
      <c r="A476" s="5"/>
      <c r="B476" s="5"/>
      <c r="C476" s="5"/>
      <c r="D476" s="5"/>
      <c r="E476" s="5"/>
      <c r="F476" s="5"/>
      <c r="G476" s="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8"/>
      <c r="S476" s="9"/>
      <c r="T476" s="8"/>
      <c r="U476" s="8"/>
      <c r="V476" s="8"/>
      <c r="W476" s="10"/>
    </row>
    <row r="477" spans="1:23" x14ac:dyDescent="0.3">
      <c r="A477" s="5"/>
      <c r="B477" s="5"/>
      <c r="C477" s="5"/>
      <c r="D477" s="5"/>
      <c r="E477" s="5"/>
      <c r="F477" s="5"/>
      <c r="G477" s="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8"/>
      <c r="S477" s="9"/>
      <c r="T477" s="8"/>
      <c r="U477" s="8"/>
      <c r="V477" s="8"/>
      <c r="W477" s="10"/>
    </row>
    <row r="478" spans="1:23" x14ac:dyDescent="0.3">
      <c r="A478" s="5"/>
      <c r="B478" s="5"/>
      <c r="C478" s="5"/>
      <c r="D478" s="5"/>
      <c r="E478" s="5"/>
      <c r="F478" s="5"/>
      <c r="G478" s="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8"/>
      <c r="S478" s="9"/>
      <c r="T478" s="8"/>
      <c r="U478" s="8"/>
      <c r="V478" s="8"/>
      <c r="W478" s="10"/>
    </row>
    <row r="479" spans="1:23" x14ac:dyDescent="0.3">
      <c r="A479" s="5"/>
      <c r="B479" s="5"/>
      <c r="C479" s="5"/>
      <c r="D479" s="5"/>
      <c r="E479" s="5"/>
      <c r="F479" s="5"/>
      <c r="G479" s="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8"/>
      <c r="S479" s="9"/>
      <c r="T479" s="8"/>
      <c r="U479" s="8"/>
      <c r="V479" s="8"/>
      <c r="W479" s="10"/>
    </row>
    <row r="480" spans="1:23" x14ac:dyDescent="0.3">
      <c r="A480" s="5"/>
      <c r="B480" s="5"/>
      <c r="C480" s="5"/>
      <c r="D480" s="5"/>
      <c r="E480" s="5"/>
      <c r="F480" s="5"/>
      <c r="G480" s="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8"/>
      <c r="S480" s="9"/>
      <c r="T480" s="8"/>
      <c r="U480" s="8"/>
      <c r="V480" s="8"/>
      <c r="W480" s="10"/>
    </row>
    <row r="481" spans="1:23" x14ac:dyDescent="0.3">
      <c r="A481" s="5"/>
      <c r="B481" s="5"/>
      <c r="C481" s="5"/>
      <c r="D481" s="5"/>
      <c r="E481" s="5"/>
      <c r="F481" s="5"/>
      <c r="G481" s="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8"/>
      <c r="S481" s="9"/>
      <c r="T481" s="8"/>
      <c r="U481" s="8"/>
      <c r="V481" s="8"/>
      <c r="W481" s="10"/>
    </row>
    <row r="482" spans="1:23" x14ac:dyDescent="0.3">
      <c r="A482" s="5"/>
      <c r="B482" s="5"/>
      <c r="C482" s="5"/>
      <c r="D482" s="5"/>
      <c r="E482" s="5"/>
      <c r="F482" s="5"/>
      <c r="G482" s="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8"/>
      <c r="S482" s="9"/>
      <c r="T482" s="8"/>
      <c r="U482" s="8"/>
      <c r="V482" s="8"/>
      <c r="W482" s="10"/>
    </row>
    <row r="483" spans="1:23" x14ac:dyDescent="0.3">
      <c r="A483" s="5"/>
      <c r="B483" s="5"/>
      <c r="C483" s="5"/>
      <c r="D483" s="5"/>
      <c r="E483" s="5"/>
      <c r="F483" s="5"/>
      <c r="G483" s="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8"/>
      <c r="S483" s="9"/>
      <c r="T483" s="8"/>
      <c r="U483" s="8"/>
      <c r="V483" s="8"/>
      <c r="W483" s="10"/>
    </row>
    <row r="484" spans="1:23" x14ac:dyDescent="0.3">
      <c r="A484" s="5"/>
      <c r="B484" s="5"/>
      <c r="C484" s="5"/>
      <c r="D484" s="5"/>
      <c r="E484" s="5"/>
      <c r="F484" s="5"/>
      <c r="G484" s="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8"/>
      <c r="S484" s="9"/>
      <c r="T484" s="8"/>
      <c r="U484" s="8"/>
      <c r="V484" s="8"/>
      <c r="W484" s="10"/>
    </row>
    <row r="485" spans="1:23" x14ac:dyDescent="0.3">
      <c r="A485" s="5"/>
      <c r="B485" s="5"/>
      <c r="C485" s="5"/>
      <c r="D485" s="5"/>
      <c r="E485" s="5"/>
      <c r="F485" s="5"/>
      <c r="G485" s="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8"/>
      <c r="S485" s="9"/>
      <c r="T485" s="8"/>
      <c r="U485" s="8"/>
      <c r="V485" s="8"/>
      <c r="W485" s="10"/>
    </row>
    <row r="486" spans="1:23" x14ac:dyDescent="0.3">
      <c r="A486" s="5"/>
      <c r="B486" s="5"/>
      <c r="C486" s="5"/>
      <c r="D486" s="5"/>
      <c r="E486" s="5"/>
      <c r="F486" s="5"/>
      <c r="G486" s="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8"/>
      <c r="S486" s="9"/>
      <c r="T486" s="8"/>
      <c r="U486" s="8"/>
      <c r="V486" s="8"/>
      <c r="W486" s="10"/>
    </row>
    <row r="487" spans="1:23" x14ac:dyDescent="0.3">
      <c r="A487" s="5"/>
      <c r="B487" s="5"/>
      <c r="C487" s="5"/>
      <c r="D487" s="5"/>
      <c r="E487" s="5"/>
      <c r="F487" s="5"/>
      <c r="G487" s="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8"/>
      <c r="S487" s="9"/>
      <c r="T487" s="8"/>
      <c r="U487" s="8"/>
      <c r="V487" s="8"/>
      <c r="W487" s="10"/>
    </row>
    <row r="488" spans="1:23" x14ac:dyDescent="0.3">
      <c r="A488" s="5"/>
      <c r="B488" s="5"/>
      <c r="C488" s="5"/>
      <c r="D488" s="5"/>
      <c r="E488" s="5"/>
      <c r="F488" s="5"/>
      <c r="G488" s="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8"/>
      <c r="S488" s="9"/>
      <c r="T488" s="8"/>
      <c r="U488" s="8"/>
      <c r="V488" s="8"/>
      <c r="W488" s="10"/>
    </row>
    <row r="489" spans="1:23" x14ac:dyDescent="0.3">
      <c r="A489" s="5"/>
      <c r="B489" s="5"/>
      <c r="C489" s="5"/>
      <c r="D489" s="5"/>
      <c r="E489" s="5"/>
      <c r="F489" s="5"/>
      <c r="G489" s="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8"/>
      <c r="S489" s="9"/>
      <c r="T489" s="8"/>
      <c r="U489" s="8"/>
      <c r="V489" s="8"/>
      <c r="W489" s="10"/>
    </row>
    <row r="490" spans="1:23" x14ac:dyDescent="0.3">
      <c r="A490" s="5"/>
      <c r="B490" s="5"/>
      <c r="C490" s="5"/>
      <c r="D490" s="5"/>
      <c r="E490" s="5"/>
      <c r="F490" s="5"/>
      <c r="G490" s="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8"/>
      <c r="S490" s="9"/>
      <c r="T490" s="8"/>
      <c r="U490" s="8"/>
      <c r="V490" s="8"/>
      <c r="W490" s="10"/>
    </row>
    <row r="491" spans="1:23" x14ac:dyDescent="0.3">
      <c r="A491" s="5"/>
      <c r="B491" s="5"/>
      <c r="C491" s="5"/>
      <c r="D491" s="5"/>
      <c r="E491" s="5"/>
      <c r="F491" s="5"/>
      <c r="G491" s="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8"/>
      <c r="S491" s="9"/>
      <c r="T491" s="8"/>
      <c r="U491" s="8"/>
      <c r="V491" s="8"/>
      <c r="W491" s="10"/>
    </row>
    <row r="492" spans="1:23" x14ac:dyDescent="0.3">
      <c r="A492" s="5"/>
      <c r="B492" s="5"/>
      <c r="C492" s="5"/>
      <c r="D492" s="5"/>
      <c r="E492" s="5"/>
      <c r="F492" s="5"/>
      <c r="G492" s="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8"/>
      <c r="S492" s="9"/>
      <c r="T492" s="8"/>
      <c r="U492" s="8"/>
      <c r="V492" s="8"/>
      <c r="W492" s="10"/>
    </row>
    <row r="493" spans="1:23" x14ac:dyDescent="0.3">
      <c r="A493" s="5"/>
      <c r="B493" s="5"/>
      <c r="C493" s="5"/>
      <c r="D493" s="5"/>
      <c r="E493" s="5"/>
      <c r="F493" s="5"/>
      <c r="G493" s="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8"/>
      <c r="S493" s="9"/>
      <c r="T493" s="8"/>
      <c r="U493" s="8"/>
      <c r="V493" s="8"/>
      <c r="W493" s="10"/>
    </row>
    <row r="494" spans="1:23" x14ac:dyDescent="0.3">
      <c r="A494" s="5"/>
      <c r="B494" s="5"/>
      <c r="C494" s="5"/>
      <c r="D494" s="5"/>
      <c r="E494" s="5"/>
      <c r="F494" s="5"/>
      <c r="G494" s="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8"/>
      <c r="S494" s="9"/>
      <c r="T494" s="8"/>
      <c r="U494" s="8"/>
      <c r="V494" s="8"/>
      <c r="W494" s="10"/>
    </row>
    <row r="495" spans="1:23" x14ac:dyDescent="0.3">
      <c r="A495" s="5"/>
      <c r="B495" s="5"/>
      <c r="C495" s="5"/>
      <c r="D495" s="5"/>
      <c r="E495" s="5"/>
      <c r="F495" s="5"/>
      <c r="G495" s="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8"/>
      <c r="S495" s="9"/>
      <c r="T495" s="8"/>
      <c r="U495" s="8"/>
      <c r="V495" s="8"/>
      <c r="W495" s="10"/>
    </row>
    <row r="496" spans="1:23" x14ac:dyDescent="0.3">
      <c r="A496" s="5"/>
      <c r="B496" s="5"/>
      <c r="C496" s="5"/>
      <c r="D496" s="5"/>
      <c r="E496" s="5"/>
      <c r="F496" s="5"/>
      <c r="G496" s="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8"/>
      <c r="S496" s="9"/>
      <c r="T496" s="8"/>
      <c r="U496" s="8"/>
      <c r="V496" s="8"/>
      <c r="W496" s="10"/>
    </row>
    <row r="497" spans="1:23" x14ac:dyDescent="0.3">
      <c r="A497" s="5"/>
      <c r="B497" s="5"/>
      <c r="C497" s="5"/>
      <c r="D497" s="5"/>
      <c r="E497" s="5"/>
      <c r="F497" s="5"/>
      <c r="G497" s="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8"/>
      <c r="S497" s="9"/>
      <c r="T497" s="8"/>
      <c r="U497" s="8"/>
      <c r="V497" s="8"/>
      <c r="W497" s="10"/>
    </row>
    <row r="498" spans="1:23" x14ac:dyDescent="0.3">
      <c r="A498" s="5"/>
      <c r="B498" s="5"/>
      <c r="C498" s="5"/>
      <c r="D498" s="5"/>
      <c r="E498" s="5"/>
      <c r="F498" s="5"/>
      <c r="G498" s="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8"/>
      <c r="S498" s="9"/>
      <c r="T498" s="8"/>
      <c r="U498" s="8"/>
      <c r="V498" s="8"/>
      <c r="W498" s="10"/>
    </row>
    <row r="499" spans="1:23" x14ac:dyDescent="0.3">
      <c r="A499" s="5"/>
      <c r="B499" s="5"/>
      <c r="C499" s="5"/>
      <c r="D499" s="5"/>
      <c r="E499" s="5"/>
      <c r="F499" s="5"/>
      <c r="G499" s="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8"/>
      <c r="S499" s="9"/>
      <c r="T499" s="8"/>
      <c r="U499" s="8"/>
      <c r="V499" s="8"/>
      <c r="W499" s="10"/>
    </row>
    <row r="500" spans="1:23" x14ac:dyDescent="0.3">
      <c r="A500" s="5"/>
      <c r="B500" s="5"/>
      <c r="C500" s="5"/>
      <c r="D500" s="5"/>
      <c r="E500" s="5"/>
      <c r="F500" s="5"/>
      <c r="G500" s="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8"/>
      <c r="S500" s="9"/>
      <c r="T500" s="8"/>
      <c r="U500" s="8"/>
      <c r="V500" s="8"/>
      <c r="W500" s="10"/>
    </row>
    <row r="501" spans="1:23" x14ac:dyDescent="0.3">
      <c r="A501" s="5"/>
      <c r="B501" s="5"/>
      <c r="C501" s="5"/>
      <c r="D501" s="5"/>
      <c r="E501" s="5"/>
      <c r="F501" s="5"/>
      <c r="G501" s="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8"/>
      <c r="S501" s="9"/>
      <c r="T501" s="8"/>
      <c r="U501" s="8"/>
      <c r="V501" s="8"/>
      <c r="W501" s="10"/>
    </row>
    <row r="502" spans="1:23" x14ac:dyDescent="0.3">
      <c r="A502" s="5"/>
      <c r="B502" s="5"/>
      <c r="C502" s="5"/>
      <c r="D502" s="5"/>
      <c r="E502" s="5"/>
      <c r="F502" s="5"/>
      <c r="G502" s="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8"/>
      <c r="S502" s="9"/>
      <c r="T502" s="8"/>
      <c r="U502" s="8"/>
      <c r="V502" s="8"/>
      <c r="W502" s="10"/>
    </row>
    <row r="503" spans="1:23" x14ac:dyDescent="0.3">
      <c r="A503" s="5"/>
      <c r="B503" s="5"/>
      <c r="C503" s="5"/>
      <c r="D503" s="5"/>
      <c r="E503" s="5"/>
      <c r="F503" s="5"/>
      <c r="G503" s="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8"/>
      <c r="S503" s="9"/>
      <c r="T503" s="8"/>
      <c r="U503" s="8"/>
      <c r="V503" s="8"/>
      <c r="W503" s="10"/>
    </row>
    <row r="504" spans="1:23" x14ac:dyDescent="0.3">
      <c r="A504" s="5"/>
      <c r="B504" s="5"/>
      <c r="C504" s="5"/>
      <c r="D504" s="5"/>
      <c r="E504" s="5"/>
      <c r="F504" s="5"/>
      <c r="G504" s="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8"/>
      <c r="S504" s="9"/>
      <c r="T504" s="8"/>
      <c r="U504" s="8"/>
      <c r="V504" s="8"/>
      <c r="W504" s="10"/>
    </row>
    <row r="505" spans="1:23" x14ac:dyDescent="0.3">
      <c r="A505" s="5"/>
      <c r="B505" s="5"/>
      <c r="C505" s="5"/>
      <c r="D505" s="5"/>
      <c r="E505" s="5"/>
      <c r="F505" s="5"/>
      <c r="G505" s="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8"/>
      <c r="S505" s="9"/>
      <c r="T505" s="8"/>
      <c r="U505" s="8"/>
      <c r="V505" s="8"/>
      <c r="W505" s="10"/>
    </row>
    <row r="506" spans="1:23" x14ac:dyDescent="0.3">
      <c r="A506" s="5"/>
      <c r="B506" s="5"/>
      <c r="C506" s="5"/>
      <c r="D506" s="5"/>
      <c r="E506" s="5"/>
      <c r="F506" s="5"/>
      <c r="G506" s="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8"/>
      <c r="S506" s="9"/>
      <c r="T506" s="8"/>
      <c r="U506" s="8"/>
      <c r="V506" s="8"/>
      <c r="W506" s="10"/>
    </row>
    <row r="507" spans="1:23" x14ac:dyDescent="0.3">
      <c r="A507" s="5"/>
      <c r="B507" s="5"/>
      <c r="C507" s="5"/>
      <c r="D507" s="5"/>
      <c r="E507" s="5"/>
      <c r="F507" s="5"/>
      <c r="G507" s="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8"/>
      <c r="S507" s="9"/>
      <c r="T507" s="8"/>
      <c r="U507" s="8"/>
      <c r="V507" s="8"/>
      <c r="W507" s="10"/>
    </row>
    <row r="508" spans="1:23" x14ac:dyDescent="0.3">
      <c r="A508" s="5"/>
      <c r="B508" s="5"/>
      <c r="C508" s="5"/>
      <c r="D508" s="5"/>
      <c r="E508" s="5"/>
      <c r="F508" s="5"/>
      <c r="G508" s="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8"/>
      <c r="S508" s="9"/>
      <c r="T508" s="8"/>
      <c r="U508" s="8"/>
      <c r="V508" s="8"/>
      <c r="W508" s="10"/>
    </row>
    <row r="509" spans="1:23" x14ac:dyDescent="0.3">
      <c r="A509" s="5"/>
      <c r="B509" s="5"/>
      <c r="C509" s="5"/>
      <c r="D509" s="5"/>
      <c r="E509" s="5"/>
      <c r="F509" s="5"/>
      <c r="G509" s="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8"/>
      <c r="S509" s="9"/>
      <c r="T509" s="8"/>
      <c r="U509" s="8"/>
      <c r="V509" s="8"/>
      <c r="W509" s="10"/>
    </row>
    <row r="510" spans="1:23" x14ac:dyDescent="0.3">
      <c r="A510" s="5"/>
      <c r="B510" s="5"/>
      <c r="C510" s="5"/>
      <c r="D510" s="5"/>
      <c r="E510" s="5"/>
      <c r="F510" s="5"/>
      <c r="G510" s="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8"/>
      <c r="S510" s="9"/>
      <c r="T510" s="8"/>
      <c r="U510" s="8"/>
      <c r="V510" s="8"/>
      <c r="W510" s="10"/>
    </row>
    <row r="511" spans="1:23" x14ac:dyDescent="0.3">
      <c r="A511" s="5"/>
      <c r="B511" s="5"/>
      <c r="C511" s="5"/>
      <c r="D511" s="5"/>
      <c r="E511" s="5"/>
      <c r="F511" s="5"/>
      <c r="G511" s="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8"/>
      <c r="S511" s="9"/>
      <c r="T511" s="8"/>
      <c r="U511" s="8"/>
      <c r="V511" s="8"/>
      <c r="W511" s="10"/>
    </row>
    <row r="512" spans="1:23" x14ac:dyDescent="0.3">
      <c r="A512" s="5"/>
      <c r="B512" s="5"/>
      <c r="C512" s="5"/>
      <c r="D512" s="5"/>
      <c r="E512" s="5"/>
      <c r="F512" s="5"/>
      <c r="G512" s="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8"/>
      <c r="S512" s="9"/>
      <c r="T512" s="8"/>
      <c r="U512" s="8"/>
      <c r="V512" s="8"/>
      <c r="W512" s="10"/>
    </row>
    <row r="513" spans="1:23" x14ac:dyDescent="0.3">
      <c r="A513" s="5"/>
      <c r="B513" s="5"/>
      <c r="C513" s="5"/>
      <c r="D513" s="5"/>
      <c r="E513" s="5"/>
      <c r="F513" s="5"/>
      <c r="G513" s="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8"/>
      <c r="S513" s="9"/>
      <c r="T513" s="8"/>
      <c r="U513" s="8"/>
      <c r="V513" s="8"/>
      <c r="W513" s="10"/>
    </row>
    <row r="514" spans="1:23" x14ac:dyDescent="0.3">
      <c r="A514" s="5"/>
      <c r="B514" s="5"/>
      <c r="C514" s="5"/>
      <c r="D514" s="5"/>
      <c r="E514" s="5"/>
      <c r="F514" s="5"/>
      <c r="G514" s="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8"/>
      <c r="S514" s="9"/>
      <c r="T514" s="8"/>
      <c r="U514" s="8"/>
      <c r="V514" s="8"/>
      <c r="W514" s="10"/>
    </row>
    <row r="515" spans="1:23" x14ac:dyDescent="0.3">
      <c r="A515" s="5"/>
      <c r="B515" s="5"/>
      <c r="C515" s="5"/>
      <c r="D515" s="5"/>
      <c r="E515" s="5"/>
      <c r="F515" s="5"/>
      <c r="G515" s="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8"/>
      <c r="S515" s="9"/>
      <c r="T515" s="8"/>
      <c r="U515" s="8"/>
      <c r="V515" s="8"/>
      <c r="W515" s="10"/>
    </row>
    <row r="516" spans="1:23" x14ac:dyDescent="0.3">
      <c r="A516" s="5"/>
      <c r="B516" s="5"/>
      <c r="C516" s="5"/>
      <c r="D516" s="5"/>
      <c r="E516" s="5"/>
      <c r="F516" s="5"/>
      <c r="G516" s="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8"/>
      <c r="S516" s="9"/>
      <c r="T516" s="8"/>
      <c r="U516" s="8"/>
      <c r="V516" s="8"/>
      <c r="W516" s="10"/>
    </row>
    <row r="517" spans="1:23" x14ac:dyDescent="0.3">
      <c r="A517" s="5"/>
      <c r="B517" s="5"/>
      <c r="C517" s="5"/>
      <c r="D517" s="5"/>
      <c r="E517" s="5"/>
      <c r="F517" s="5"/>
      <c r="G517" s="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8"/>
      <c r="S517" s="9"/>
      <c r="T517" s="8"/>
      <c r="U517" s="8"/>
      <c r="V517" s="8"/>
      <c r="W517" s="10"/>
    </row>
    <row r="518" spans="1:23" x14ac:dyDescent="0.3">
      <c r="A518" s="5"/>
      <c r="B518" s="5"/>
      <c r="C518" s="5"/>
      <c r="D518" s="5"/>
      <c r="E518" s="5"/>
      <c r="F518" s="5"/>
      <c r="G518" s="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8"/>
      <c r="S518" s="9"/>
      <c r="T518" s="8"/>
      <c r="U518" s="8"/>
      <c r="V518" s="8"/>
      <c r="W518" s="10"/>
    </row>
    <row r="519" spans="1:23" x14ac:dyDescent="0.3">
      <c r="A519" s="5"/>
      <c r="B519" s="5"/>
      <c r="C519" s="5"/>
      <c r="D519" s="5"/>
      <c r="E519" s="5"/>
      <c r="F519" s="5"/>
      <c r="G519" s="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8"/>
      <c r="S519" s="9"/>
      <c r="T519" s="8"/>
      <c r="U519" s="8"/>
      <c r="V519" s="8"/>
      <c r="W519" s="10"/>
    </row>
    <row r="520" spans="1:23" x14ac:dyDescent="0.3">
      <c r="A520" s="5"/>
      <c r="B520" s="5"/>
      <c r="C520" s="5"/>
      <c r="D520" s="5"/>
      <c r="E520" s="5"/>
      <c r="F520" s="5"/>
      <c r="G520" s="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8"/>
      <c r="S520" s="9"/>
      <c r="T520" s="8"/>
      <c r="U520" s="8"/>
      <c r="V520" s="8"/>
      <c r="W520" s="10"/>
    </row>
    <row r="521" spans="1:23" x14ac:dyDescent="0.3">
      <c r="A521" s="5"/>
      <c r="B521" s="5"/>
      <c r="C521" s="5"/>
      <c r="D521" s="5"/>
      <c r="E521" s="5"/>
      <c r="F521" s="5"/>
      <c r="G521" s="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8"/>
      <c r="S521" s="9"/>
      <c r="T521" s="8"/>
      <c r="U521" s="8"/>
      <c r="V521" s="8"/>
      <c r="W521" s="10"/>
    </row>
    <row r="522" spans="1:23" x14ac:dyDescent="0.3">
      <c r="A522" s="5"/>
      <c r="B522" s="5"/>
      <c r="C522" s="5"/>
      <c r="D522" s="5"/>
      <c r="E522" s="5"/>
      <c r="F522" s="5"/>
      <c r="G522" s="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8"/>
      <c r="S522" s="9"/>
      <c r="T522" s="8"/>
      <c r="U522" s="8"/>
      <c r="V522" s="8"/>
      <c r="W522" s="10"/>
    </row>
    <row r="523" spans="1:23" x14ac:dyDescent="0.3">
      <c r="A523" s="5"/>
      <c r="B523" s="5"/>
      <c r="C523" s="5"/>
      <c r="D523" s="5"/>
      <c r="E523" s="5"/>
      <c r="F523" s="5"/>
      <c r="G523" s="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8"/>
      <c r="S523" s="9"/>
      <c r="T523" s="8"/>
      <c r="U523" s="8"/>
      <c r="V523" s="8"/>
      <c r="W523" s="10"/>
    </row>
    <row r="524" spans="1:23" x14ac:dyDescent="0.3">
      <c r="A524" s="5"/>
      <c r="B524" s="5"/>
      <c r="C524" s="5"/>
      <c r="D524" s="5"/>
      <c r="E524" s="5"/>
      <c r="F524" s="5"/>
      <c r="G524" s="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8"/>
      <c r="S524" s="9"/>
      <c r="T524" s="8"/>
      <c r="U524" s="8"/>
      <c r="V524" s="8"/>
      <c r="W524" s="10"/>
    </row>
    <row r="525" spans="1:23" x14ac:dyDescent="0.3">
      <c r="A525" s="5"/>
      <c r="B525" s="5"/>
      <c r="C525" s="5"/>
      <c r="D525" s="5"/>
      <c r="E525" s="5"/>
      <c r="F525" s="5"/>
      <c r="G525" s="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8"/>
      <c r="S525" s="9"/>
      <c r="T525" s="8"/>
      <c r="U525" s="8"/>
      <c r="V525" s="8"/>
      <c r="W525" s="10"/>
    </row>
    <row r="526" spans="1:23" x14ac:dyDescent="0.3">
      <c r="A526" s="5"/>
      <c r="B526" s="5"/>
      <c r="C526" s="5"/>
      <c r="D526" s="5"/>
      <c r="E526" s="5"/>
      <c r="F526" s="5"/>
      <c r="G526" s="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8"/>
      <c r="S526" s="9"/>
      <c r="T526" s="8"/>
      <c r="U526" s="8"/>
      <c r="V526" s="8"/>
      <c r="W526" s="10"/>
    </row>
    <row r="527" spans="1:23" x14ac:dyDescent="0.3">
      <c r="A527" s="5"/>
      <c r="B527" s="5"/>
      <c r="C527" s="5"/>
      <c r="D527" s="5"/>
      <c r="E527" s="5"/>
      <c r="F527" s="5"/>
      <c r="G527" s="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8"/>
      <c r="S527" s="9"/>
      <c r="T527" s="8"/>
      <c r="U527" s="8"/>
      <c r="V527" s="8"/>
      <c r="W527" s="10"/>
    </row>
    <row r="528" spans="1:23" x14ac:dyDescent="0.3">
      <c r="A528" s="5"/>
      <c r="B528" s="5"/>
      <c r="C528" s="5"/>
      <c r="D528" s="5"/>
      <c r="E528" s="5"/>
      <c r="F528" s="5"/>
      <c r="G528" s="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8"/>
      <c r="S528" s="9"/>
      <c r="T528" s="8"/>
      <c r="U528" s="8"/>
      <c r="V528" s="8"/>
      <c r="W528" s="10"/>
    </row>
    <row r="529" spans="1:23" x14ac:dyDescent="0.3">
      <c r="A529" s="5"/>
      <c r="B529" s="5"/>
      <c r="C529" s="5"/>
      <c r="D529" s="5"/>
      <c r="E529" s="5"/>
      <c r="F529" s="5"/>
      <c r="G529" s="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8"/>
      <c r="S529" s="9"/>
      <c r="T529" s="8"/>
      <c r="U529" s="8"/>
      <c r="V529" s="8"/>
      <c r="W529" s="10"/>
    </row>
    <row r="530" spans="1:23" x14ac:dyDescent="0.3">
      <c r="A530" s="5"/>
      <c r="B530" s="5"/>
      <c r="C530" s="5"/>
      <c r="D530" s="5"/>
      <c r="E530" s="5"/>
      <c r="F530" s="5"/>
      <c r="G530" s="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8"/>
      <c r="S530" s="9"/>
      <c r="T530" s="8"/>
      <c r="U530" s="8"/>
      <c r="V530" s="8"/>
      <c r="W530" s="10"/>
    </row>
    <row r="531" spans="1:23" x14ac:dyDescent="0.3">
      <c r="A531" s="5"/>
      <c r="B531" s="5"/>
      <c r="C531" s="5"/>
      <c r="D531" s="5"/>
      <c r="E531" s="5"/>
      <c r="F531" s="5"/>
      <c r="G531" s="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8"/>
      <c r="S531" s="9"/>
      <c r="T531" s="8"/>
      <c r="U531" s="8"/>
      <c r="V531" s="8"/>
      <c r="W531" s="10"/>
    </row>
    <row r="532" spans="1:23" x14ac:dyDescent="0.3">
      <c r="A532" s="5"/>
      <c r="B532" s="5"/>
      <c r="C532" s="5"/>
      <c r="D532" s="5"/>
      <c r="E532" s="5"/>
      <c r="F532" s="5"/>
      <c r="G532" s="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8"/>
      <c r="S532" s="9"/>
      <c r="T532" s="8"/>
      <c r="U532" s="8"/>
      <c r="V532" s="8"/>
      <c r="W532" s="10"/>
    </row>
    <row r="533" spans="1:23" x14ac:dyDescent="0.3">
      <c r="A533" s="5"/>
      <c r="B533" s="5"/>
      <c r="C533" s="5"/>
      <c r="D533" s="5"/>
      <c r="E533" s="5"/>
      <c r="F533" s="5"/>
      <c r="G533" s="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8"/>
      <c r="S533" s="9"/>
      <c r="T533" s="8"/>
      <c r="U533" s="8"/>
      <c r="V533" s="8"/>
      <c r="W533" s="10"/>
    </row>
    <row r="534" spans="1:23" x14ac:dyDescent="0.3">
      <c r="A534" s="5"/>
      <c r="B534" s="5"/>
      <c r="C534" s="5"/>
      <c r="D534" s="5"/>
      <c r="E534" s="5"/>
      <c r="F534" s="5"/>
      <c r="G534" s="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8"/>
      <c r="S534" s="9"/>
      <c r="T534" s="8"/>
      <c r="U534" s="8"/>
      <c r="V534" s="8"/>
      <c r="W534" s="10"/>
    </row>
    <row r="535" spans="1:23" x14ac:dyDescent="0.3">
      <c r="A535" s="5"/>
      <c r="B535" s="5"/>
      <c r="C535" s="5"/>
      <c r="D535" s="5"/>
      <c r="E535" s="5"/>
      <c r="F535" s="5"/>
      <c r="G535" s="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8"/>
      <c r="S535" s="9"/>
      <c r="T535" s="8"/>
      <c r="U535" s="8"/>
      <c r="V535" s="8"/>
      <c r="W535" s="10"/>
    </row>
    <row r="536" spans="1:23" x14ac:dyDescent="0.3">
      <c r="A536" s="5"/>
      <c r="B536" s="5"/>
      <c r="C536" s="5"/>
      <c r="D536" s="5"/>
      <c r="E536" s="5"/>
      <c r="F536" s="5"/>
      <c r="G536" s="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8"/>
      <c r="S536" s="9"/>
      <c r="T536" s="8"/>
      <c r="U536" s="8"/>
      <c r="V536" s="8"/>
      <c r="W536" s="10"/>
    </row>
    <row r="537" spans="1:23" x14ac:dyDescent="0.3">
      <c r="A537" s="5"/>
      <c r="B537" s="5"/>
      <c r="C537" s="5"/>
      <c r="D537" s="5"/>
      <c r="E537" s="5"/>
      <c r="F537" s="5"/>
      <c r="G537" s="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8"/>
      <c r="S537" s="9"/>
      <c r="T537" s="8"/>
      <c r="U537" s="8"/>
      <c r="V537" s="8"/>
      <c r="W537" s="10"/>
    </row>
    <row r="538" spans="1:23" x14ac:dyDescent="0.3">
      <c r="A538" s="5"/>
      <c r="B538" s="5"/>
      <c r="C538" s="5"/>
      <c r="D538" s="5"/>
      <c r="E538" s="5"/>
      <c r="F538" s="5"/>
      <c r="G538" s="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8"/>
      <c r="S538" s="9"/>
      <c r="T538" s="8"/>
      <c r="U538" s="8"/>
      <c r="V538" s="8"/>
      <c r="W538" s="10"/>
    </row>
    <row r="539" spans="1:23" x14ac:dyDescent="0.3">
      <c r="A539" s="5"/>
      <c r="B539" s="5"/>
      <c r="C539" s="5"/>
      <c r="D539" s="5"/>
      <c r="E539" s="5"/>
      <c r="F539" s="5"/>
      <c r="G539" s="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8"/>
      <c r="S539" s="9"/>
      <c r="T539" s="8"/>
      <c r="U539" s="8"/>
      <c r="V539" s="8"/>
      <c r="W539" s="10"/>
    </row>
    <row r="540" spans="1:23" x14ac:dyDescent="0.3">
      <c r="A540" s="5"/>
      <c r="B540" s="5"/>
      <c r="C540" s="5"/>
      <c r="D540" s="5"/>
      <c r="E540" s="5"/>
      <c r="F540" s="5"/>
      <c r="G540" s="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8"/>
      <c r="S540" s="9"/>
      <c r="T540" s="8"/>
      <c r="U540" s="8"/>
      <c r="V540" s="8"/>
      <c r="W540" s="10"/>
    </row>
    <row r="541" spans="1:23" x14ac:dyDescent="0.3">
      <c r="A541" s="5"/>
      <c r="B541" s="5"/>
      <c r="C541" s="5"/>
      <c r="D541" s="5"/>
      <c r="E541" s="5"/>
      <c r="F541" s="5"/>
      <c r="G541" s="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8"/>
      <c r="S541" s="9"/>
      <c r="T541" s="8"/>
      <c r="U541" s="8"/>
      <c r="V541" s="8"/>
      <c r="W541" s="10"/>
    </row>
    <row r="542" spans="1:23" x14ac:dyDescent="0.3">
      <c r="A542" s="5"/>
      <c r="B542" s="5"/>
      <c r="C542" s="5"/>
      <c r="D542" s="5"/>
      <c r="E542" s="5"/>
      <c r="F542" s="5"/>
      <c r="G542" s="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8"/>
      <c r="S542" s="9"/>
      <c r="T542" s="8"/>
      <c r="U542" s="8"/>
      <c r="V542" s="8"/>
      <c r="W542" s="10"/>
    </row>
    <row r="543" spans="1:23" x14ac:dyDescent="0.3">
      <c r="A543" s="5"/>
      <c r="B543" s="5"/>
      <c r="C543" s="5"/>
      <c r="D543" s="5"/>
      <c r="E543" s="5"/>
      <c r="F543" s="5"/>
      <c r="G543" s="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8"/>
      <c r="S543" s="9"/>
      <c r="T543" s="8"/>
      <c r="U543" s="8"/>
      <c r="V543" s="8"/>
      <c r="W543" s="10"/>
    </row>
    <row r="544" spans="1:23" x14ac:dyDescent="0.3">
      <c r="A544" s="5"/>
      <c r="B544" s="5"/>
      <c r="C544" s="5"/>
      <c r="D544" s="5"/>
      <c r="E544" s="5"/>
      <c r="F544" s="5"/>
      <c r="G544" s="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8"/>
      <c r="S544" s="9"/>
      <c r="T544" s="8"/>
      <c r="U544" s="8"/>
      <c r="V544" s="8"/>
      <c r="W544" s="10"/>
    </row>
    <row r="545" spans="1:23" x14ac:dyDescent="0.3">
      <c r="A545" s="5"/>
      <c r="B545" s="5"/>
      <c r="C545" s="5"/>
      <c r="D545" s="5"/>
      <c r="E545" s="5"/>
      <c r="F545" s="5"/>
      <c r="G545" s="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8"/>
      <c r="S545" s="9"/>
      <c r="T545" s="8"/>
      <c r="U545" s="8"/>
      <c r="V545" s="8"/>
      <c r="W545" s="10"/>
    </row>
    <row r="546" spans="1:23" x14ac:dyDescent="0.3">
      <c r="A546" s="5"/>
      <c r="B546" s="5"/>
      <c r="C546" s="5"/>
      <c r="D546" s="5"/>
      <c r="E546" s="5"/>
      <c r="F546" s="5"/>
      <c r="G546" s="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8"/>
      <c r="S546" s="9"/>
      <c r="T546" s="8"/>
      <c r="U546" s="8"/>
      <c r="V546" s="8"/>
      <c r="W546" s="10"/>
    </row>
    <row r="547" spans="1:23" x14ac:dyDescent="0.3">
      <c r="A547" s="5"/>
      <c r="B547" s="5"/>
      <c r="C547" s="5"/>
      <c r="D547" s="5"/>
      <c r="E547" s="5"/>
      <c r="F547" s="5"/>
      <c r="G547" s="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8"/>
      <c r="S547" s="9"/>
      <c r="T547" s="8"/>
      <c r="U547" s="8"/>
      <c r="V547" s="8"/>
      <c r="W547" s="10"/>
    </row>
    <row r="548" spans="1:23" x14ac:dyDescent="0.3">
      <c r="A548" s="5"/>
      <c r="B548" s="5"/>
      <c r="C548" s="5"/>
      <c r="D548" s="5"/>
      <c r="E548" s="5"/>
      <c r="F548" s="5"/>
      <c r="G548" s="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8"/>
      <c r="S548" s="9"/>
      <c r="T548" s="8"/>
      <c r="U548" s="8"/>
      <c r="V548" s="8"/>
      <c r="W548" s="10"/>
    </row>
    <row r="549" spans="1:23" x14ac:dyDescent="0.3">
      <c r="A549" s="5"/>
      <c r="B549" s="5"/>
      <c r="C549" s="5"/>
      <c r="D549" s="5"/>
      <c r="E549" s="5"/>
      <c r="F549" s="5"/>
      <c r="G549" s="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8"/>
      <c r="S549" s="9"/>
      <c r="T549" s="8"/>
      <c r="U549" s="8"/>
      <c r="V549" s="8"/>
      <c r="W549" s="10"/>
    </row>
    <row r="550" spans="1:23" x14ac:dyDescent="0.3">
      <c r="A550" s="5"/>
      <c r="B550" s="5"/>
      <c r="C550" s="5"/>
      <c r="D550" s="5"/>
      <c r="E550" s="5"/>
      <c r="F550" s="5"/>
      <c r="G550" s="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8"/>
      <c r="S550" s="9"/>
      <c r="T550" s="8"/>
      <c r="U550" s="8"/>
      <c r="V550" s="8"/>
      <c r="W550" s="10"/>
    </row>
    <row r="551" spans="1:23" x14ac:dyDescent="0.3">
      <c r="A551" s="5"/>
      <c r="B551" s="5"/>
      <c r="C551" s="5"/>
      <c r="D551" s="5"/>
      <c r="E551" s="5"/>
      <c r="F551" s="5"/>
      <c r="G551" s="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8"/>
      <c r="S551" s="9"/>
      <c r="T551" s="8"/>
      <c r="U551" s="8"/>
      <c r="V551" s="8"/>
      <c r="W551" s="10"/>
    </row>
    <row r="552" spans="1:23" x14ac:dyDescent="0.3">
      <c r="A552" s="5"/>
      <c r="B552" s="5"/>
      <c r="C552" s="5"/>
      <c r="D552" s="5"/>
      <c r="E552" s="5"/>
      <c r="F552" s="5"/>
      <c r="G552" s="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8"/>
      <c r="S552" s="9"/>
      <c r="T552" s="8"/>
      <c r="U552" s="8"/>
      <c r="V552" s="8"/>
      <c r="W552" s="10"/>
    </row>
    <row r="553" spans="1:23" x14ac:dyDescent="0.3">
      <c r="A553" s="5"/>
      <c r="B553" s="5"/>
      <c r="C553" s="5"/>
      <c r="D553" s="5"/>
      <c r="E553" s="5"/>
      <c r="F553" s="5"/>
      <c r="G553" s="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8"/>
      <c r="S553" s="9"/>
      <c r="T553" s="8"/>
      <c r="U553" s="8"/>
      <c r="V553" s="8"/>
      <c r="W553" s="10"/>
    </row>
    <row r="554" spans="1:23" x14ac:dyDescent="0.3">
      <c r="A554" s="5"/>
      <c r="B554" s="5"/>
      <c r="C554" s="5"/>
      <c r="D554" s="5"/>
      <c r="E554" s="5"/>
      <c r="F554" s="5"/>
      <c r="G554" s="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8"/>
      <c r="S554" s="9"/>
      <c r="T554" s="8"/>
      <c r="U554" s="8"/>
      <c r="V554" s="8"/>
      <c r="W554" s="10"/>
    </row>
    <row r="555" spans="1:23" x14ac:dyDescent="0.3">
      <c r="A555" s="5"/>
      <c r="B555" s="5"/>
      <c r="C555" s="5"/>
      <c r="D555" s="5"/>
      <c r="E555" s="5"/>
      <c r="F555" s="5"/>
      <c r="G555" s="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8"/>
      <c r="S555" s="9"/>
      <c r="T555" s="8"/>
      <c r="U555" s="8"/>
      <c r="V555" s="8"/>
      <c r="W555" s="10"/>
    </row>
    <row r="556" spans="1:23" x14ac:dyDescent="0.3">
      <c r="A556" s="5"/>
      <c r="B556" s="5"/>
      <c r="C556" s="5"/>
      <c r="D556" s="5"/>
      <c r="E556" s="5"/>
      <c r="F556" s="5"/>
      <c r="G556" s="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8"/>
      <c r="S556" s="9"/>
      <c r="T556" s="8"/>
      <c r="U556" s="8"/>
      <c r="V556" s="8"/>
      <c r="W556" s="10"/>
    </row>
    <row r="557" spans="1:23" x14ac:dyDescent="0.3">
      <c r="A557" s="5"/>
      <c r="B557" s="5"/>
      <c r="C557" s="5"/>
      <c r="D557" s="5"/>
      <c r="E557" s="5"/>
      <c r="F557" s="5"/>
      <c r="G557" s="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8"/>
      <c r="S557" s="9"/>
      <c r="T557" s="8"/>
      <c r="U557" s="8"/>
      <c r="V557" s="8"/>
      <c r="W557" s="10"/>
    </row>
    <row r="558" spans="1:23" x14ac:dyDescent="0.3">
      <c r="A558" s="5"/>
      <c r="B558" s="5"/>
      <c r="C558" s="5"/>
      <c r="D558" s="5"/>
      <c r="E558" s="5"/>
      <c r="F558" s="5"/>
      <c r="G558" s="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8"/>
      <c r="S558" s="9"/>
      <c r="T558" s="8"/>
      <c r="U558" s="8"/>
      <c r="V558" s="8"/>
      <c r="W558" s="10"/>
    </row>
    <row r="559" spans="1:23" x14ac:dyDescent="0.3">
      <c r="A559" s="5"/>
      <c r="B559" s="5"/>
      <c r="C559" s="5"/>
      <c r="D559" s="5"/>
      <c r="E559" s="5"/>
      <c r="F559" s="5"/>
      <c r="G559" s="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8"/>
      <c r="S559" s="9"/>
      <c r="T559" s="8"/>
      <c r="U559" s="8"/>
      <c r="V559" s="8"/>
      <c r="W559" s="10"/>
    </row>
    <row r="560" spans="1:23" x14ac:dyDescent="0.3">
      <c r="A560" s="5"/>
      <c r="B560" s="5"/>
      <c r="C560" s="5"/>
      <c r="D560" s="5"/>
      <c r="E560" s="5"/>
      <c r="F560" s="5"/>
      <c r="G560" s="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8"/>
      <c r="S560" s="9"/>
      <c r="T560" s="8"/>
      <c r="U560" s="8"/>
      <c r="V560" s="8"/>
      <c r="W560" s="10"/>
    </row>
    <row r="561" spans="1:23" x14ac:dyDescent="0.3">
      <c r="A561" s="5"/>
      <c r="B561" s="5"/>
      <c r="C561" s="5"/>
      <c r="D561" s="5"/>
      <c r="E561" s="5"/>
      <c r="F561" s="5"/>
      <c r="G561" s="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8"/>
      <c r="S561" s="9"/>
      <c r="T561" s="8"/>
      <c r="U561" s="8"/>
      <c r="V561" s="8"/>
      <c r="W561" s="10"/>
    </row>
    <row r="562" spans="1:23" x14ac:dyDescent="0.3">
      <c r="A562" s="5"/>
      <c r="B562" s="5"/>
      <c r="C562" s="5"/>
      <c r="D562" s="5"/>
      <c r="E562" s="5"/>
      <c r="F562" s="5"/>
      <c r="G562" s="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8"/>
      <c r="S562" s="9"/>
      <c r="T562" s="8"/>
      <c r="U562" s="8"/>
      <c r="V562" s="8"/>
      <c r="W562" s="10"/>
    </row>
    <row r="563" spans="1:23" x14ac:dyDescent="0.3">
      <c r="A563" s="5"/>
      <c r="B563" s="5"/>
      <c r="C563" s="5"/>
      <c r="D563" s="5"/>
      <c r="E563" s="5"/>
      <c r="F563" s="5"/>
      <c r="G563" s="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8"/>
      <c r="S563" s="9"/>
      <c r="T563" s="8"/>
      <c r="U563" s="8"/>
      <c r="V563" s="8"/>
      <c r="W563" s="10"/>
    </row>
    <row r="564" spans="1:23" x14ac:dyDescent="0.3">
      <c r="A564" s="5"/>
      <c r="B564" s="5"/>
      <c r="C564" s="5"/>
      <c r="D564" s="5"/>
      <c r="E564" s="5"/>
      <c r="F564" s="5"/>
      <c r="G564" s="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8"/>
      <c r="S564" s="9"/>
      <c r="T564" s="8"/>
      <c r="U564" s="8"/>
      <c r="V564" s="8"/>
      <c r="W564" s="10"/>
    </row>
    <row r="565" spans="1:23" x14ac:dyDescent="0.3">
      <c r="A565" s="5"/>
      <c r="B565" s="5"/>
      <c r="C565" s="5"/>
      <c r="D565" s="5"/>
      <c r="E565" s="5"/>
      <c r="F565" s="5"/>
      <c r="G565" s="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8"/>
      <c r="S565" s="9"/>
      <c r="T565" s="8"/>
      <c r="U565" s="8"/>
      <c r="V565" s="8"/>
      <c r="W565" s="10"/>
    </row>
    <row r="566" spans="1:23" x14ac:dyDescent="0.3">
      <c r="A566" s="5"/>
      <c r="B566" s="5"/>
      <c r="C566" s="5"/>
      <c r="D566" s="5"/>
      <c r="E566" s="5"/>
      <c r="F566" s="5"/>
      <c r="G566" s="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8"/>
      <c r="S566" s="9"/>
      <c r="T566" s="8"/>
      <c r="U566" s="8"/>
      <c r="V566" s="8"/>
      <c r="W566" s="10"/>
    </row>
    <row r="567" spans="1:23" x14ac:dyDescent="0.3">
      <c r="A567" s="5"/>
      <c r="B567" s="5"/>
      <c r="C567" s="5"/>
      <c r="D567" s="5"/>
      <c r="E567" s="5"/>
      <c r="F567" s="5"/>
      <c r="G567" s="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8"/>
      <c r="S567" s="9"/>
      <c r="T567" s="8"/>
      <c r="U567" s="8"/>
      <c r="V567" s="8"/>
      <c r="W567" s="10"/>
    </row>
    <row r="568" spans="1:23" x14ac:dyDescent="0.3">
      <c r="A568" s="5"/>
      <c r="B568" s="5"/>
      <c r="C568" s="5"/>
      <c r="D568" s="5"/>
      <c r="E568" s="5"/>
      <c r="F568" s="5"/>
      <c r="G568" s="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8"/>
      <c r="S568" s="9"/>
      <c r="T568" s="8"/>
      <c r="U568" s="8"/>
      <c r="V568" s="8"/>
      <c r="W568" s="10"/>
    </row>
    <row r="569" spans="1:23" x14ac:dyDescent="0.3">
      <c r="A569" s="5"/>
      <c r="B569" s="5"/>
      <c r="C569" s="5"/>
      <c r="D569" s="5"/>
      <c r="E569" s="5"/>
      <c r="F569" s="5"/>
      <c r="G569" s="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8"/>
      <c r="S569" s="9"/>
      <c r="T569" s="8"/>
      <c r="U569" s="8"/>
      <c r="V569" s="8"/>
      <c r="W569" s="10"/>
    </row>
    <row r="570" spans="1:23" x14ac:dyDescent="0.3">
      <c r="A570" s="5"/>
      <c r="B570" s="5"/>
      <c r="C570" s="5"/>
      <c r="D570" s="5"/>
      <c r="E570" s="5"/>
      <c r="F570" s="5"/>
      <c r="G570" s="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8"/>
      <c r="S570" s="9"/>
      <c r="T570" s="8"/>
      <c r="U570" s="8"/>
      <c r="V570" s="8"/>
      <c r="W570" s="10"/>
    </row>
    <row r="571" spans="1:23" x14ac:dyDescent="0.3">
      <c r="A571" s="5"/>
      <c r="B571" s="5"/>
      <c r="C571" s="5"/>
      <c r="D571" s="5"/>
      <c r="E571" s="5"/>
      <c r="F571" s="5"/>
      <c r="G571" s="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8"/>
      <c r="S571" s="9"/>
      <c r="T571" s="8"/>
      <c r="U571" s="8"/>
      <c r="V571" s="8"/>
      <c r="W571" s="10"/>
    </row>
    <row r="572" spans="1:23" x14ac:dyDescent="0.3">
      <c r="A572" s="5"/>
      <c r="B572" s="5"/>
      <c r="C572" s="5"/>
      <c r="D572" s="5"/>
      <c r="E572" s="5"/>
      <c r="F572" s="5"/>
      <c r="G572" s="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8"/>
      <c r="S572" s="9"/>
      <c r="T572" s="8"/>
      <c r="U572" s="8"/>
      <c r="V572" s="8"/>
      <c r="W572" s="10"/>
    </row>
    <row r="573" spans="1:23" x14ac:dyDescent="0.3">
      <c r="A573" s="5"/>
      <c r="B573" s="5"/>
      <c r="C573" s="5"/>
      <c r="D573" s="5"/>
      <c r="E573" s="5"/>
      <c r="F573" s="5"/>
      <c r="G573" s="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8"/>
      <c r="S573" s="9"/>
      <c r="T573" s="8"/>
      <c r="U573" s="8"/>
      <c r="V573" s="8"/>
      <c r="W573" s="10"/>
    </row>
    <row r="574" spans="1:23" x14ac:dyDescent="0.3">
      <c r="A574" s="5"/>
      <c r="B574" s="5"/>
      <c r="C574" s="5"/>
      <c r="D574" s="5"/>
      <c r="E574" s="5"/>
      <c r="F574" s="5"/>
      <c r="G574" s="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8"/>
      <c r="S574" s="9"/>
      <c r="T574" s="8"/>
      <c r="U574" s="8"/>
      <c r="V574" s="8"/>
      <c r="W574" s="10"/>
    </row>
    <row r="575" spans="1:23" x14ac:dyDescent="0.3">
      <c r="A575" s="5"/>
      <c r="B575" s="5"/>
      <c r="C575" s="5"/>
      <c r="D575" s="5"/>
      <c r="E575" s="5"/>
      <c r="F575" s="5"/>
      <c r="G575" s="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8"/>
      <c r="S575" s="9"/>
      <c r="T575" s="8"/>
      <c r="U575" s="8"/>
      <c r="V575" s="8"/>
      <c r="W575" s="10"/>
    </row>
    <row r="576" spans="1:23" x14ac:dyDescent="0.3">
      <c r="A576" s="5"/>
      <c r="B576" s="5"/>
      <c r="C576" s="5"/>
      <c r="D576" s="5"/>
      <c r="E576" s="5"/>
      <c r="F576" s="5"/>
      <c r="G576" s="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8"/>
      <c r="S576" s="9"/>
      <c r="T576" s="8"/>
      <c r="U576" s="8"/>
      <c r="V576" s="8"/>
      <c r="W576" s="10"/>
    </row>
    <row r="577" spans="1:23" x14ac:dyDescent="0.3">
      <c r="A577" s="5"/>
      <c r="B577" s="5"/>
      <c r="C577" s="5"/>
      <c r="D577" s="5"/>
      <c r="E577" s="5"/>
      <c r="F577" s="5"/>
      <c r="G577" s="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8"/>
      <c r="S577" s="9"/>
      <c r="T577" s="8"/>
      <c r="U577" s="8"/>
      <c r="V577" s="8"/>
      <c r="W577" s="10"/>
    </row>
    <row r="578" spans="1:23" x14ac:dyDescent="0.3">
      <c r="A578" s="5"/>
      <c r="B578" s="5"/>
      <c r="C578" s="5"/>
      <c r="D578" s="5"/>
      <c r="E578" s="5"/>
      <c r="F578" s="5"/>
      <c r="G578" s="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8"/>
      <c r="S578" s="9"/>
      <c r="T578" s="8"/>
      <c r="U578" s="8"/>
      <c r="V578" s="8"/>
      <c r="W578" s="10"/>
    </row>
    <row r="579" spans="1:23" x14ac:dyDescent="0.3">
      <c r="A579" s="5"/>
      <c r="B579" s="5"/>
      <c r="C579" s="5"/>
      <c r="D579" s="5"/>
      <c r="E579" s="5"/>
      <c r="F579" s="5"/>
      <c r="G579" s="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8"/>
      <c r="S579" s="9"/>
      <c r="T579" s="8"/>
      <c r="U579" s="8"/>
      <c r="V579" s="8"/>
      <c r="W579" s="10"/>
    </row>
    <row r="580" spans="1:23" x14ac:dyDescent="0.3">
      <c r="A580" s="5"/>
      <c r="B580" s="5"/>
      <c r="C580" s="5"/>
      <c r="D580" s="5"/>
      <c r="E580" s="5"/>
      <c r="F580" s="5"/>
      <c r="G580" s="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8"/>
      <c r="S580" s="9"/>
      <c r="T580" s="8"/>
      <c r="U580" s="8"/>
      <c r="V580" s="8"/>
      <c r="W580" s="10"/>
    </row>
    <row r="581" spans="1:23" x14ac:dyDescent="0.3">
      <c r="A581" s="5"/>
      <c r="B581" s="5"/>
      <c r="C581" s="5"/>
      <c r="D581" s="5"/>
      <c r="E581" s="5"/>
      <c r="F581" s="5"/>
      <c r="G581" s="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8"/>
      <c r="S581" s="9"/>
      <c r="T581" s="8"/>
      <c r="U581" s="8"/>
      <c r="V581" s="8"/>
      <c r="W581" s="10"/>
    </row>
    <row r="582" spans="1:23" x14ac:dyDescent="0.3">
      <c r="A582" s="5"/>
      <c r="B582" s="5"/>
      <c r="C582" s="5"/>
      <c r="D582" s="5"/>
      <c r="E582" s="5"/>
      <c r="F582" s="5"/>
      <c r="G582" s="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8"/>
      <c r="S582" s="9"/>
      <c r="T582" s="8"/>
      <c r="U582" s="8"/>
      <c r="V582" s="8"/>
      <c r="W582" s="10"/>
    </row>
    <row r="583" spans="1:23" x14ac:dyDescent="0.3">
      <c r="A583" s="5"/>
      <c r="B583" s="5"/>
      <c r="C583" s="5"/>
      <c r="D583" s="5"/>
      <c r="E583" s="5"/>
      <c r="F583" s="5"/>
      <c r="G583" s="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8"/>
      <c r="S583" s="9"/>
      <c r="T583" s="8"/>
      <c r="U583" s="8"/>
      <c r="V583" s="8"/>
      <c r="W583" s="10"/>
    </row>
    <row r="584" spans="1:23" x14ac:dyDescent="0.3">
      <c r="A584" s="5"/>
      <c r="B584" s="5"/>
      <c r="C584" s="5"/>
      <c r="D584" s="5"/>
      <c r="E584" s="5"/>
      <c r="F584" s="5"/>
      <c r="G584" s="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8"/>
      <c r="S584" s="9"/>
      <c r="T584" s="8"/>
      <c r="U584" s="8"/>
      <c r="V584" s="8"/>
      <c r="W584" s="10"/>
    </row>
    <row r="585" spans="1:23" x14ac:dyDescent="0.3">
      <c r="A585" s="5"/>
      <c r="B585" s="5"/>
      <c r="C585" s="5"/>
      <c r="D585" s="5"/>
      <c r="E585" s="5"/>
      <c r="F585" s="5"/>
      <c r="G585" s="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8"/>
      <c r="S585" s="9"/>
      <c r="T585" s="8"/>
      <c r="U585" s="8"/>
      <c r="V585" s="8"/>
      <c r="W585" s="10"/>
    </row>
    <row r="586" spans="1:23" x14ac:dyDescent="0.3">
      <c r="A586" s="5"/>
      <c r="B586" s="5"/>
      <c r="C586" s="5"/>
      <c r="D586" s="5"/>
      <c r="E586" s="5"/>
      <c r="F586" s="5"/>
      <c r="G586" s="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8"/>
      <c r="S586" s="9"/>
      <c r="T586" s="8"/>
      <c r="U586" s="8"/>
      <c r="V586" s="8"/>
      <c r="W586" s="10"/>
    </row>
    <row r="587" spans="1:23" x14ac:dyDescent="0.3">
      <c r="A587" s="5"/>
      <c r="B587" s="5"/>
      <c r="C587" s="5"/>
      <c r="D587" s="5"/>
      <c r="E587" s="5"/>
      <c r="F587" s="5"/>
      <c r="G587" s="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8"/>
      <c r="S587" s="9"/>
      <c r="T587" s="8"/>
      <c r="U587" s="8"/>
      <c r="V587" s="8"/>
      <c r="W587" s="10"/>
    </row>
    <row r="588" spans="1:23" x14ac:dyDescent="0.3">
      <c r="A588" s="5"/>
      <c r="B588" s="5"/>
      <c r="C588" s="5"/>
      <c r="D588" s="5"/>
      <c r="E588" s="5"/>
      <c r="F588" s="5"/>
      <c r="G588" s="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8"/>
      <c r="S588" s="9"/>
      <c r="T588" s="8"/>
      <c r="U588" s="8"/>
      <c r="V588" s="8"/>
      <c r="W588" s="10"/>
    </row>
    <row r="589" spans="1:23" x14ac:dyDescent="0.3">
      <c r="A589" s="5"/>
      <c r="B589" s="5"/>
      <c r="C589" s="5"/>
      <c r="D589" s="5"/>
      <c r="E589" s="5"/>
      <c r="F589" s="5"/>
      <c r="G589" s="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8"/>
      <c r="S589" s="9"/>
      <c r="T589" s="8"/>
      <c r="U589" s="8"/>
      <c r="V589" s="8"/>
      <c r="W589" s="10"/>
    </row>
    <row r="590" spans="1:23" x14ac:dyDescent="0.3">
      <c r="A590" s="5"/>
      <c r="B590" s="5"/>
      <c r="C590" s="5"/>
      <c r="D590" s="5"/>
      <c r="E590" s="5"/>
      <c r="F590" s="5"/>
      <c r="G590" s="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8"/>
      <c r="S590" s="9"/>
      <c r="T590" s="8"/>
      <c r="U590" s="8"/>
      <c r="V590" s="8"/>
      <c r="W590" s="10"/>
    </row>
    <row r="591" spans="1:23" x14ac:dyDescent="0.3">
      <c r="A591" s="5"/>
      <c r="B591" s="5"/>
      <c r="C591" s="5"/>
      <c r="D591" s="5"/>
      <c r="E591" s="5"/>
      <c r="F591" s="5"/>
      <c r="G591" s="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8"/>
      <c r="S591" s="9"/>
      <c r="T591" s="8"/>
      <c r="U591" s="8"/>
      <c r="V591" s="8"/>
      <c r="W591" s="10"/>
    </row>
    <row r="592" spans="1:23" x14ac:dyDescent="0.3">
      <c r="A592" s="5"/>
      <c r="B592" s="5"/>
      <c r="C592" s="5"/>
      <c r="D592" s="5"/>
      <c r="E592" s="5"/>
      <c r="F592" s="5"/>
      <c r="G592" s="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8"/>
      <c r="S592" s="9"/>
      <c r="T592" s="8"/>
      <c r="U592" s="8"/>
      <c r="V592" s="8"/>
      <c r="W592" s="10"/>
    </row>
    <row r="593" spans="1:23" x14ac:dyDescent="0.3">
      <c r="A593" s="5"/>
      <c r="B593" s="5"/>
      <c r="C593" s="5"/>
      <c r="D593" s="5"/>
      <c r="E593" s="5"/>
      <c r="F593" s="5"/>
      <c r="G593" s="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8"/>
      <c r="S593" s="9"/>
      <c r="T593" s="8"/>
      <c r="U593" s="8"/>
      <c r="V593" s="8"/>
      <c r="W593" s="10"/>
    </row>
    <row r="594" spans="1:23" x14ac:dyDescent="0.3">
      <c r="A594" s="5"/>
      <c r="B594" s="5"/>
      <c r="C594" s="5"/>
      <c r="D594" s="5"/>
      <c r="E594" s="5"/>
      <c r="F594" s="5"/>
      <c r="G594" s="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8"/>
      <c r="S594" s="9"/>
      <c r="T594" s="8"/>
      <c r="U594" s="8"/>
      <c r="V594" s="8"/>
      <c r="W594" s="10"/>
    </row>
    <row r="595" spans="1:23" x14ac:dyDescent="0.3">
      <c r="A595" s="5"/>
      <c r="B595" s="5"/>
      <c r="C595" s="5"/>
      <c r="D595" s="5"/>
      <c r="E595" s="5"/>
      <c r="F595" s="5"/>
      <c r="G595" s="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8"/>
      <c r="S595" s="9"/>
      <c r="T595" s="8"/>
      <c r="U595" s="8"/>
      <c r="V595" s="8"/>
      <c r="W595" s="10"/>
    </row>
    <row r="596" spans="1:23" x14ac:dyDescent="0.3">
      <c r="A596" s="5"/>
      <c r="B596" s="5"/>
      <c r="C596" s="5"/>
      <c r="D596" s="5"/>
      <c r="E596" s="5"/>
      <c r="F596" s="5"/>
      <c r="G596" s="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8"/>
      <c r="S596" s="9"/>
      <c r="T596" s="8"/>
      <c r="U596" s="8"/>
      <c r="V596" s="8"/>
      <c r="W596" s="10"/>
    </row>
    <row r="597" spans="1:23" x14ac:dyDescent="0.3">
      <c r="A597" s="5"/>
      <c r="B597" s="5"/>
      <c r="C597" s="5"/>
      <c r="D597" s="5"/>
      <c r="E597" s="5"/>
      <c r="F597" s="5"/>
      <c r="G597" s="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8"/>
      <c r="S597" s="9"/>
      <c r="T597" s="8"/>
      <c r="U597" s="8"/>
      <c r="V597" s="8"/>
      <c r="W597" s="10"/>
    </row>
    <row r="598" spans="1:23" x14ac:dyDescent="0.3">
      <c r="A598" s="5"/>
      <c r="B598" s="5"/>
      <c r="C598" s="5"/>
      <c r="D598" s="5"/>
      <c r="E598" s="5"/>
      <c r="F598" s="5"/>
      <c r="G598" s="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8"/>
      <c r="S598" s="9"/>
      <c r="T598" s="8"/>
      <c r="U598" s="8"/>
      <c r="V598" s="8"/>
      <c r="W598" s="10"/>
    </row>
    <row r="599" spans="1:23" x14ac:dyDescent="0.3">
      <c r="A599" s="5"/>
      <c r="B599" s="5"/>
      <c r="C599" s="5"/>
      <c r="D599" s="5"/>
      <c r="E599" s="5"/>
      <c r="F599" s="5"/>
      <c r="G599" s="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8"/>
      <c r="S599" s="9"/>
      <c r="T599" s="8"/>
      <c r="U599" s="8"/>
      <c r="V599" s="8"/>
      <c r="W599" s="10"/>
    </row>
    <row r="600" spans="1:23" x14ac:dyDescent="0.3">
      <c r="A600" s="5"/>
      <c r="B600" s="5"/>
      <c r="C600" s="5"/>
      <c r="D600" s="5"/>
      <c r="E600" s="5"/>
      <c r="F600" s="5"/>
      <c r="G600" s="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8"/>
      <c r="S600" s="9"/>
      <c r="T600" s="8"/>
      <c r="U600" s="8"/>
      <c r="V600" s="8"/>
      <c r="W600" s="10"/>
    </row>
    <row r="601" spans="1:23" x14ac:dyDescent="0.3">
      <c r="A601" s="5"/>
      <c r="B601" s="5"/>
      <c r="C601" s="5"/>
      <c r="D601" s="5"/>
      <c r="E601" s="5"/>
      <c r="F601" s="5"/>
      <c r="G601" s="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8"/>
      <c r="S601" s="9"/>
      <c r="T601" s="8"/>
      <c r="U601" s="8"/>
      <c r="V601" s="8"/>
      <c r="W601" s="10"/>
    </row>
    <row r="602" spans="1:23" x14ac:dyDescent="0.3">
      <c r="A602" s="5"/>
      <c r="B602" s="5"/>
      <c r="C602" s="5"/>
      <c r="D602" s="5"/>
      <c r="E602" s="5"/>
      <c r="F602" s="5"/>
      <c r="G602" s="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8"/>
      <c r="S602" s="9"/>
      <c r="T602" s="8"/>
      <c r="U602" s="8"/>
      <c r="V602" s="8"/>
      <c r="W602" s="10"/>
    </row>
    <row r="603" spans="1:23" x14ac:dyDescent="0.3">
      <c r="A603" s="5"/>
      <c r="B603" s="5"/>
      <c r="C603" s="5"/>
      <c r="D603" s="5"/>
      <c r="E603" s="5"/>
      <c r="F603" s="5"/>
      <c r="G603" s="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8"/>
      <c r="S603" s="9"/>
      <c r="T603" s="8"/>
      <c r="U603" s="8"/>
      <c r="V603" s="8"/>
      <c r="W603" s="10"/>
    </row>
    <row r="604" spans="1:23" x14ac:dyDescent="0.3">
      <c r="A604" s="5"/>
      <c r="B604" s="5"/>
      <c r="C604" s="5"/>
      <c r="D604" s="5"/>
      <c r="E604" s="5"/>
      <c r="F604" s="5"/>
      <c r="G604" s="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8"/>
      <c r="S604" s="9"/>
      <c r="T604" s="8"/>
      <c r="U604" s="8"/>
      <c r="V604" s="8"/>
      <c r="W604" s="10"/>
    </row>
    <row r="605" spans="1:23" x14ac:dyDescent="0.3">
      <c r="A605" s="5"/>
      <c r="B605" s="5"/>
      <c r="C605" s="5"/>
      <c r="D605" s="5"/>
      <c r="E605" s="5"/>
      <c r="F605" s="5"/>
      <c r="G605" s="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8"/>
      <c r="S605" s="9"/>
      <c r="T605" s="8"/>
      <c r="U605" s="8"/>
      <c r="V605" s="8"/>
      <c r="W605" s="10"/>
    </row>
    <row r="606" spans="1:23" x14ac:dyDescent="0.3">
      <c r="A606" s="5"/>
      <c r="B606" s="5"/>
      <c r="C606" s="5"/>
      <c r="D606" s="5"/>
      <c r="E606" s="5"/>
      <c r="F606" s="5"/>
      <c r="G606" s="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8"/>
      <c r="S606" s="9"/>
      <c r="T606" s="8"/>
      <c r="U606" s="8"/>
      <c r="V606" s="8"/>
      <c r="W606" s="10"/>
    </row>
    <row r="607" spans="1:23" x14ac:dyDescent="0.3">
      <c r="A607" s="5"/>
      <c r="B607" s="5"/>
      <c r="C607" s="5"/>
      <c r="D607" s="5"/>
      <c r="E607" s="5"/>
      <c r="F607" s="5"/>
      <c r="G607" s="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8"/>
      <c r="S607" s="9"/>
      <c r="T607" s="8"/>
      <c r="U607" s="8"/>
      <c r="V607" s="8"/>
      <c r="W607" s="10"/>
    </row>
    <row r="608" spans="1:23" x14ac:dyDescent="0.3">
      <c r="A608" s="5"/>
      <c r="B608" s="5"/>
      <c r="C608" s="5"/>
      <c r="D608" s="5"/>
      <c r="E608" s="5"/>
      <c r="F608" s="5"/>
      <c r="G608" s="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8"/>
      <c r="S608" s="9"/>
      <c r="T608" s="8"/>
      <c r="U608" s="8"/>
      <c r="V608" s="8"/>
      <c r="W608" s="10"/>
    </row>
    <row r="609" spans="1:23" x14ac:dyDescent="0.3">
      <c r="A609" s="5"/>
      <c r="B609" s="5"/>
      <c r="C609" s="5"/>
      <c r="D609" s="5"/>
      <c r="E609" s="5"/>
      <c r="F609" s="5"/>
      <c r="G609" s="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8"/>
      <c r="S609" s="9"/>
      <c r="T609" s="8"/>
      <c r="U609" s="8"/>
      <c r="V609" s="8"/>
      <c r="W609" s="10"/>
    </row>
    <row r="610" spans="1:23" x14ac:dyDescent="0.3">
      <c r="A610" s="5"/>
      <c r="B610" s="5"/>
      <c r="C610" s="5"/>
      <c r="D610" s="5"/>
      <c r="E610" s="5"/>
      <c r="F610" s="5"/>
      <c r="G610" s="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8"/>
      <c r="S610" s="9"/>
      <c r="T610" s="8"/>
      <c r="U610" s="8"/>
      <c r="V610" s="8"/>
      <c r="W610" s="10"/>
    </row>
    <row r="611" spans="1:23" x14ac:dyDescent="0.3">
      <c r="A611" s="5"/>
      <c r="B611" s="5"/>
      <c r="C611" s="5"/>
      <c r="D611" s="5"/>
      <c r="E611" s="5"/>
      <c r="F611" s="5"/>
      <c r="G611" s="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8"/>
      <c r="S611" s="9"/>
      <c r="T611" s="8"/>
      <c r="U611" s="8"/>
      <c r="V611" s="8"/>
      <c r="W611" s="10"/>
    </row>
    <row r="612" spans="1:23" x14ac:dyDescent="0.3">
      <c r="A612" s="5"/>
      <c r="B612" s="5"/>
      <c r="C612" s="5"/>
      <c r="D612" s="5"/>
      <c r="E612" s="5"/>
      <c r="F612" s="5"/>
      <c r="G612" s="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8"/>
      <c r="S612" s="9"/>
      <c r="T612" s="8"/>
      <c r="U612" s="8"/>
      <c r="V612" s="8"/>
      <c r="W612" s="10"/>
    </row>
    <row r="613" spans="1:23" x14ac:dyDescent="0.3">
      <c r="A613" s="5"/>
      <c r="B613" s="5"/>
      <c r="C613" s="5"/>
      <c r="D613" s="5"/>
      <c r="E613" s="5"/>
      <c r="F613" s="5"/>
      <c r="G613" s="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8"/>
      <c r="S613" s="9"/>
      <c r="T613" s="8"/>
      <c r="U613" s="8"/>
      <c r="V613" s="8"/>
      <c r="W613" s="10"/>
    </row>
    <row r="614" spans="1:23" x14ac:dyDescent="0.3">
      <c r="A614" s="5"/>
      <c r="B614" s="5"/>
      <c r="C614" s="5"/>
      <c r="D614" s="5"/>
      <c r="E614" s="5"/>
      <c r="F614" s="5"/>
      <c r="G614" s="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8"/>
      <c r="S614" s="9"/>
      <c r="T614" s="8"/>
      <c r="U614" s="8"/>
      <c r="V614" s="8"/>
      <c r="W614" s="10"/>
    </row>
    <row r="615" spans="1:23" x14ac:dyDescent="0.3">
      <c r="A615" s="5"/>
      <c r="B615" s="5"/>
      <c r="C615" s="5"/>
      <c r="D615" s="5"/>
      <c r="E615" s="5"/>
      <c r="F615" s="5"/>
      <c r="G615" s="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8"/>
      <c r="S615" s="9"/>
      <c r="T615" s="8"/>
      <c r="U615" s="8"/>
      <c r="V615" s="8"/>
      <c r="W615" s="10"/>
    </row>
    <row r="616" spans="1:23" x14ac:dyDescent="0.3">
      <c r="A616" s="5"/>
      <c r="B616" s="5"/>
      <c r="C616" s="5"/>
      <c r="D616" s="5"/>
      <c r="E616" s="5"/>
      <c r="F616" s="5"/>
      <c r="G616" s="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8"/>
      <c r="S616" s="9"/>
      <c r="T616" s="8"/>
      <c r="U616" s="8"/>
      <c r="V616" s="8"/>
      <c r="W616" s="10"/>
    </row>
    <row r="617" spans="1:23" x14ac:dyDescent="0.3">
      <c r="A617" s="5"/>
      <c r="B617" s="5"/>
      <c r="C617" s="5"/>
      <c r="D617" s="5"/>
      <c r="E617" s="5"/>
      <c r="F617" s="5"/>
      <c r="G617" s="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8"/>
      <c r="S617" s="9"/>
      <c r="T617" s="8"/>
      <c r="U617" s="8"/>
      <c r="V617" s="8"/>
      <c r="W617" s="10"/>
    </row>
    <row r="618" spans="1:23" x14ac:dyDescent="0.3">
      <c r="A618" s="5"/>
      <c r="B618" s="5"/>
      <c r="C618" s="5"/>
      <c r="D618" s="5"/>
      <c r="E618" s="5"/>
      <c r="F618" s="5"/>
      <c r="G618" s="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8"/>
      <c r="S618" s="9"/>
      <c r="T618" s="8"/>
      <c r="U618" s="8"/>
      <c r="V618" s="8"/>
      <c r="W618" s="10"/>
    </row>
    <row r="619" spans="1:23" x14ac:dyDescent="0.3">
      <c r="A619" s="5"/>
      <c r="B619" s="5"/>
      <c r="C619" s="5"/>
      <c r="D619" s="5"/>
      <c r="E619" s="5"/>
      <c r="F619" s="5"/>
      <c r="G619" s="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8"/>
      <c r="S619" s="9"/>
      <c r="T619" s="8"/>
      <c r="U619" s="8"/>
      <c r="V619" s="8"/>
      <c r="W619" s="10"/>
    </row>
    <row r="620" spans="1:23" x14ac:dyDescent="0.3">
      <c r="A620" s="5"/>
      <c r="B620" s="5"/>
      <c r="C620" s="5"/>
      <c r="D620" s="5"/>
      <c r="E620" s="5"/>
      <c r="F620" s="5"/>
      <c r="G620" s="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8"/>
      <c r="S620" s="9"/>
      <c r="T620" s="8"/>
      <c r="U620" s="8"/>
      <c r="V620" s="8"/>
      <c r="W620" s="10"/>
    </row>
    <row r="621" spans="1:23" x14ac:dyDescent="0.3">
      <c r="A621" s="5"/>
      <c r="B621" s="5"/>
      <c r="C621" s="5"/>
      <c r="D621" s="5"/>
      <c r="E621" s="5"/>
      <c r="F621" s="5"/>
      <c r="G621" s="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8"/>
      <c r="S621" s="9"/>
      <c r="T621" s="8"/>
      <c r="U621" s="8"/>
      <c r="V621" s="8"/>
      <c r="W621" s="10"/>
    </row>
    <row r="622" spans="1:23" x14ac:dyDescent="0.3">
      <c r="A622" s="5"/>
      <c r="B622" s="5"/>
      <c r="C622" s="5"/>
      <c r="D622" s="5"/>
      <c r="E622" s="5"/>
      <c r="F622" s="5"/>
      <c r="G622" s="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8"/>
      <c r="S622" s="9"/>
      <c r="T622" s="8"/>
      <c r="U622" s="8"/>
      <c r="V622" s="8"/>
      <c r="W622" s="10"/>
    </row>
    <row r="623" spans="1:23" x14ac:dyDescent="0.3">
      <c r="A623" s="5"/>
      <c r="B623" s="5"/>
      <c r="C623" s="5"/>
      <c r="D623" s="5"/>
      <c r="E623" s="5"/>
      <c r="F623" s="5"/>
      <c r="G623" s="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8"/>
      <c r="S623" s="9"/>
      <c r="T623" s="8"/>
      <c r="U623" s="8"/>
      <c r="V623" s="8"/>
      <c r="W623" s="10"/>
    </row>
    <row r="624" spans="1:23" x14ac:dyDescent="0.3">
      <c r="A624" s="5"/>
      <c r="B624" s="5"/>
      <c r="C624" s="5"/>
      <c r="D624" s="5"/>
      <c r="E624" s="5"/>
      <c r="F624" s="5"/>
      <c r="G624" s="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8"/>
      <c r="S624" s="9"/>
      <c r="T624" s="8"/>
      <c r="U624" s="8"/>
      <c r="V624" s="8"/>
      <c r="W624" s="10"/>
    </row>
    <row r="625" spans="1:23" x14ac:dyDescent="0.3">
      <c r="A625" s="5"/>
      <c r="B625" s="5"/>
      <c r="C625" s="5"/>
      <c r="D625" s="5"/>
      <c r="E625" s="5"/>
      <c r="F625" s="5"/>
      <c r="G625" s="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8"/>
      <c r="S625" s="9"/>
      <c r="T625" s="8"/>
      <c r="U625" s="8"/>
      <c r="V625" s="8"/>
      <c r="W625" s="10"/>
    </row>
    <row r="626" spans="1:23" x14ac:dyDescent="0.3">
      <c r="A626" s="5"/>
      <c r="B626" s="5"/>
      <c r="C626" s="5"/>
      <c r="D626" s="5"/>
      <c r="E626" s="5"/>
      <c r="F626" s="5"/>
      <c r="G626" s="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8"/>
      <c r="S626" s="9"/>
      <c r="T626" s="8"/>
      <c r="U626" s="8"/>
      <c r="V626" s="8"/>
      <c r="W626" s="10"/>
    </row>
    <row r="627" spans="1:23" x14ac:dyDescent="0.3">
      <c r="A627" s="5"/>
      <c r="B627" s="5"/>
      <c r="C627" s="5"/>
      <c r="D627" s="5"/>
      <c r="E627" s="5"/>
      <c r="F627" s="5"/>
      <c r="G627" s="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8"/>
      <c r="S627" s="9"/>
      <c r="T627" s="8"/>
      <c r="U627" s="8"/>
      <c r="V627" s="8"/>
      <c r="W627" s="10"/>
    </row>
    <row r="628" spans="1:23" x14ac:dyDescent="0.3">
      <c r="A628" s="5"/>
      <c r="B628" s="5"/>
      <c r="C628" s="5"/>
      <c r="D628" s="5"/>
      <c r="E628" s="5"/>
      <c r="F628" s="5"/>
      <c r="G628" s="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8"/>
      <c r="S628" s="9"/>
      <c r="T628" s="8"/>
      <c r="U628" s="8"/>
      <c r="V628" s="8"/>
      <c r="W628" s="10"/>
    </row>
    <row r="629" spans="1:23" x14ac:dyDescent="0.3">
      <c r="A629" s="5"/>
      <c r="B629" s="5"/>
      <c r="C629" s="5"/>
      <c r="D629" s="5"/>
      <c r="E629" s="5"/>
      <c r="F629" s="5"/>
      <c r="G629" s="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8"/>
      <c r="S629" s="9"/>
      <c r="T629" s="8"/>
      <c r="U629" s="8"/>
      <c r="V629" s="8"/>
      <c r="W629" s="10"/>
    </row>
    <row r="630" spans="1:23" x14ac:dyDescent="0.3">
      <c r="A630" s="5"/>
      <c r="B630" s="5"/>
      <c r="C630" s="5"/>
      <c r="D630" s="5"/>
      <c r="E630" s="5"/>
      <c r="F630" s="5"/>
      <c r="G630" s="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8"/>
      <c r="S630" s="9"/>
      <c r="T630" s="8"/>
      <c r="U630" s="8"/>
      <c r="V630" s="8"/>
      <c r="W630" s="10"/>
    </row>
    <row r="631" spans="1:23" x14ac:dyDescent="0.3">
      <c r="A631" s="5"/>
      <c r="B631" s="5"/>
      <c r="C631" s="5"/>
      <c r="D631" s="5"/>
      <c r="E631" s="5"/>
      <c r="F631" s="5"/>
      <c r="G631" s="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8"/>
      <c r="S631" s="9"/>
      <c r="T631" s="8"/>
      <c r="U631" s="8"/>
      <c r="V631" s="8"/>
      <c r="W631" s="10"/>
    </row>
    <row r="632" spans="1:23" x14ac:dyDescent="0.3">
      <c r="A632" s="5"/>
      <c r="B632" s="5"/>
      <c r="C632" s="5"/>
      <c r="D632" s="5"/>
      <c r="E632" s="5"/>
      <c r="F632" s="5"/>
      <c r="G632" s="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8"/>
      <c r="S632" s="9"/>
      <c r="T632" s="8"/>
      <c r="U632" s="8"/>
      <c r="V632" s="8"/>
      <c r="W632" s="10"/>
    </row>
    <row r="633" spans="1:23" x14ac:dyDescent="0.3">
      <c r="A633" s="5"/>
      <c r="B633" s="5"/>
      <c r="C633" s="5"/>
      <c r="D633" s="5"/>
      <c r="E633" s="5"/>
      <c r="F633" s="5"/>
      <c r="G633" s="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8"/>
      <c r="S633" s="9"/>
      <c r="T633" s="8"/>
      <c r="U633" s="8"/>
      <c r="V633" s="8"/>
      <c r="W633" s="10"/>
    </row>
    <row r="634" spans="1:23" x14ac:dyDescent="0.3">
      <c r="A634" s="5"/>
      <c r="B634" s="5"/>
      <c r="C634" s="5"/>
      <c r="D634" s="5"/>
      <c r="E634" s="5"/>
      <c r="F634" s="5"/>
      <c r="G634" s="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8"/>
      <c r="S634" s="9"/>
      <c r="T634" s="8"/>
      <c r="U634" s="8"/>
      <c r="V634" s="8"/>
      <c r="W634" s="10"/>
    </row>
    <row r="635" spans="1:23" x14ac:dyDescent="0.3">
      <c r="A635" s="5"/>
      <c r="B635" s="5"/>
      <c r="C635" s="5"/>
      <c r="D635" s="5"/>
      <c r="E635" s="5"/>
      <c r="F635" s="5"/>
      <c r="G635" s="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8"/>
      <c r="S635" s="9"/>
      <c r="T635" s="8"/>
      <c r="U635" s="8"/>
      <c r="V635" s="8"/>
      <c r="W635" s="10"/>
    </row>
    <row r="636" spans="1:23" x14ac:dyDescent="0.3">
      <c r="A636" s="5"/>
      <c r="B636" s="5"/>
      <c r="C636" s="5"/>
      <c r="D636" s="5"/>
      <c r="E636" s="5"/>
      <c r="F636" s="5"/>
      <c r="G636" s="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8"/>
      <c r="S636" s="9"/>
      <c r="T636" s="8"/>
      <c r="U636" s="8"/>
      <c r="V636" s="8"/>
      <c r="W636" s="10"/>
    </row>
    <row r="637" spans="1:23" x14ac:dyDescent="0.3">
      <c r="A637" s="5"/>
      <c r="B637" s="5"/>
      <c r="C637" s="5"/>
      <c r="D637" s="5"/>
      <c r="E637" s="5"/>
      <c r="F637" s="5"/>
      <c r="G637" s="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8"/>
      <c r="S637" s="9"/>
      <c r="T637" s="8"/>
      <c r="U637" s="8"/>
      <c r="V637" s="8"/>
      <c r="W637" s="10"/>
    </row>
    <row r="638" spans="1:23" x14ac:dyDescent="0.3">
      <c r="A638" s="5"/>
      <c r="B638" s="5"/>
      <c r="C638" s="5"/>
      <c r="D638" s="5"/>
      <c r="E638" s="5"/>
      <c r="F638" s="5"/>
      <c r="G638" s="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8"/>
      <c r="S638" s="9"/>
      <c r="T638" s="8"/>
      <c r="U638" s="8"/>
      <c r="V638" s="8"/>
      <c r="W638" s="10"/>
    </row>
    <row r="639" spans="1:23" x14ac:dyDescent="0.3">
      <c r="A639" s="5"/>
      <c r="B639" s="5"/>
      <c r="C639" s="5"/>
      <c r="D639" s="5"/>
      <c r="E639" s="5"/>
      <c r="F639" s="5"/>
      <c r="G639" s="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8"/>
      <c r="S639" s="9"/>
      <c r="T639" s="8"/>
      <c r="U639" s="8"/>
      <c r="V639" s="8"/>
      <c r="W639" s="10"/>
    </row>
    <row r="640" spans="1:23" x14ac:dyDescent="0.3">
      <c r="A640" s="5"/>
      <c r="B640" s="5"/>
      <c r="C640" s="5"/>
      <c r="D640" s="5"/>
      <c r="E640" s="5"/>
      <c r="F640" s="5"/>
      <c r="G640" s="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8"/>
      <c r="S640" s="9"/>
      <c r="T640" s="8"/>
      <c r="U640" s="8"/>
      <c r="V640" s="8"/>
      <c r="W640" s="10"/>
    </row>
    <row r="641" spans="1:23" x14ac:dyDescent="0.3">
      <c r="A641" s="5"/>
      <c r="B641" s="5"/>
      <c r="C641" s="5"/>
      <c r="D641" s="5"/>
      <c r="E641" s="5"/>
      <c r="F641" s="5"/>
      <c r="G641" s="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8"/>
      <c r="S641" s="9"/>
      <c r="T641" s="8"/>
      <c r="U641" s="8"/>
      <c r="V641" s="8"/>
      <c r="W641" s="10"/>
    </row>
    <row r="642" spans="1:23" x14ac:dyDescent="0.3">
      <c r="A642" s="5"/>
      <c r="B642" s="5"/>
      <c r="C642" s="5"/>
      <c r="D642" s="5"/>
      <c r="E642" s="5"/>
      <c r="F642" s="5"/>
      <c r="G642" s="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8"/>
      <c r="S642" s="9"/>
      <c r="T642" s="8"/>
      <c r="U642" s="8"/>
      <c r="V642" s="8"/>
      <c r="W642" s="10"/>
    </row>
    <row r="643" spans="1:23" x14ac:dyDescent="0.3">
      <c r="A643" s="5"/>
      <c r="B643" s="5"/>
      <c r="C643" s="5"/>
      <c r="D643" s="5"/>
      <c r="E643" s="5"/>
      <c r="F643" s="5"/>
      <c r="G643" s="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8"/>
      <c r="S643" s="9"/>
      <c r="T643" s="8"/>
      <c r="U643" s="8"/>
      <c r="V643" s="8"/>
      <c r="W643" s="10"/>
    </row>
    <row r="644" spans="1:23" x14ac:dyDescent="0.3">
      <c r="A644" s="5"/>
      <c r="B644" s="5"/>
      <c r="C644" s="5"/>
      <c r="D644" s="5"/>
      <c r="E644" s="5"/>
      <c r="F644" s="5"/>
      <c r="G644" s="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8"/>
      <c r="S644" s="9"/>
      <c r="T644" s="8"/>
      <c r="U644" s="8"/>
      <c r="V644" s="8"/>
      <c r="W644" s="10"/>
    </row>
    <row r="645" spans="1:23" x14ac:dyDescent="0.3">
      <c r="A645" s="5"/>
      <c r="B645" s="5"/>
      <c r="C645" s="5"/>
      <c r="D645" s="5"/>
      <c r="E645" s="5"/>
      <c r="F645" s="5"/>
      <c r="G645" s="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8"/>
      <c r="S645" s="9"/>
      <c r="T645" s="8"/>
      <c r="U645" s="8"/>
      <c r="V645" s="8"/>
      <c r="W645" s="10"/>
    </row>
    <row r="646" spans="1:23" x14ac:dyDescent="0.3">
      <c r="A646" s="5"/>
      <c r="B646" s="5"/>
      <c r="C646" s="5"/>
      <c r="D646" s="5"/>
      <c r="E646" s="5"/>
      <c r="F646" s="5"/>
      <c r="G646" s="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8"/>
      <c r="S646" s="9"/>
      <c r="T646" s="8"/>
      <c r="U646" s="8"/>
      <c r="V646" s="8"/>
      <c r="W646" s="10"/>
    </row>
    <row r="647" spans="1:23" x14ac:dyDescent="0.3">
      <c r="A647" s="5"/>
      <c r="B647" s="5"/>
      <c r="C647" s="5"/>
      <c r="D647" s="5"/>
      <c r="E647" s="5"/>
      <c r="F647" s="5"/>
      <c r="G647" s="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8"/>
      <c r="S647" s="9"/>
      <c r="T647" s="8"/>
      <c r="U647" s="8"/>
      <c r="V647" s="8"/>
      <c r="W647" s="10"/>
    </row>
    <row r="648" spans="1:23" x14ac:dyDescent="0.3">
      <c r="A648" s="5"/>
      <c r="B648" s="5"/>
      <c r="C648" s="5"/>
      <c r="D648" s="5"/>
      <c r="E648" s="5"/>
      <c r="F648" s="5"/>
      <c r="G648" s="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8"/>
      <c r="S648" s="9"/>
      <c r="T648" s="8"/>
      <c r="U648" s="8"/>
      <c r="V648" s="8"/>
      <c r="W648" s="10"/>
    </row>
    <row r="649" spans="1:23" x14ac:dyDescent="0.3">
      <c r="A649" s="5"/>
      <c r="B649" s="5"/>
      <c r="C649" s="5"/>
      <c r="D649" s="5"/>
      <c r="E649" s="5"/>
      <c r="F649" s="5"/>
      <c r="G649" s="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8"/>
      <c r="S649" s="9"/>
      <c r="T649" s="8"/>
      <c r="U649" s="8"/>
      <c r="V649" s="8"/>
      <c r="W649" s="10"/>
    </row>
    <row r="650" spans="1:23" x14ac:dyDescent="0.3">
      <c r="A650" s="5"/>
      <c r="B650" s="5"/>
      <c r="C650" s="5"/>
      <c r="D650" s="5"/>
      <c r="E650" s="5"/>
      <c r="F650" s="5"/>
      <c r="G650" s="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8"/>
      <c r="S650" s="9"/>
      <c r="T650" s="8"/>
      <c r="U650" s="8"/>
      <c r="V650" s="8"/>
      <c r="W650" s="10"/>
    </row>
    <row r="651" spans="1:23" x14ac:dyDescent="0.3">
      <c r="A651" s="5"/>
      <c r="B651" s="5"/>
      <c r="C651" s="5"/>
      <c r="D651" s="5"/>
      <c r="E651" s="5"/>
      <c r="F651" s="5"/>
      <c r="G651" s="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8"/>
      <c r="S651" s="9"/>
      <c r="T651" s="8"/>
      <c r="U651" s="8"/>
      <c r="V651" s="8"/>
      <c r="W651" s="10"/>
    </row>
    <row r="652" spans="1:23" x14ac:dyDescent="0.3">
      <c r="A652" s="5"/>
      <c r="B652" s="5"/>
      <c r="C652" s="5"/>
      <c r="D652" s="5"/>
      <c r="E652" s="5"/>
      <c r="F652" s="5"/>
      <c r="G652" s="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8"/>
      <c r="S652" s="9"/>
      <c r="T652" s="8"/>
      <c r="U652" s="8"/>
      <c r="V652" s="8"/>
      <c r="W652" s="10"/>
    </row>
    <row r="653" spans="1:23" x14ac:dyDescent="0.3">
      <c r="A653" s="5"/>
      <c r="B653" s="5"/>
      <c r="C653" s="5"/>
      <c r="D653" s="5"/>
      <c r="E653" s="5"/>
      <c r="F653" s="5"/>
      <c r="G653" s="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8"/>
      <c r="S653" s="9"/>
      <c r="T653" s="8"/>
      <c r="U653" s="8"/>
      <c r="V653" s="8"/>
      <c r="W653" s="10"/>
    </row>
    <row r="654" spans="1:23" x14ac:dyDescent="0.3">
      <c r="A654" s="5"/>
      <c r="B654" s="5"/>
      <c r="C654" s="5"/>
      <c r="D654" s="5"/>
      <c r="E654" s="5"/>
      <c r="F654" s="5"/>
      <c r="G654" s="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8"/>
      <c r="S654" s="9"/>
      <c r="T654" s="8"/>
      <c r="U654" s="8"/>
      <c r="V654" s="8"/>
      <c r="W654" s="10"/>
    </row>
    <row r="655" spans="1:23" x14ac:dyDescent="0.3">
      <c r="A655" s="5"/>
      <c r="B655" s="5"/>
      <c r="C655" s="5"/>
      <c r="D655" s="5"/>
      <c r="E655" s="5"/>
      <c r="F655" s="5"/>
      <c r="G655" s="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8"/>
      <c r="S655" s="9"/>
      <c r="T655" s="8"/>
      <c r="U655" s="8"/>
      <c r="V655" s="8"/>
      <c r="W655" s="10"/>
    </row>
    <row r="656" spans="1:23" x14ac:dyDescent="0.3">
      <c r="A656" s="5"/>
      <c r="B656" s="5"/>
      <c r="C656" s="5"/>
      <c r="D656" s="5"/>
      <c r="E656" s="5"/>
      <c r="F656" s="5"/>
      <c r="G656" s="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8"/>
      <c r="S656" s="9"/>
      <c r="T656" s="8"/>
      <c r="U656" s="8"/>
      <c r="V656" s="8"/>
      <c r="W656" s="10"/>
    </row>
    <row r="657" spans="1:23" x14ac:dyDescent="0.3">
      <c r="A657" s="5"/>
      <c r="B657" s="5"/>
      <c r="C657" s="5"/>
      <c r="D657" s="5"/>
      <c r="E657" s="5"/>
      <c r="F657" s="5"/>
      <c r="G657" s="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8"/>
      <c r="S657" s="9"/>
      <c r="T657" s="8"/>
      <c r="U657" s="8"/>
      <c r="V657" s="8"/>
      <c r="W657" s="10"/>
    </row>
    <row r="658" spans="1:23" x14ac:dyDescent="0.3">
      <c r="A658" s="5"/>
      <c r="B658" s="5"/>
      <c r="C658" s="5"/>
      <c r="D658" s="5"/>
      <c r="E658" s="5"/>
      <c r="F658" s="5"/>
      <c r="G658" s="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8"/>
      <c r="S658" s="9"/>
      <c r="T658" s="8"/>
      <c r="U658" s="8"/>
      <c r="V658" s="8"/>
      <c r="W658" s="10"/>
    </row>
    <row r="659" spans="1:23" x14ac:dyDescent="0.3">
      <c r="A659" s="5"/>
      <c r="B659" s="5"/>
      <c r="C659" s="5"/>
      <c r="D659" s="5"/>
      <c r="E659" s="5"/>
      <c r="F659" s="5"/>
      <c r="G659" s="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8"/>
      <c r="S659" s="9"/>
      <c r="T659" s="8"/>
      <c r="U659" s="8"/>
      <c r="V659" s="8"/>
      <c r="W659" s="10"/>
    </row>
    <row r="660" spans="1:23" x14ac:dyDescent="0.3">
      <c r="A660" s="5"/>
      <c r="B660" s="5"/>
      <c r="C660" s="5"/>
      <c r="D660" s="5"/>
      <c r="E660" s="5"/>
      <c r="F660" s="5"/>
      <c r="G660" s="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8"/>
      <c r="S660" s="9"/>
      <c r="T660" s="8"/>
      <c r="U660" s="8"/>
      <c r="V660" s="8"/>
      <c r="W660" s="10"/>
    </row>
    <row r="661" spans="1:23" x14ac:dyDescent="0.3">
      <c r="A661" s="5"/>
      <c r="B661" s="5"/>
      <c r="C661" s="5"/>
      <c r="D661" s="5"/>
      <c r="E661" s="5"/>
      <c r="F661" s="5"/>
      <c r="G661" s="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8"/>
      <c r="S661" s="9"/>
      <c r="T661" s="8"/>
      <c r="U661" s="8"/>
      <c r="V661" s="8"/>
      <c r="W661" s="10"/>
    </row>
    <row r="662" spans="1:23" x14ac:dyDescent="0.3">
      <c r="A662" s="5"/>
      <c r="B662" s="5"/>
      <c r="C662" s="5"/>
      <c r="D662" s="5"/>
      <c r="E662" s="5"/>
      <c r="F662" s="5"/>
      <c r="G662" s="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8"/>
      <c r="S662" s="9"/>
      <c r="T662" s="8"/>
      <c r="U662" s="8"/>
      <c r="V662" s="8"/>
      <c r="W662" s="10"/>
    </row>
    <row r="663" spans="1:23" x14ac:dyDescent="0.3">
      <c r="A663" s="5"/>
      <c r="B663" s="5"/>
      <c r="C663" s="5"/>
      <c r="D663" s="5"/>
      <c r="E663" s="5"/>
      <c r="F663" s="5"/>
      <c r="G663" s="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8"/>
      <c r="S663" s="9"/>
      <c r="T663" s="8"/>
      <c r="U663" s="8"/>
      <c r="V663" s="8"/>
      <c r="W663" s="10"/>
    </row>
    <row r="664" spans="1:23" x14ac:dyDescent="0.3">
      <c r="A664" s="5"/>
      <c r="B664" s="5"/>
      <c r="C664" s="5"/>
      <c r="D664" s="5"/>
      <c r="E664" s="5"/>
      <c r="F664" s="5"/>
      <c r="G664" s="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8"/>
      <c r="S664" s="9"/>
      <c r="T664" s="8"/>
      <c r="U664" s="8"/>
      <c r="V664" s="8"/>
      <c r="W664" s="10"/>
    </row>
    <row r="665" spans="1:23" x14ac:dyDescent="0.3">
      <c r="A665" s="5"/>
      <c r="B665" s="5"/>
      <c r="C665" s="5"/>
      <c r="D665" s="5"/>
      <c r="E665" s="5"/>
      <c r="F665" s="5"/>
      <c r="G665" s="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8"/>
      <c r="S665" s="9"/>
      <c r="T665" s="8"/>
      <c r="U665" s="8"/>
      <c r="V665" s="8"/>
      <c r="W665" s="10"/>
    </row>
    <row r="666" spans="1:23" x14ac:dyDescent="0.3">
      <c r="A666" s="5"/>
      <c r="B666" s="5"/>
      <c r="C666" s="5"/>
      <c r="D666" s="5"/>
      <c r="E666" s="5"/>
      <c r="F666" s="5"/>
      <c r="G666" s="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8"/>
      <c r="S666" s="9"/>
      <c r="T666" s="8"/>
      <c r="U666" s="8"/>
      <c r="V666" s="8"/>
      <c r="W666" s="10"/>
    </row>
    <row r="667" spans="1:23" x14ac:dyDescent="0.3">
      <c r="A667" s="5"/>
      <c r="B667" s="5"/>
      <c r="C667" s="5"/>
      <c r="D667" s="5"/>
      <c r="E667" s="5"/>
      <c r="F667" s="5"/>
      <c r="G667" s="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8"/>
      <c r="S667" s="9"/>
      <c r="T667" s="8"/>
      <c r="U667" s="8"/>
      <c r="V667" s="8"/>
      <c r="W667" s="10"/>
    </row>
    <row r="668" spans="1:23" x14ac:dyDescent="0.3">
      <c r="A668" s="5"/>
      <c r="B668" s="5"/>
      <c r="C668" s="5"/>
      <c r="D668" s="5"/>
      <c r="E668" s="5"/>
      <c r="F668" s="5"/>
      <c r="G668" s="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8"/>
      <c r="S668" s="9"/>
      <c r="T668" s="8"/>
      <c r="U668" s="8"/>
      <c r="V668" s="8"/>
      <c r="W668" s="10"/>
    </row>
    <row r="669" spans="1:23" x14ac:dyDescent="0.3">
      <c r="A669" s="5"/>
      <c r="B669" s="5"/>
      <c r="C669" s="5"/>
      <c r="D669" s="5"/>
      <c r="E669" s="5"/>
      <c r="F669" s="5"/>
      <c r="G669" s="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8"/>
      <c r="S669" s="9"/>
      <c r="T669" s="8"/>
      <c r="U669" s="8"/>
      <c r="V669" s="8"/>
      <c r="W669" s="10"/>
    </row>
    <row r="670" spans="1:23" x14ac:dyDescent="0.3">
      <c r="A670" s="5"/>
      <c r="B670" s="5"/>
      <c r="C670" s="5"/>
      <c r="D670" s="5"/>
      <c r="E670" s="5"/>
      <c r="F670" s="5"/>
      <c r="G670" s="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8"/>
      <c r="S670" s="9"/>
      <c r="T670" s="8"/>
      <c r="U670" s="8"/>
      <c r="V670" s="8"/>
      <c r="W670" s="10"/>
    </row>
    <row r="671" spans="1:23" x14ac:dyDescent="0.3">
      <c r="A671" s="5"/>
      <c r="B671" s="5"/>
      <c r="C671" s="5"/>
      <c r="D671" s="5"/>
      <c r="E671" s="5"/>
      <c r="F671" s="5"/>
      <c r="G671" s="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8"/>
      <c r="S671" s="9"/>
      <c r="T671" s="8"/>
      <c r="U671" s="8"/>
      <c r="V671" s="8"/>
      <c r="W671" s="10"/>
    </row>
    <row r="672" spans="1:23" x14ac:dyDescent="0.3">
      <c r="A672" s="5"/>
      <c r="B672" s="5"/>
      <c r="C672" s="5"/>
      <c r="D672" s="5"/>
      <c r="E672" s="5"/>
      <c r="F672" s="5"/>
      <c r="G672" s="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8"/>
      <c r="S672" s="9"/>
      <c r="T672" s="8"/>
      <c r="U672" s="8"/>
      <c r="V672" s="8"/>
      <c r="W672" s="10"/>
    </row>
    <row r="673" spans="1:23" x14ac:dyDescent="0.3">
      <c r="A673" s="5"/>
      <c r="B673" s="5"/>
      <c r="C673" s="5"/>
      <c r="D673" s="5"/>
      <c r="E673" s="5"/>
      <c r="F673" s="5"/>
      <c r="G673" s="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8"/>
      <c r="S673" s="9"/>
      <c r="T673" s="8"/>
      <c r="U673" s="8"/>
      <c r="V673" s="8"/>
      <c r="W673" s="10"/>
    </row>
    <row r="674" spans="1:23" x14ac:dyDescent="0.3">
      <c r="A674" s="5"/>
      <c r="B674" s="5"/>
      <c r="C674" s="5"/>
      <c r="D674" s="5"/>
      <c r="E674" s="5"/>
      <c r="F674" s="5"/>
      <c r="G674" s="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8"/>
      <c r="S674" s="9"/>
      <c r="T674" s="8"/>
      <c r="U674" s="8"/>
      <c r="V674" s="8"/>
      <c r="W674" s="10"/>
    </row>
    <row r="675" spans="1:23" x14ac:dyDescent="0.3">
      <c r="A675" s="5"/>
      <c r="B675" s="5"/>
      <c r="C675" s="5"/>
      <c r="D675" s="5"/>
      <c r="E675" s="5"/>
      <c r="F675" s="5"/>
      <c r="G675" s="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8"/>
      <c r="S675" s="9"/>
      <c r="T675" s="8"/>
      <c r="U675" s="8"/>
      <c r="V675" s="8"/>
      <c r="W675" s="10"/>
    </row>
    <row r="676" spans="1:23" x14ac:dyDescent="0.3">
      <c r="A676" s="5"/>
      <c r="B676" s="5"/>
      <c r="C676" s="5"/>
      <c r="D676" s="5"/>
      <c r="E676" s="5"/>
      <c r="F676" s="5"/>
      <c r="G676" s="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8"/>
      <c r="S676" s="9"/>
      <c r="T676" s="8"/>
      <c r="U676" s="8"/>
      <c r="V676" s="8"/>
      <c r="W676" s="10"/>
    </row>
    <row r="677" spans="1:23" x14ac:dyDescent="0.3">
      <c r="A677" s="5"/>
      <c r="B677" s="5"/>
      <c r="C677" s="5"/>
      <c r="D677" s="5"/>
      <c r="E677" s="5"/>
      <c r="F677" s="5"/>
      <c r="G677" s="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8"/>
      <c r="S677" s="9"/>
      <c r="T677" s="8"/>
      <c r="U677" s="8"/>
      <c r="V677" s="8"/>
      <c r="W677" s="10"/>
    </row>
    <row r="678" spans="1:23" x14ac:dyDescent="0.3">
      <c r="A678" s="5"/>
      <c r="B678" s="5"/>
      <c r="C678" s="5"/>
      <c r="D678" s="5"/>
      <c r="E678" s="5"/>
      <c r="F678" s="5"/>
      <c r="G678" s="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8"/>
      <c r="S678" s="9"/>
      <c r="T678" s="8"/>
      <c r="U678" s="8"/>
      <c r="V678" s="8"/>
      <c r="W678" s="10"/>
    </row>
    <row r="679" spans="1:23" x14ac:dyDescent="0.3">
      <c r="A679" s="5"/>
      <c r="B679" s="5"/>
      <c r="C679" s="5"/>
      <c r="D679" s="5"/>
      <c r="E679" s="5"/>
      <c r="F679" s="5"/>
      <c r="G679" s="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8"/>
      <c r="S679" s="9"/>
      <c r="T679" s="8"/>
      <c r="U679" s="8"/>
      <c r="V679" s="8"/>
      <c r="W679" s="10"/>
    </row>
    <row r="680" spans="1:23" x14ac:dyDescent="0.3">
      <c r="A680" s="5"/>
      <c r="B680" s="5"/>
      <c r="C680" s="5"/>
      <c r="D680" s="5"/>
      <c r="E680" s="5"/>
      <c r="F680" s="5"/>
      <c r="G680" s="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8"/>
      <c r="S680" s="9"/>
      <c r="T680" s="8"/>
      <c r="U680" s="8"/>
      <c r="V680" s="8"/>
      <c r="W680" s="10"/>
    </row>
    <row r="681" spans="1:23" x14ac:dyDescent="0.3">
      <c r="A681" s="5"/>
      <c r="B681" s="5"/>
      <c r="C681" s="5"/>
      <c r="D681" s="5"/>
      <c r="E681" s="5"/>
      <c r="F681" s="5"/>
      <c r="G681" s="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8"/>
      <c r="S681" s="9"/>
      <c r="T681" s="8"/>
      <c r="U681" s="8"/>
      <c r="V681" s="8"/>
      <c r="W681" s="10"/>
    </row>
    <row r="682" spans="1:23" x14ac:dyDescent="0.3">
      <c r="A682" s="5"/>
      <c r="B682" s="5"/>
      <c r="C682" s="5"/>
      <c r="D682" s="5"/>
      <c r="E682" s="5"/>
      <c r="F682" s="5"/>
      <c r="G682" s="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8"/>
      <c r="S682" s="9"/>
      <c r="T682" s="8"/>
      <c r="U682" s="8"/>
      <c r="V682" s="8"/>
      <c r="W682" s="10"/>
    </row>
    <row r="683" spans="1:23" x14ac:dyDescent="0.3">
      <c r="A683" s="5"/>
      <c r="B683" s="5"/>
      <c r="C683" s="5"/>
      <c r="D683" s="5"/>
      <c r="E683" s="5"/>
      <c r="F683" s="5"/>
      <c r="G683" s="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8"/>
      <c r="S683" s="9"/>
      <c r="T683" s="8"/>
      <c r="U683" s="8"/>
      <c r="V683" s="8"/>
      <c r="W683" s="10"/>
    </row>
    <row r="684" spans="1:23" x14ac:dyDescent="0.3">
      <c r="A684" s="5"/>
      <c r="B684" s="5"/>
      <c r="C684" s="5"/>
      <c r="D684" s="5"/>
      <c r="E684" s="5"/>
      <c r="F684" s="5"/>
      <c r="G684" s="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8"/>
      <c r="S684" s="9"/>
      <c r="T684" s="8"/>
      <c r="U684" s="8"/>
      <c r="V684" s="8"/>
      <c r="W684" s="10"/>
    </row>
    <row r="685" spans="1:23" x14ac:dyDescent="0.3">
      <c r="A685" s="5"/>
      <c r="B685" s="5"/>
      <c r="C685" s="5"/>
      <c r="D685" s="5"/>
      <c r="E685" s="5"/>
      <c r="F685" s="5"/>
      <c r="G685" s="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8"/>
      <c r="S685" s="9"/>
      <c r="T685" s="8"/>
      <c r="U685" s="8"/>
      <c r="V685" s="8"/>
      <c r="W685" s="10"/>
    </row>
    <row r="686" spans="1:23" x14ac:dyDescent="0.3">
      <c r="A686" s="5"/>
      <c r="B686" s="5"/>
      <c r="C686" s="5"/>
      <c r="D686" s="5"/>
      <c r="E686" s="5"/>
      <c r="F686" s="5"/>
      <c r="G686" s="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8"/>
      <c r="S686" s="9"/>
      <c r="T686" s="8"/>
      <c r="U686" s="8"/>
      <c r="V686" s="8"/>
      <c r="W686" s="10"/>
    </row>
    <row r="687" spans="1:23" x14ac:dyDescent="0.3">
      <c r="A687" s="5"/>
      <c r="B687" s="5"/>
      <c r="C687" s="5"/>
      <c r="D687" s="5"/>
      <c r="E687" s="5"/>
      <c r="F687" s="5"/>
      <c r="G687" s="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8"/>
      <c r="S687" s="9"/>
      <c r="T687" s="8"/>
      <c r="U687" s="8"/>
      <c r="V687" s="8"/>
      <c r="W687" s="10"/>
    </row>
    <row r="688" spans="1:23" x14ac:dyDescent="0.3">
      <c r="A688" s="5"/>
      <c r="B688" s="5"/>
      <c r="C688" s="5"/>
      <c r="D688" s="5"/>
      <c r="E688" s="5"/>
      <c r="F688" s="5"/>
      <c r="G688" s="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8"/>
      <c r="S688" s="9"/>
      <c r="T688" s="8"/>
      <c r="U688" s="8"/>
      <c r="V688" s="8"/>
      <c r="W688" s="10"/>
    </row>
    <row r="689" spans="1:23" x14ac:dyDescent="0.3">
      <c r="A689" s="5"/>
      <c r="B689" s="5"/>
      <c r="C689" s="5"/>
      <c r="D689" s="5"/>
      <c r="E689" s="5"/>
      <c r="F689" s="5"/>
      <c r="G689" s="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8"/>
      <c r="S689" s="9"/>
      <c r="T689" s="8"/>
      <c r="U689" s="8"/>
      <c r="V689" s="8"/>
      <c r="W689" s="10"/>
    </row>
    <row r="690" spans="1:23" x14ac:dyDescent="0.3">
      <c r="A690" s="5"/>
      <c r="B690" s="5"/>
      <c r="C690" s="5"/>
      <c r="D690" s="5"/>
      <c r="E690" s="5"/>
      <c r="F690" s="5"/>
      <c r="G690" s="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8"/>
      <c r="S690" s="9"/>
      <c r="T690" s="8"/>
      <c r="U690" s="8"/>
      <c r="V690" s="8"/>
      <c r="W690" s="10"/>
    </row>
    <row r="691" spans="1:23" x14ac:dyDescent="0.3">
      <c r="A691" s="5"/>
      <c r="B691" s="5"/>
      <c r="C691" s="5"/>
      <c r="D691" s="5"/>
      <c r="E691" s="5"/>
      <c r="F691" s="5"/>
      <c r="G691" s="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8"/>
      <c r="S691" s="9"/>
      <c r="T691" s="8"/>
      <c r="U691" s="8"/>
      <c r="V691" s="8"/>
      <c r="W691" s="10"/>
    </row>
    <row r="692" spans="1:23" x14ac:dyDescent="0.3">
      <c r="A692" s="5"/>
      <c r="B692" s="5"/>
      <c r="C692" s="5"/>
      <c r="D692" s="5"/>
      <c r="E692" s="5"/>
      <c r="F692" s="5"/>
      <c r="G692" s="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8"/>
      <c r="S692" s="9"/>
      <c r="T692" s="8"/>
      <c r="U692" s="8"/>
      <c r="V692" s="8"/>
      <c r="W692" s="10"/>
    </row>
    <row r="693" spans="1:23" x14ac:dyDescent="0.3">
      <c r="A693" s="5"/>
      <c r="B693" s="5"/>
      <c r="C693" s="5"/>
      <c r="D693" s="5"/>
      <c r="E693" s="5"/>
      <c r="F693" s="5"/>
      <c r="G693" s="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8"/>
      <c r="S693" s="9"/>
      <c r="T693" s="8"/>
      <c r="U693" s="8"/>
      <c r="V693" s="8"/>
      <c r="W693" s="10"/>
    </row>
    <row r="694" spans="1:23" x14ac:dyDescent="0.3">
      <c r="A694" s="5"/>
      <c r="B694" s="5"/>
      <c r="C694" s="5"/>
      <c r="D694" s="5"/>
      <c r="E694" s="5"/>
      <c r="F694" s="5"/>
      <c r="G694" s="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8"/>
      <c r="S694" s="9"/>
      <c r="T694" s="8"/>
      <c r="U694" s="8"/>
      <c r="V694" s="8"/>
      <c r="W694" s="10"/>
    </row>
    <row r="695" spans="1:23" x14ac:dyDescent="0.3">
      <c r="A695" s="5"/>
      <c r="B695" s="5"/>
      <c r="C695" s="5"/>
      <c r="D695" s="5"/>
      <c r="E695" s="5"/>
      <c r="F695" s="5"/>
      <c r="G695" s="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8"/>
      <c r="S695" s="9"/>
      <c r="T695" s="8"/>
      <c r="U695" s="8"/>
      <c r="V695" s="8"/>
      <c r="W695" s="10"/>
    </row>
    <row r="696" spans="1:23" x14ac:dyDescent="0.3">
      <c r="A696" s="5"/>
      <c r="B696" s="5"/>
      <c r="C696" s="5"/>
      <c r="D696" s="5"/>
      <c r="E696" s="5"/>
      <c r="F696" s="5"/>
      <c r="G696" s="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8"/>
      <c r="S696" s="9"/>
      <c r="T696" s="8"/>
      <c r="U696" s="8"/>
      <c r="V696" s="8"/>
      <c r="W696" s="10"/>
    </row>
    <row r="697" spans="1:23" x14ac:dyDescent="0.3">
      <c r="A697" s="5"/>
      <c r="B697" s="5"/>
      <c r="C697" s="5"/>
      <c r="D697" s="5"/>
      <c r="E697" s="5"/>
      <c r="F697" s="5"/>
      <c r="G697" s="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8"/>
      <c r="S697" s="9"/>
      <c r="T697" s="8"/>
      <c r="U697" s="8"/>
      <c r="V697" s="8"/>
      <c r="W697" s="10"/>
    </row>
    <row r="698" spans="1:23" x14ac:dyDescent="0.3">
      <c r="A698" s="5"/>
      <c r="B698" s="5"/>
      <c r="C698" s="5"/>
      <c r="D698" s="5"/>
      <c r="E698" s="5"/>
      <c r="F698" s="5"/>
      <c r="G698" s="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8"/>
      <c r="S698" s="9"/>
      <c r="T698" s="8"/>
      <c r="U698" s="8"/>
      <c r="V698" s="8"/>
      <c r="W698" s="10"/>
    </row>
    <row r="699" spans="1:23" x14ac:dyDescent="0.3">
      <c r="A699" s="5"/>
      <c r="B699" s="5"/>
      <c r="C699" s="5"/>
      <c r="D699" s="5"/>
      <c r="E699" s="5"/>
      <c r="F699" s="5"/>
      <c r="G699" s="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8"/>
      <c r="S699" s="9"/>
      <c r="T699" s="8"/>
      <c r="U699" s="8"/>
      <c r="V699" s="8"/>
      <c r="W699" s="10"/>
    </row>
    <row r="700" spans="1:23" x14ac:dyDescent="0.3">
      <c r="A700" s="5"/>
      <c r="B700" s="5"/>
      <c r="C700" s="5"/>
      <c r="D700" s="5"/>
      <c r="E700" s="5"/>
      <c r="F700" s="5"/>
      <c r="G700" s="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8"/>
      <c r="S700" s="9"/>
      <c r="T700" s="8"/>
      <c r="U700" s="8"/>
      <c r="V700" s="8"/>
      <c r="W700" s="10"/>
    </row>
    <row r="701" spans="1:23" x14ac:dyDescent="0.3">
      <c r="A701" s="5"/>
      <c r="B701" s="5"/>
      <c r="C701" s="5"/>
      <c r="D701" s="5"/>
      <c r="E701" s="5"/>
      <c r="F701" s="5"/>
      <c r="G701" s="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8"/>
      <c r="S701" s="9"/>
      <c r="T701" s="8"/>
      <c r="U701" s="8"/>
      <c r="V701" s="8"/>
      <c r="W701" s="10"/>
    </row>
    <row r="702" spans="1:23" x14ac:dyDescent="0.3">
      <c r="A702" s="5"/>
      <c r="B702" s="5"/>
      <c r="C702" s="5"/>
      <c r="D702" s="5"/>
      <c r="E702" s="5"/>
      <c r="F702" s="5"/>
      <c r="G702" s="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8"/>
      <c r="S702" s="9"/>
      <c r="T702" s="8"/>
      <c r="U702" s="8"/>
      <c r="V702" s="8"/>
      <c r="W702" s="10"/>
    </row>
    <row r="703" spans="1:23" x14ac:dyDescent="0.3">
      <c r="A703" s="5"/>
      <c r="B703" s="5"/>
      <c r="C703" s="5"/>
      <c r="D703" s="5"/>
      <c r="E703" s="5"/>
      <c r="F703" s="5"/>
      <c r="G703" s="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8"/>
      <c r="S703" s="9"/>
      <c r="T703" s="8"/>
      <c r="U703" s="8"/>
      <c r="V703" s="8"/>
      <c r="W703" s="10"/>
    </row>
    <row r="704" spans="1:23" x14ac:dyDescent="0.3">
      <c r="A704" s="5"/>
      <c r="B704" s="5"/>
      <c r="C704" s="5"/>
      <c r="D704" s="5"/>
      <c r="E704" s="5"/>
      <c r="F704" s="5"/>
      <c r="G704" s="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8"/>
      <c r="S704" s="9"/>
      <c r="T704" s="8"/>
      <c r="U704" s="8"/>
      <c r="V704" s="8"/>
      <c r="W704" s="10"/>
    </row>
    <row r="705" spans="1:23" x14ac:dyDescent="0.3">
      <c r="A705" s="5"/>
      <c r="B705" s="5"/>
      <c r="C705" s="5"/>
      <c r="D705" s="5"/>
      <c r="E705" s="5"/>
      <c r="F705" s="5"/>
      <c r="G705" s="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8"/>
      <c r="S705" s="9"/>
      <c r="T705" s="8"/>
      <c r="U705" s="8"/>
      <c r="V705" s="8"/>
      <c r="W705" s="10"/>
    </row>
    <row r="706" spans="1:23" x14ac:dyDescent="0.3">
      <c r="A706" s="5"/>
      <c r="B706" s="5"/>
      <c r="C706" s="5"/>
      <c r="D706" s="5"/>
      <c r="E706" s="5"/>
      <c r="F706" s="5"/>
      <c r="G706" s="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8"/>
      <c r="S706" s="9"/>
      <c r="T706" s="8"/>
      <c r="U706" s="8"/>
      <c r="V706" s="8"/>
      <c r="W706" s="10"/>
    </row>
    <row r="707" spans="1:23" x14ac:dyDescent="0.3">
      <c r="A707" s="5"/>
      <c r="B707" s="5"/>
      <c r="C707" s="5"/>
      <c r="D707" s="5"/>
      <c r="E707" s="5"/>
      <c r="F707" s="5"/>
      <c r="G707" s="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8"/>
      <c r="S707" s="9"/>
      <c r="T707" s="8"/>
      <c r="U707" s="8"/>
      <c r="V707" s="8"/>
      <c r="W707" s="10"/>
    </row>
    <row r="708" spans="1:23" x14ac:dyDescent="0.3">
      <c r="A708" s="5"/>
      <c r="B708" s="5"/>
      <c r="C708" s="5"/>
      <c r="D708" s="5"/>
      <c r="E708" s="5"/>
      <c r="F708" s="5"/>
      <c r="G708" s="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8"/>
      <c r="S708" s="9"/>
      <c r="T708" s="8"/>
      <c r="U708" s="8"/>
      <c r="V708" s="8"/>
      <c r="W708" s="10"/>
    </row>
    <row r="709" spans="1:23" x14ac:dyDescent="0.3">
      <c r="A709" s="5"/>
      <c r="B709" s="5"/>
      <c r="C709" s="5"/>
      <c r="D709" s="5"/>
      <c r="E709" s="5"/>
      <c r="F709" s="5"/>
      <c r="G709" s="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8"/>
      <c r="S709" s="9"/>
      <c r="T709" s="8"/>
      <c r="U709" s="8"/>
      <c r="V709" s="8"/>
      <c r="W709" s="10"/>
    </row>
    <row r="710" spans="1:23" x14ac:dyDescent="0.3">
      <c r="A710" s="5"/>
      <c r="B710" s="5"/>
      <c r="C710" s="5"/>
      <c r="D710" s="5"/>
      <c r="E710" s="5"/>
      <c r="F710" s="5"/>
      <c r="G710" s="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8"/>
      <c r="S710" s="9"/>
      <c r="T710" s="8"/>
      <c r="U710" s="8"/>
      <c r="V710" s="8"/>
      <c r="W710" s="10"/>
    </row>
    <row r="711" spans="1:23" x14ac:dyDescent="0.3">
      <c r="A711" s="5"/>
      <c r="B711" s="5"/>
      <c r="C711" s="5"/>
      <c r="D711" s="5"/>
      <c r="E711" s="5"/>
      <c r="F711" s="5"/>
      <c r="G711" s="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8"/>
      <c r="S711" s="9"/>
      <c r="T711" s="8"/>
      <c r="U711" s="8"/>
      <c r="V711" s="8"/>
      <c r="W711" s="10"/>
    </row>
    <row r="712" spans="1:23" x14ac:dyDescent="0.3">
      <c r="A712" s="5"/>
      <c r="B712" s="5"/>
      <c r="C712" s="5"/>
      <c r="D712" s="5"/>
      <c r="E712" s="5"/>
      <c r="F712" s="5"/>
      <c r="G712" s="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8"/>
      <c r="S712" s="9"/>
      <c r="T712" s="8"/>
      <c r="U712" s="8"/>
      <c r="V712" s="8"/>
      <c r="W712" s="10"/>
    </row>
    <row r="713" spans="1:23" x14ac:dyDescent="0.3">
      <c r="A713" s="5"/>
      <c r="B713" s="5"/>
      <c r="C713" s="5"/>
      <c r="D713" s="5"/>
      <c r="E713" s="5"/>
      <c r="F713" s="5"/>
      <c r="G713" s="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8"/>
      <c r="S713" s="9"/>
      <c r="T713" s="8"/>
      <c r="U713" s="8"/>
      <c r="V713" s="8"/>
      <c r="W713" s="10"/>
    </row>
    <row r="714" spans="1:23" x14ac:dyDescent="0.3">
      <c r="A714" s="5"/>
      <c r="B714" s="5"/>
      <c r="C714" s="5"/>
      <c r="D714" s="5"/>
      <c r="E714" s="5"/>
      <c r="F714" s="5"/>
      <c r="G714" s="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8"/>
      <c r="S714" s="9"/>
      <c r="T714" s="8"/>
      <c r="U714" s="8"/>
      <c r="V714" s="8"/>
      <c r="W714" s="10"/>
    </row>
    <row r="715" spans="1:23" x14ac:dyDescent="0.3">
      <c r="A715" s="5"/>
      <c r="B715" s="5"/>
      <c r="C715" s="5"/>
      <c r="D715" s="5"/>
      <c r="E715" s="5"/>
      <c r="F715" s="5"/>
      <c r="G715" s="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8"/>
      <c r="S715" s="9"/>
      <c r="T715" s="8"/>
      <c r="U715" s="8"/>
      <c r="V715" s="8"/>
      <c r="W715" s="10"/>
    </row>
    <row r="716" spans="1:23" x14ac:dyDescent="0.3">
      <c r="A716" s="5"/>
      <c r="B716" s="5"/>
      <c r="C716" s="5"/>
      <c r="D716" s="5"/>
      <c r="E716" s="5"/>
      <c r="F716" s="5"/>
      <c r="G716" s="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8"/>
      <c r="S716" s="9"/>
      <c r="T716" s="8"/>
      <c r="U716" s="8"/>
      <c r="V716" s="8"/>
      <c r="W716" s="10"/>
    </row>
    <row r="717" spans="1:23" x14ac:dyDescent="0.3">
      <c r="A717" s="5"/>
      <c r="B717" s="5"/>
      <c r="C717" s="5"/>
      <c r="D717" s="5"/>
      <c r="E717" s="5"/>
      <c r="F717" s="5"/>
      <c r="G717" s="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8"/>
      <c r="S717" s="9"/>
      <c r="T717" s="8"/>
      <c r="U717" s="8"/>
      <c r="V717" s="8"/>
      <c r="W717" s="10"/>
    </row>
    <row r="718" spans="1:23" x14ac:dyDescent="0.3">
      <c r="A718" s="5"/>
      <c r="B718" s="5"/>
      <c r="C718" s="5"/>
      <c r="D718" s="5"/>
      <c r="E718" s="5"/>
      <c r="F718" s="5"/>
      <c r="G718" s="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8"/>
      <c r="S718" s="9"/>
      <c r="T718" s="8"/>
      <c r="U718" s="8"/>
      <c r="V718" s="8"/>
      <c r="W718" s="10"/>
    </row>
    <row r="719" spans="1:23" x14ac:dyDescent="0.3">
      <c r="A719" s="5"/>
      <c r="B719" s="5"/>
      <c r="C719" s="5"/>
      <c r="D719" s="5"/>
      <c r="E719" s="5"/>
      <c r="F719" s="5"/>
      <c r="G719" s="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8"/>
      <c r="S719" s="9"/>
      <c r="T719" s="8"/>
      <c r="U719" s="8"/>
      <c r="V719" s="8"/>
      <c r="W719" s="10"/>
    </row>
    <row r="720" spans="1:23" x14ac:dyDescent="0.3">
      <c r="A720" s="5"/>
      <c r="B720" s="5"/>
      <c r="C720" s="5"/>
      <c r="D720" s="5"/>
      <c r="E720" s="5"/>
      <c r="F720" s="5"/>
      <c r="G720" s="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8"/>
      <c r="S720" s="9"/>
      <c r="T720" s="8"/>
      <c r="U720" s="8"/>
      <c r="V720" s="8"/>
      <c r="W720" s="10"/>
    </row>
    <row r="721" spans="1:23" x14ac:dyDescent="0.3">
      <c r="A721" s="5"/>
      <c r="B721" s="5"/>
      <c r="C721" s="5"/>
      <c r="D721" s="5"/>
      <c r="E721" s="5"/>
      <c r="F721" s="5"/>
      <c r="G721" s="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8"/>
      <c r="S721" s="9"/>
      <c r="T721" s="8"/>
      <c r="U721" s="8"/>
      <c r="V721" s="8"/>
      <c r="W721" s="10"/>
    </row>
    <row r="722" spans="1:23" x14ac:dyDescent="0.3">
      <c r="A722" s="5"/>
      <c r="B722" s="5"/>
      <c r="C722" s="5"/>
      <c r="D722" s="5"/>
      <c r="E722" s="5"/>
      <c r="F722" s="5"/>
      <c r="G722" s="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8"/>
      <c r="S722" s="9"/>
      <c r="T722" s="8"/>
      <c r="U722" s="8"/>
      <c r="V722" s="8"/>
      <c r="W722" s="10"/>
    </row>
    <row r="723" spans="1:23" x14ac:dyDescent="0.3">
      <c r="A723" s="5"/>
      <c r="B723" s="5"/>
      <c r="C723" s="5"/>
      <c r="D723" s="5"/>
      <c r="E723" s="5"/>
      <c r="F723" s="5"/>
      <c r="G723" s="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8"/>
      <c r="S723" s="9"/>
      <c r="T723" s="8"/>
      <c r="U723" s="8"/>
      <c r="V723" s="8"/>
      <c r="W723" s="10"/>
    </row>
    <row r="724" spans="1:23" x14ac:dyDescent="0.3">
      <c r="A724" s="5"/>
      <c r="B724" s="5"/>
      <c r="C724" s="5"/>
      <c r="D724" s="5"/>
      <c r="E724" s="5"/>
      <c r="F724" s="5"/>
      <c r="G724" s="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8"/>
      <c r="S724" s="9"/>
      <c r="T724" s="8"/>
      <c r="U724" s="8"/>
      <c r="V724" s="8"/>
      <c r="W724" s="10"/>
    </row>
    <row r="725" spans="1:23" x14ac:dyDescent="0.3">
      <c r="A725" s="5"/>
      <c r="B725" s="5"/>
      <c r="C725" s="5"/>
      <c r="D725" s="5"/>
      <c r="E725" s="5"/>
      <c r="F725" s="5"/>
      <c r="G725" s="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8"/>
      <c r="S725" s="9"/>
      <c r="T725" s="8"/>
      <c r="U725" s="8"/>
      <c r="V725" s="8"/>
      <c r="W725" s="10"/>
    </row>
  </sheetData>
  <conditionalFormatting sqref="E1:E725">
    <cfRule type="expression" dxfId="0" priority="1">
      <formula>COUNTIFS(E:E,E1)&gt;1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Accessories Price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CK_BMPL</dc:creator>
  <cp:lastModifiedBy>CK_BMPL</cp:lastModifiedBy>
  <dcterms:created xsi:type="dcterms:W3CDTF">2026-05-02T14:21:41Z</dcterms:created>
  <dcterms:modified xsi:type="dcterms:W3CDTF">2026-05-02T14:22:09Z</dcterms:modified>
</cp:coreProperties>
</file>